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Relationships>
</file>

<file path=xl/workbook.xml><?xml version="1.0" encoding="utf-8"?>
<workbook xmlns="http://schemas.openxmlformats.org/spreadsheetml/2006/main" xmlns:r="http://schemas.openxmlformats.org/officeDocument/2006/relationships">
  <workbookPr date1904="0"/>
  <sheets>
    <sheet name="POA — Three year summary" sheetId="1" r:id="rId1"/>
    <sheet name="POA — Monthly financial forecas" sheetId="2" r:id="rId2"/>
    <sheet name="POA — Reconciliation checks" sheetId="3" r:id="rId3"/>
    <sheet name="Model inputs" sheetId="4" r:id="rId4"/>
  </sheets>
  <calcPr calcMode="auto" fullCalcOnLoad="1" forceFullCalc="1"/>
</workbook>
</file>

<file path=xl/styles.xml><?xml version="1.0" encoding="utf-8"?>
<styleSheet xmlns="http://schemas.openxmlformats.org/spreadsheetml/2006/main">
  <numFmts count="9">
    <numFmt numFmtId="164" formatCode="yyyy-mm-dd"/>
    <numFmt numFmtId="165" formatCode="&quot;$&quot;#,##0;(&quot;$&quot;#,##0)"/>
    <numFmt numFmtId="166" formatCode="#,##0;(#,##0)"/>
    <numFmt numFmtId="167" formatCode="0.00%"/>
    <numFmt numFmtId="168" formatCode="#,##0.00;(#,##0.00)"/>
    <numFmt numFmtId="169" formatCode="&quot;$&quot;#,##0.00;(&quot;$&quot;#,##0.00)"/>
    <numFmt numFmtId="170" formatCode="0.00&quot;x&quot;"/>
    <numFmt numFmtId="171" formatCode="#,##0.0;(#,##0.0)"/>
    <numFmt numFmtId="172" formatCode="#,##0.###;(#,##0.###)"/>
  </numFmts>
  <fonts count="5">
    <font>
      <sz val="10"/>
      <color rgb="FF352F29"/>
      <name val="Aptos"/>
    </font>
    <font>
      <b/>
      <sz val="16"/>
      <color rgb="FFFFFFFF"/>
      <name val="Aptos"/>
    </font>
    <font>
      <sz val="9"/>
      <color rgb="FF817B73"/>
      <name val="Aptos"/>
    </font>
    <font>
      <b/>
      <sz val="10"/>
      <color rgb="FF352F29"/>
      <name val="Aptos"/>
    </font>
    <font>
      <sz val="10"/>
      <color rgb="FF817B73"/>
      <name val="Aptos"/>
    </font>
  </fonts>
  <fills count="7">
    <fill>
      <patternFill patternType="none"/>
    </fill>
    <fill>
      <patternFill patternType="gray125"/>
    </fill>
    <fill>
      <patternFill patternType="solid">
        <fgColor rgb="FF352F29"/>
        <bgColor indexed="64"/>
      </patternFill>
    </fill>
    <fill>
      <patternFill patternType="solid">
        <fgColor rgb="FFF0EDE8"/>
        <bgColor indexed="64"/>
      </patternFill>
    </fill>
    <fill>
      <patternFill patternType="solid">
        <fgColor rgb="FFF5F2EC"/>
        <bgColor indexed="64"/>
      </patternFill>
    </fill>
    <fill>
      <patternFill patternType="solid">
        <fgColor rgb="FFE6E0D7"/>
        <bgColor indexed="64"/>
      </patternFill>
    </fill>
    <fill>
      <patternFill patternType="solid">
        <fgColor rgb="FFF7F9FC"/>
        <bgColor indexed="64"/>
      </patternFill>
    </fill>
  </fills>
  <borders count="2">
    <border>
      <left/>
      <right/>
      <top/>
      <bottom/>
      <diagonal/>
    </border>
    <border>
      <left/>
      <right/>
      <top/>
      <bottom style="thin">
        <color rgb="FFE7E3DD"/>
      </bottom>
      <diagonal/>
    </border>
  </borders>
  <cellStyleXfs count="1">
    <xf numFmtId="0" fontId="0" fillId="0" borderId="0"/>
  </cellStyleXfs>
  <cellXfs count="28">
    <xf numFmtId="0" fontId="0" fillId="0" borderId="0" xfId="0"/>
    <xf numFmtId="0" fontId="1" fillId="2" borderId="0" xfId="0" applyFill="1" applyFont="1" applyAlignment="1">
      <alignment vertical="center" horizontal="left" indent="1"/>
    </xf>
    <xf numFmtId="0" fontId="2" fillId="0" borderId="0" xfId="0" applyFont="1"/>
    <xf numFmtId="0" fontId="3" fillId="3" borderId="1" xfId="0" applyFill="1" applyFont="1" applyBorder="1" applyAlignment="1">
      <alignment vertical="center" horizontal="left"/>
    </xf>
    <xf numFmtId="0" fontId="3" fillId="3" borderId="1" xfId="0" applyFill="1" applyFont="1" applyBorder="1" applyAlignment="1">
      <alignment vertical="center" horizontal="right"/>
    </xf>
    <xf numFmtId="0" fontId="3" fillId="4" borderId="1" xfId="0" applyFill="1" applyFont="1" applyBorder="1" applyAlignment="1">
      <alignment vertical="center" horizontal="left"/>
    </xf>
    <xf numFmtId="164" fontId="3" fillId="4" borderId="1" xfId="0" applyNumberFormat="1" applyFill="1" applyFont="1" applyBorder="1" applyAlignment="1">
      <alignment vertical="center" horizontal="right"/>
    </xf>
    <xf numFmtId="165" fontId="3" fillId="4" borderId="1" xfId="0" applyNumberFormat="1" applyFill="1" applyFont="1" applyBorder="1" applyAlignment="1">
      <alignment vertical="center" horizontal="right"/>
    </xf>
    <xf numFmtId="166" fontId="3" fillId="4" borderId="1" xfId="0" applyNumberFormat="1" applyFill="1" applyFont="1" applyBorder="1" applyAlignment="1">
      <alignment vertical="center" horizontal="right"/>
    </xf>
    <xf numFmtId="0" fontId="0" fillId="0" borderId="0" xfId="0" applyAlignment="1">
      <alignment vertical="center" horizontal="left"/>
    </xf>
    <xf numFmtId="164" fontId="0" fillId="0" borderId="0" xfId="0" applyNumberFormat="1" applyAlignment="1">
      <alignment vertical="center" horizontal="right"/>
    </xf>
    <xf numFmtId="165" fontId="0" fillId="0" borderId="0" xfId="0" applyNumberFormat="1" applyAlignment="1">
      <alignment vertical="center" horizontal="right"/>
    </xf>
    <xf numFmtId="166" fontId="0" fillId="0" borderId="0" xfId="0" applyNumberFormat="1" applyAlignment="1">
      <alignment vertical="center" horizontal="right"/>
    </xf>
    <xf numFmtId="0" fontId="3" fillId="5" borderId="1" xfId="0" applyFill="1" applyFont="1" applyBorder="1" applyAlignment="1">
      <alignment vertical="center" horizontal="right"/>
    </xf>
    <xf numFmtId="167" fontId="0" fillId="0" borderId="0" xfId="0" applyNumberFormat="1" applyAlignment="1">
      <alignment vertical="center" horizontal="right"/>
    </xf>
    <xf numFmtId="168" fontId="0" fillId="0" borderId="0" xfId="0" applyNumberFormat="1" applyAlignment="1">
      <alignment vertical="center" horizontal="right"/>
    </xf>
    <xf numFmtId="169" fontId="0" fillId="0" borderId="0" xfId="0" applyNumberFormat="1" applyAlignment="1">
      <alignment vertical="center" horizontal="right"/>
    </xf>
    <xf numFmtId="168" fontId="3" fillId="4" borderId="1" xfId="0" applyNumberFormat="1" applyFill="1" applyFont="1" applyBorder="1" applyAlignment="1">
      <alignment vertical="center" horizontal="right"/>
    </xf>
    <xf numFmtId="0" fontId="0" fillId="0" borderId="0" xfId="0" applyAlignment="1">
      <alignment vertical="center" horizontal="left" indent="1"/>
    </xf>
    <xf numFmtId="169" fontId="3" fillId="4" borderId="1" xfId="0" applyNumberFormat="1" applyFill="1" applyFont="1" applyBorder="1" applyAlignment="1">
      <alignment vertical="center" horizontal="right"/>
    </xf>
    <xf numFmtId="170" fontId="0" fillId="0" borderId="0" xfId="0" applyNumberFormat="1" applyAlignment="1">
      <alignment vertical="center" horizontal="right"/>
    </xf>
    <xf numFmtId="171" fontId="3" fillId="4" borderId="1" xfId="0" applyNumberFormat="1" applyFill="1" applyFont="1" applyBorder="1" applyAlignment="1">
      <alignment vertical="center" horizontal="right"/>
    </xf>
    <xf numFmtId="172" fontId="3" fillId="4" borderId="1" xfId="0" applyNumberFormat="1" applyFill="1" applyFont="1" applyBorder="1" applyAlignment="1">
      <alignment vertical="center" horizontal="right"/>
    </xf>
    <xf numFmtId="172" fontId="0" fillId="0" borderId="0" xfId="0" applyNumberFormat="1" applyAlignment="1">
      <alignment vertical="center" horizontal="right"/>
    </xf>
    <xf numFmtId="0" fontId="3" fillId="4" borderId="1" xfId="0" applyFill="1" applyFont="1" applyBorder="1"/>
    <xf numFmtId="0" fontId="3" fillId="6" borderId="0" xfId="0" applyFill="1" applyFont="1" applyAlignment="1">
      <alignment vertical="center" horizontal="left"/>
    </xf>
    <xf numFmtId="0" fontId="0" fillId="6" borderId="0" xfId="0" applyFill="1" applyAlignment="1">
      <alignment vertical="center" horizontal="left" indent="1"/>
    </xf>
    <xf numFmtId="0" fontId="4" fillId="0" borderId="0" xfId="0" applyFont="1" applyAlignment="1">
      <alignment vertical="center" horizontal="left"/>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worksheet" Target="worksheets/sheet3.xml"></Relationship><Relationship Id="rId4" Type="http://schemas.openxmlformats.org/officeDocument/2006/relationships/worksheet" Target="worksheets/sheet4.xml"></Relationship><Relationship Id="rId5" Type="http://schemas.openxmlformats.org/officeDocument/2006/relationships/styles" Target="styles.xml"></Relationship></Relationships>
</file>

<file path=xl/worksheets/sheet1.xml><?xml version="1.0" encoding="utf-8"?>
<worksheet xmlns="http://schemas.openxmlformats.org/spreadsheetml/2006/main">
  <dimension ref="A1:O7"/>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32" customHeight="1">
      <c r="A1" t="inlineStr" s="1">
        <is>
          <t xml:space="preserve">POA — Three year summary</t>
        </is>
      </c>
    </row>
    <row r="2" ht="20" customHeight="1">
      <c r="A2" t="inlineStr" s="2">
        <is>
          <t xml:space="preserve">POA — Financial Forecast · Main Scenario</t>
        </is>
      </c>
    </row>
    <row r="4" ht="22" customHeight="1">
      <c r="A4" t="inlineStr" s="3">
        <is>
          <t xml:space="preserve">Variable / dimension</t>
        </is>
      </c>
      <c r="B4" t="inlineStr" s="4">
        <is>
          <t xml:space="preserve">Forecast year start</t>
        </is>
      </c>
      <c r="C4" t="inlineStr" s="4">
        <is>
          <t xml:space="preserve">Forecast year end</t>
        </is>
      </c>
      <c r="D4" t="inlineStr" s="4">
        <is>
          <t xml:space="preserve">Annual subscription revenue</t>
        </is>
      </c>
      <c r="E4" t="inlineStr" s="4">
        <is>
          <t xml:space="preserve">Annual contingency revenue</t>
        </is>
      </c>
      <c r="F4" t="inlineStr" s="4">
        <is>
          <t xml:space="preserve">Annual total revenue</t>
        </is>
      </c>
      <c r="G4" t="inlineStr" s="4">
        <is>
          <t xml:space="preserve">Annual gross profit</t>
        </is>
      </c>
      <c r="H4" t="inlineStr" s="4">
        <is>
          <t xml:space="preserve">Annual operating overhead</t>
        </is>
      </c>
      <c r="I4" t="inlineStr" s="4">
        <is>
          <t xml:space="preserve">Annual acquisition spend</t>
        </is>
      </c>
      <c r="J4" t="inlineStr" s="4">
        <is>
          <t xml:space="preserve">Annual EBITDA</t>
        </is>
      </c>
      <c r="K4" t="inlineStr" s="4">
        <is>
          <t xml:space="preserve">Annual net cash flow</t>
        </is>
      </c>
      <c r="L4" t="inlineStr" s="4">
        <is>
          <t xml:space="preserve">Year end cash</t>
        </is>
      </c>
      <c r="M4" t="inlineStr" s="4">
        <is>
          <t xml:space="preserve">Year end active protocols</t>
        </is>
      </c>
      <c r="N4" t="inlineStr" s="4">
        <is>
          <t xml:space="preserve">Year end subscription ARR</t>
        </is>
      </c>
      <c r="O4" t="inlineStr" s="4">
        <is>
          <t xml:space="preserve">Year end total annualized run rate</t>
        </is>
      </c>
    </row>
    <row r="5">
      <c r="A5" t="inlineStr" s="5">
        <is>
          <t xml:space="preserve">Year 1</t>
        </is>
      </c>
      <c r="B5" s="6">
        <f>DATE(2026,10,1)</f>
        <v>46296</v>
      </c>
      <c r="C5" s="6">
        <f>DATE(2027,9,1)</f>
        <v>46631</v>
      </c>
      <c r="D5" s="7">
        <f>SUM('Model inputs'!B129,'Model inputs'!B130,'Model inputs'!B131)</f>
        <v>395500</v>
      </c>
      <c r="E5" s="7">
        <f>SUM('Model inputs'!B132,'Model inputs'!B133,'Model inputs'!B134)</f>
        <v>51333.122895622866</v>
      </c>
      <c r="F5" s="7">
        <f>SUM('Model inputs'!B135,'Model inputs'!B136,'Model inputs'!B137)</f>
        <v>446833.12289562286</v>
      </c>
      <c r="G5" s="7">
        <f>SUM('Model inputs'!B138,'Model inputs'!B139,'Model inputs'!B140)</f>
        <v>445939.4566498316</v>
      </c>
      <c r="H5" s="7">
        <f>SUM('Model inputs'!B141,'Model inputs'!B142,'Model inputs'!B143)</f>
        <v>327300</v>
      </c>
      <c r="I5" s="7">
        <f>SUM('Model inputs'!B144,'Model inputs'!B145,'Model inputs'!B146)</f>
        <v>222333.33333333334</v>
      </c>
      <c r="J5" s="7">
        <f>SUM('Model inputs'!B147,'Model inputs'!B148,'Model inputs'!B149)</f>
        <v>-103693.8766835017</v>
      </c>
      <c r="K5" s="7">
        <f>SUM('Model inputs'!B150,'Model inputs'!B151,'Model inputs'!B152)</f>
        <v>-103693.8766835017</v>
      </c>
      <c r="L5" s="7">
        <f>IF('Model inputs'!B190=0,"",SUM('Model inputs'!B153,'Model inputs'!B154,'Model inputs'!B155,'Model inputs'!B156,'Model inputs'!B157,'Model inputs'!B158,'Model inputs'!B159,'Model inputs'!B160,'Model inputs'!B161,'Model inputs'!B162,'Model inputs'!B163,'Model inputs'!B164,'Model inputs'!B165,'Model inputs'!B166,'Model inputs'!B167,'Model inputs'!B168,'Model inputs'!B169,'Model inputs'!B170,'Model inputs'!B171,'Model inputs'!B172,'Model inputs'!B173,'Model inputs'!B174,'Model inputs'!B175,'Model inputs'!B176,'Model inputs'!B177,'Model inputs'!B178,'Model inputs'!B179,'Model inputs'!B180,'Model inputs'!B181,'Model inputs'!B182,'Model inputs'!B183,'Model inputs'!B184,'Model inputs'!B185,'Model inputs'!B186,'Model inputs'!B187,'Model inputs'!B188,'Model inputs'!B189))</f>
        <v>396306.12331649824</v>
      </c>
      <c r="M5" s="8">
        <f>IF('Model inputs'!B228=0,"",SUM('Model inputs'!B191,'Model inputs'!B192,'Model inputs'!B193,'Model inputs'!B194,'Model inputs'!B195,'Model inputs'!B196,'Model inputs'!B197,'Model inputs'!B198,'Model inputs'!B199,'Model inputs'!B200,'Model inputs'!B201,'Model inputs'!B202,'Model inputs'!B203,'Model inputs'!B204,'Model inputs'!B205,'Model inputs'!B206,'Model inputs'!B207,'Model inputs'!B208,'Model inputs'!B209,'Model inputs'!B210,'Model inputs'!B211,'Model inputs'!B212,'Model inputs'!B213,'Model inputs'!B214,'Model inputs'!B215,'Model inputs'!B216,'Model inputs'!B217,'Model inputs'!B218,'Model inputs'!B219,'Model inputs'!B220,'Model inputs'!B221,'Model inputs'!B222,'Model inputs'!B223,'Model inputs'!B224,'Model inputs'!B225,'Model inputs'!B226,'Model inputs'!B227))</f>
        <v>22</v>
      </c>
      <c r="N5" s="7">
        <f>IF('Model inputs'!B265=0,"",SUM('Model inputs'!B229,'Model inputs'!B230,'Model inputs'!B231,'Model inputs'!B232,'Model inputs'!B233,'Model inputs'!B234,'Model inputs'!B235,'Model inputs'!B236,'Model inputs'!B237,'Model inputs'!B238,'Model inputs'!B239,'Model inputs'!B240,'Model inputs'!B241,'Model inputs'!B242,'Model inputs'!B243,'Model inputs'!B244,'Model inputs'!B245,'Model inputs'!B246,'Model inputs'!B247,'Model inputs'!B248,'Model inputs'!B249,'Model inputs'!B250,'Model inputs'!B251,'Model inputs'!B252,'Model inputs'!B253,'Model inputs'!B254,'Model inputs'!B255,'Model inputs'!B256,'Model inputs'!B257,'Model inputs'!B258,'Model inputs'!B259,'Model inputs'!B260,'Model inputs'!B261,'Model inputs'!B262,'Model inputs'!B263,'Model inputs'!B264))</f>
        <v>924000</v>
      </c>
      <c r="O5" s="7">
        <f>IF('Model inputs'!B302=0,"",SUM('Model inputs'!B266,'Model inputs'!B267,'Model inputs'!B268,'Model inputs'!B269,'Model inputs'!B270,'Model inputs'!B271,'Model inputs'!B272,'Model inputs'!B273,'Model inputs'!B274,'Model inputs'!B275,'Model inputs'!B276,'Model inputs'!B277,'Model inputs'!B278,'Model inputs'!B279,'Model inputs'!B280,'Model inputs'!B281,'Model inputs'!B282,'Model inputs'!B283,'Model inputs'!B284,'Model inputs'!B285,'Model inputs'!B286,'Model inputs'!B287,'Model inputs'!B288,'Model inputs'!B289,'Model inputs'!B290,'Model inputs'!B291,'Model inputs'!B292,'Model inputs'!B293,'Model inputs'!B294,'Model inputs'!B295,'Model inputs'!B296,'Model inputs'!B297,'Model inputs'!B298,'Model inputs'!B299,'Model inputs'!B300,'Model inputs'!B301))</f>
        <v>1120000</v>
      </c>
    </row>
    <row r="6">
      <c r="A6" t="inlineStr" s="9">
        <is>
          <t xml:space="preserve">Year 2</t>
        </is>
      </c>
      <c r="B6" s="10">
        <f>DATE(2027,10,1)</f>
        <v>46661</v>
      </c>
      <c r="C6" s="10">
        <f>DATE(2028,9,1)</f>
        <v>46997</v>
      </c>
      <c r="D6" s="11">
        <f>SUM('Model inputs'!B303,'Model inputs'!B304,'Model inputs'!B305)</f>
        <v>2677500</v>
      </c>
      <c r="E6" s="11">
        <f>SUM('Model inputs'!B306,'Model inputs'!B307,'Model inputs'!B308)</f>
        <v>987359.0067340066</v>
      </c>
      <c r="F6" s="11">
        <f>SUM('Model inputs'!B309,'Model inputs'!B310,'Model inputs'!B311)</f>
        <v>3664859.0067340066</v>
      </c>
      <c r="G6" s="11">
        <f>SUM('Model inputs'!B312,'Model inputs'!B313,'Model inputs'!B314)</f>
        <v>3657529.2887205384</v>
      </c>
      <c r="H6" s="11">
        <f>SUM('Model inputs'!B315,'Model inputs'!B316,'Model inputs'!B317)</f>
        <v>1198700</v>
      </c>
      <c r="I6" s="11">
        <f>SUM('Model inputs'!B318,'Model inputs'!B319,'Model inputs'!B320)</f>
        <v>868085.7142857143</v>
      </c>
      <c r="J6" s="11">
        <f>SUM('Model inputs'!B321,'Model inputs'!B322,'Model inputs'!B323)</f>
        <v>1590743.5744348243</v>
      </c>
      <c r="K6" s="11">
        <f>SUM('Model inputs'!B324,'Model inputs'!B325,'Model inputs'!B326)</f>
        <v>1590743.5744348243</v>
      </c>
      <c r="L6" s="11">
        <f>IF('Model inputs'!B364=0,"",SUM('Model inputs'!B327,'Model inputs'!B328,'Model inputs'!B329,'Model inputs'!B330,'Model inputs'!B331,'Model inputs'!B332,'Model inputs'!B333,'Model inputs'!B334,'Model inputs'!B335,'Model inputs'!B336,'Model inputs'!B337,'Model inputs'!B338,'Model inputs'!B339,'Model inputs'!B340,'Model inputs'!B341,'Model inputs'!B342,'Model inputs'!B343,'Model inputs'!B344,'Model inputs'!B345,'Model inputs'!B346,'Model inputs'!B347,'Model inputs'!B348,'Model inputs'!B349,'Model inputs'!B350,'Model inputs'!B351,'Model inputs'!B352,'Model inputs'!B353,'Model inputs'!B354,'Model inputs'!B355,'Model inputs'!B356,'Model inputs'!B357,'Model inputs'!B358,'Model inputs'!B359,'Model inputs'!B360,'Model inputs'!B361,'Model inputs'!B362,'Model inputs'!B363))</f>
        <v>1987049.6977513225</v>
      </c>
      <c r="M6" s="12">
        <f>IF('Model inputs'!B402=0,"",SUM('Model inputs'!B365,'Model inputs'!B366,'Model inputs'!B367,'Model inputs'!B368,'Model inputs'!B369,'Model inputs'!B370,'Model inputs'!B371,'Model inputs'!B372,'Model inputs'!B373,'Model inputs'!B374,'Model inputs'!B375,'Model inputs'!B376,'Model inputs'!B377,'Model inputs'!B378,'Model inputs'!B379,'Model inputs'!B380,'Model inputs'!B381,'Model inputs'!B382,'Model inputs'!B383,'Model inputs'!B384,'Model inputs'!B385,'Model inputs'!B386,'Model inputs'!B387,'Model inputs'!B388,'Model inputs'!B389,'Model inputs'!B390,'Model inputs'!B391,'Model inputs'!B392,'Model inputs'!B393,'Model inputs'!B394,'Model inputs'!B395,'Model inputs'!B396,'Model inputs'!B397,'Model inputs'!B398,'Model inputs'!B399,'Model inputs'!B400,'Model inputs'!B401))</f>
        <v>100</v>
      </c>
      <c r="N6" s="11">
        <f>IF('Model inputs'!B439=0,"",SUM('Model inputs'!B403,'Model inputs'!B404,'Model inputs'!B405,'Model inputs'!B406,'Model inputs'!B407,'Model inputs'!B408,'Model inputs'!B409,'Model inputs'!B410,'Model inputs'!B411,'Model inputs'!B412,'Model inputs'!B413,'Model inputs'!B414,'Model inputs'!B415,'Model inputs'!B416,'Model inputs'!B417,'Model inputs'!B418,'Model inputs'!B419,'Model inputs'!B420,'Model inputs'!B421,'Model inputs'!B422,'Model inputs'!B423,'Model inputs'!B424,'Model inputs'!B425,'Model inputs'!B426,'Model inputs'!B427,'Model inputs'!B428,'Model inputs'!B429,'Model inputs'!B430,'Model inputs'!B431,'Model inputs'!B432,'Model inputs'!B433,'Model inputs'!B434,'Model inputs'!B435,'Model inputs'!B436,'Model inputs'!B437,'Model inputs'!B438))</f>
        <v>4200000</v>
      </c>
      <c r="O6" s="11">
        <f>IF('Model inputs'!B476=0,"",SUM('Model inputs'!B440,'Model inputs'!B441,'Model inputs'!B442,'Model inputs'!B443,'Model inputs'!B444,'Model inputs'!B445,'Model inputs'!B446,'Model inputs'!B447,'Model inputs'!B448,'Model inputs'!B449,'Model inputs'!B450,'Model inputs'!B451,'Model inputs'!B452,'Model inputs'!B453,'Model inputs'!B454,'Model inputs'!B455,'Model inputs'!B456,'Model inputs'!B457,'Model inputs'!B458,'Model inputs'!B459,'Model inputs'!B460,'Model inputs'!B461,'Model inputs'!B462,'Model inputs'!B463,'Model inputs'!B464,'Model inputs'!B465,'Model inputs'!B466,'Model inputs'!B467,'Model inputs'!B468,'Model inputs'!B469,'Model inputs'!B470,'Model inputs'!B471,'Model inputs'!B472,'Model inputs'!B473,'Model inputs'!B474,'Model inputs'!B475))</f>
        <v>6000000</v>
      </c>
    </row>
    <row r="7">
      <c r="A7" t="inlineStr" s="5">
        <is>
          <t xml:space="preserve">Year 3</t>
        </is>
      </c>
      <c r="B7" s="6">
        <f>DATE(2028,10,1)</f>
        <v>47027</v>
      </c>
      <c r="C7" s="6">
        <f>DATE(2029,9,1)</f>
        <v>47362</v>
      </c>
      <c r="D7" s="7">
        <f>SUM('Model inputs'!B477,'Model inputs'!B478,'Model inputs'!B479)</f>
        <v>5670000</v>
      </c>
      <c r="E7" s="7">
        <f>SUM('Model inputs'!B480,'Model inputs'!B481,'Model inputs'!B482)</f>
        <v>2897916.6666666665</v>
      </c>
      <c r="F7" s="7">
        <f>SUM('Model inputs'!B483,'Model inputs'!B484,'Model inputs'!B485)</f>
        <v>8567916.666666666</v>
      </c>
      <c r="G7" s="7">
        <f>SUM('Model inputs'!B486,'Model inputs'!B487,'Model inputs'!B488)</f>
        <v>8550780.833333334</v>
      </c>
      <c r="H7" s="7">
        <f>SUM('Model inputs'!B489,'Model inputs'!B490,'Model inputs'!B491)</f>
        <v>2117500</v>
      </c>
      <c r="I7" s="7">
        <f>SUM('Model inputs'!B492,'Model inputs'!B493,'Model inputs'!B494)</f>
        <v>893714.2857142857</v>
      </c>
      <c r="J7" s="7">
        <f>SUM('Model inputs'!B495,'Model inputs'!B496,'Model inputs'!B497)</f>
        <v>5539566.547619048</v>
      </c>
      <c r="K7" s="7">
        <f>SUM('Model inputs'!B498,'Model inputs'!B499,'Model inputs'!B500)</f>
        <v>5539566.547619048</v>
      </c>
      <c r="L7" s="7">
        <f>IF('Model inputs'!B538=0,"",SUM('Model inputs'!B501,'Model inputs'!B502,'Model inputs'!B503,'Model inputs'!B504,'Model inputs'!B505,'Model inputs'!B506,'Model inputs'!B507,'Model inputs'!B508,'Model inputs'!B509,'Model inputs'!B510,'Model inputs'!B511,'Model inputs'!B512,'Model inputs'!B513,'Model inputs'!B514,'Model inputs'!B515,'Model inputs'!B516,'Model inputs'!B517,'Model inputs'!B518,'Model inputs'!B519,'Model inputs'!B520,'Model inputs'!B521,'Model inputs'!B522,'Model inputs'!B523,'Model inputs'!B524,'Model inputs'!B525,'Model inputs'!B526,'Model inputs'!B527,'Model inputs'!B528,'Model inputs'!B529,'Model inputs'!B530,'Model inputs'!B531,'Model inputs'!B532,'Model inputs'!B533,'Model inputs'!B534,'Model inputs'!B535,'Model inputs'!B536,'Model inputs'!B537))</f>
        <v>7526616.245370369</v>
      </c>
      <c r="M7" s="8">
        <f>IF('Model inputs'!B576=0,"",SUM('Model inputs'!B539,'Model inputs'!B540,'Model inputs'!B541,'Model inputs'!B542,'Model inputs'!B543,'Model inputs'!B544,'Model inputs'!B545,'Model inputs'!B546,'Model inputs'!B547,'Model inputs'!B548,'Model inputs'!B549,'Model inputs'!B550,'Model inputs'!B551,'Model inputs'!B552,'Model inputs'!B553,'Model inputs'!B554,'Model inputs'!B555,'Model inputs'!B556,'Model inputs'!B557,'Model inputs'!B558,'Model inputs'!B559,'Model inputs'!B560,'Model inputs'!B561,'Model inputs'!B562,'Model inputs'!B563,'Model inputs'!B564,'Model inputs'!B565,'Model inputs'!B566,'Model inputs'!B567,'Model inputs'!B568,'Model inputs'!B569,'Model inputs'!B570,'Model inputs'!B571,'Model inputs'!B572,'Model inputs'!B573,'Model inputs'!B574,'Model inputs'!B575))</f>
        <v>160</v>
      </c>
      <c r="N7" s="7">
        <f>IF('Model inputs'!B613=0,"",SUM('Model inputs'!B577,'Model inputs'!B578,'Model inputs'!B579,'Model inputs'!B580,'Model inputs'!B581,'Model inputs'!B582,'Model inputs'!B583,'Model inputs'!B584,'Model inputs'!B585,'Model inputs'!B586,'Model inputs'!B587,'Model inputs'!B588,'Model inputs'!B589,'Model inputs'!B590,'Model inputs'!B591,'Model inputs'!B592,'Model inputs'!B593,'Model inputs'!B594,'Model inputs'!B595,'Model inputs'!B596,'Model inputs'!B597,'Model inputs'!B598,'Model inputs'!B599,'Model inputs'!B600,'Model inputs'!B601,'Model inputs'!B602,'Model inputs'!B603,'Model inputs'!B604,'Model inputs'!B605,'Model inputs'!B606,'Model inputs'!B607,'Model inputs'!B608,'Model inputs'!B609,'Model inputs'!B610,'Model inputs'!B611,'Model inputs'!B612))</f>
        <v>6720000</v>
      </c>
      <c r="O7" s="7">
        <f>IF('Model inputs'!B650=0,"",SUM('Model inputs'!B614,'Model inputs'!B615,'Model inputs'!B616,'Model inputs'!B617,'Model inputs'!B618,'Model inputs'!B619,'Model inputs'!B620,'Model inputs'!B621,'Model inputs'!B622,'Model inputs'!B623,'Model inputs'!B624,'Model inputs'!B625,'Model inputs'!B626,'Model inputs'!B627,'Model inputs'!B628,'Model inputs'!B629,'Model inputs'!B630,'Model inputs'!B631,'Model inputs'!B632,'Model inputs'!B633,'Model inputs'!B634,'Model inputs'!B635,'Model inputs'!B636,'Model inputs'!B637,'Model inputs'!B638,'Model inputs'!B639,'Model inputs'!B640,'Model inputs'!B641,'Model inputs'!B642,'Model inputs'!B643,'Model inputs'!B644,'Model inputs'!B645,'Model inputs'!B646,'Model inputs'!B647,'Model inputs'!B648,'Model inputs'!B649))</f>
        <v>10560000</v>
      </c>
    </row>
  </sheetData>
  <mergeCells count="1">
    <mergeCell ref="A1:O1"/>
  </mergeCells>
</worksheet>
</file>

<file path=xl/worksheets/sheet2.xml><?xml version="1.0" encoding="utf-8"?>
<worksheet xmlns="http://schemas.openxmlformats.org/spreadsheetml/2006/main">
  <dimension ref="A1:AK65"/>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s>
  <sheetData>
    <row r="1" ht="32" customHeight="1">
      <c r="A1" t="inlineStr" s="1">
        <is>
          <t xml:space="preserve">POA — Monthly financial forecast</t>
        </is>
      </c>
    </row>
    <row r="2" ht="20" customHeight="1">
      <c r="A2" t="inlineStr" s="2">
        <is>
          <t xml:space="preserve">POA — Financial Forecast · Main Scenario</t>
        </is>
      </c>
    </row>
    <row r="4" ht="22" customHeight="1">
      <c r="A4" t="inlineStr" s="3">
        <is>
          <t xml:space="preserve">Variable / dimension</t>
        </is>
      </c>
      <c r="B4" t="inlineStr" s="13">
        <is>
          <t xml:space="preserve">2026-10</t>
        </is>
      </c>
      <c r="C4" t="inlineStr" s="4">
        <is>
          <t xml:space="preserve">2026-11</t>
        </is>
      </c>
      <c r="D4" t="inlineStr" s="4">
        <is>
          <t xml:space="preserve">2026-12</t>
        </is>
      </c>
      <c r="E4" t="inlineStr" s="13">
        <is>
          <t xml:space="preserve">2027-01</t>
        </is>
      </c>
      <c r="F4" t="inlineStr" s="4">
        <is>
          <t xml:space="preserve">2027-02</t>
        </is>
      </c>
      <c r="G4" t="inlineStr" s="4">
        <is>
          <t xml:space="preserve">2027-03</t>
        </is>
      </c>
      <c r="H4" t="inlineStr" s="13">
        <is>
          <t xml:space="preserve">2027-04</t>
        </is>
      </c>
      <c r="I4" t="inlineStr" s="4">
        <is>
          <t xml:space="preserve">2027-05</t>
        </is>
      </c>
      <c r="J4" t="inlineStr" s="4">
        <is>
          <t xml:space="preserve">2027-06</t>
        </is>
      </c>
      <c r="K4" t="inlineStr" s="13">
        <is>
          <t xml:space="preserve">2027-07</t>
        </is>
      </c>
      <c r="L4" t="inlineStr" s="4">
        <is>
          <t xml:space="preserve">2027-08</t>
        </is>
      </c>
      <c r="M4" t="inlineStr" s="4">
        <is>
          <t xml:space="preserve">2027-09</t>
        </is>
      </c>
      <c r="N4" t="inlineStr" s="13">
        <is>
          <t xml:space="preserve">2027-10</t>
        </is>
      </c>
      <c r="O4" t="inlineStr" s="4">
        <is>
          <t xml:space="preserve">2027-11</t>
        </is>
      </c>
      <c r="P4" t="inlineStr" s="4">
        <is>
          <t xml:space="preserve">2027-12</t>
        </is>
      </c>
      <c r="Q4" t="inlineStr" s="13">
        <is>
          <t xml:space="preserve">2028-01</t>
        </is>
      </c>
      <c r="R4" t="inlineStr" s="4">
        <is>
          <t xml:space="preserve">2028-02</t>
        </is>
      </c>
      <c r="S4" t="inlineStr" s="4">
        <is>
          <t xml:space="preserve">2028-03</t>
        </is>
      </c>
      <c r="T4" t="inlineStr" s="13">
        <is>
          <t xml:space="preserve">2028-04</t>
        </is>
      </c>
      <c r="U4" t="inlineStr" s="4">
        <is>
          <t xml:space="preserve">2028-05</t>
        </is>
      </c>
      <c r="V4" t="inlineStr" s="4">
        <is>
          <t xml:space="preserve">2028-06</t>
        </is>
      </c>
      <c r="W4" t="inlineStr" s="13">
        <is>
          <t xml:space="preserve">2028-07</t>
        </is>
      </c>
      <c r="X4" t="inlineStr" s="4">
        <is>
          <t xml:space="preserve">2028-08</t>
        </is>
      </c>
      <c r="Y4" t="inlineStr" s="4">
        <is>
          <t xml:space="preserve">2028-09</t>
        </is>
      </c>
      <c r="Z4" t="inlineStr" s="13">
        <is>
          <t xml:space="preserve">2028-10</t>
        </is>
      </c>
      <c r="AA4" t="inlineStr" s="4">
        <is>
          <t xml:space="preserve">2028-11</t>
        </is>
      </c>
      <c r="AB4" t="inlineStr" s="4">
        <is>
          <t xml:space="preserve">2028-12</t>
        </is>
      </c>
      <c r="AC4" t="inlineStr" s="13">
        <is>
          <t xml:space="preserve">2029-01</t>
        </is>
      </c>
      <c r="AD4" t="inlineStr" s="4">
        <is>
          <t xml:space="preserve">2029-02</t>
        </is>
      </c>
      <c r="AE4" t="inlineStr" s="4">
        <is>
          <t xml:space="preserve">2029-03</t>
        </is>
      </c>
      <c r="AF4" t="inlineStr" s="13">
        <is>
          <t xml:space="preserve">2029-04</t>
        </is>
      </c>
      <c r="AG4" t="inlineStr" s="4">
        <is>
          <t xml:space="preserve">2029-05</t>
        </is>
      </c>
      <c r="AH4" t="inlineStr" s="4">
        <is>
          <t xml:space="preserve">2029-06</t>
        </is>
      </c>
      <c r="AI4" t="inlineStr" s="13">
        <is>
          <t xml:space="preserve">2029-07</t>
        </is>
      </c>
      <c r="AJ4" t="inlineStr" s="4">
        <is>
          <t xml:space="preserve">2029-08</t>
        </is>
      </c>
      <c r="AK4" t="inlineStr" s="4">
        <is>
          <t xml:space="preserve">2029-09</t>
        </is>
      </c>
    </row>
    <row r="5">
      <c r="A5" t="inlineStr" s="5">
        <is>
          <t xml:space="preserve">Forecast month</t>
        </is>
      </c>
      <c r="B5" s="8">
        <f>DATEDIF(DATE(2026,10,1),DATE(2026,10,1),"M")+1</f>
        <v>1</v>
      </c>
      <c r="C5" s="8">
        <f>DATEDIF(DATE(2026,10,1),DATE(2026,11,1),"M")+1</f>
        <v>2</v>
      </c>
      <c r="D5" s="8">
        <f>DATEDIF(DATE(2026,10,1),DATE(2026,12,1),"M")+1</f>
        <v>3</v>
      </c>
      <c r="E5" s="8">
        <f>DATEDIF(DATE(2026,10,1),DATE(2027,1,1),"M")+1</f>
        <v>4</v>
      </c>
      <c r="F5" s="8">
        <f>DATEDIF(DATE(2026,10,1),DATE(2027,2,1),"M")+1</f>
        <v>5</v>
      </c>
      <c r="G5" s="8">
        <f>DATEDIF(DATE(2026,10,1),DATE(2027,3,1),"M")+1</f>
        <v>6</v>
      </c>
      <c r="H5" s="8">
        <f>DATEDIF(DATE(2026,10,1),DATE(2027,4,1),"M")+1</f>
        <v>7</v>
      </c>
      <c r="I5" s="8">
        <f>DATEDIF(DATE(2026,10,1),DATE(2027,5,1),"M")+1</f>
        <v>8</v>
      </c>
      <c r="J5" s="8">
        <f>DATEDIF(DATE(2026,10,1),DATE(2027,6,1),"M")+1</f>
        <v>9</v>
      </c>
      <c r="K5" s="8">
        <f>DATEDIF(DATE(2026,10,1),DATE(2027,7,1),"M")+1</f>
        <v>10</v>
      </c>
      <c r="L5" s="8">
        <f>DATEDIF(DATE(2026,10,1),DATE(2027,8,1),"M")+1</f>
        <v>11</v>
      </c>
      <c r="M5" s="8">
        <f>DATEDIF(DATE(2026,10,1),DATE(2027,9,1),"M")+1</f>
        <v>12</v>
      </c>
      <c r="N5" s="8">
        <f>DATEDIF(DATE(2026,10,1),DATE(2027,10,1),"M")+1</f>
        <v>13</v>
      </c>
      <c r="O5" s="8">
        <f>DATEDIF(DATE(2026,10,1),DATE(2027,11,1),"M")+1</f>
        <v>14</v>
      </c>
      <c r="P5" s="8">
        <f>DATEDIF(DATE(2026,10,1),DATE(2027,12,1),"M")+1</f>
        <v>15</v>
      </c>
      <c r="Q5" s="8">
        <f>DATEDIF(DATE(2026,10,1),DATE(2028,1,1),"M")+1</f>
        <v>16</v>
      </c>
      <c r="R5" s="8">
        <f>DATEDIF(DATE(2026,10,1),DATE(2028,2,1),"M")+1</f>
        <v>17</v>
      </c>
      <c r="S5" s="8">
        <f>DATEDIF(DATE(2026,10,1),DATE(2028,3,1),"M")+1</f>
        <v>18</v>
      </c>
      <c r="T5" s="8">
        <f>DATEDIF(DATE(2026,10,1),DATE(2028,4,1),"M")+1</f>
        <v>19</v>
      </c>
      <c r="U5" s="8">
        <f>DATEDIF(DATE(2026,10,1),DATE(2028,5,1),"M")+1</f>
        <v>20</v>
      </c>
      <c r="V5" s="8">
        <f>DATEDIF(DATE(2026,10,1),DATE(2028,6,1),"M")+1</f>
        <v>21</v>
      </c>
      <c r="W5" s="8">
        <f>DATEDIF(DATE(2026,10,1),DATE(2028,7,1),"M")+1</f>
        <v>22</v>
      </c>
      <c r="X5" s="8">
        <f>DATEDIF(DATE(2026,10,1),DATE(2028,8,1),"M")+1</f>
        <v>23</v>
      </c>
      <c r="Y5" s="8">
        <f>DATEDIF(DATE(2026,10,1),DATE(2028,9,1),"M")+1</f>
        <v>24</v>
      </c>
      <c r="Z5" s="8">
        <f>DATEDIF(DATE(2026,10,1),DATE(2028,10,1),"M")+1</f>
        <v>25</v>
      </c>
      <c r="AA5" s="8">
        <f>DATEDIF(DATE(2026,10,1),DATE(2028,11,1),"M")+1</f>
        <v>26</v>
      </c>
      <c r="AB5" s="8">
        <f>DATEDIF(DATE(2026,10,1),DATE(2028,12,1),"M")+1</f>
        <v>27</v>
      </c>
      <c r="AC5" s="8">
        <f>DATEDIF(DATE(2026,10,1),DATE(2029,1,1),"M")+1</f>
        <v>28</v>
      </c>
      <c r="AD5" s="8">
        <f>DATEDIF(DATE(2026,10,1),DATE(2029,2,1),"M")+1</f>
        <v>29</v>
      </c>
      <c r="AE5" s="8">
        <f>DATEDIF(DATE(2026,10,1),DATE(2029,3,1),"M")+1</f>
        <v>30</v>
      </c>
      <c r="AF5" s="8">
        <f>DATEDIF(DATE(2026,10,1),DATE(2029,4,1),"M")+1</f>
        <v>31</v>
      </c>
      <c r="AG5" s="8">
        <f>DATEDIF(DATE(2026,10,1),DATE(2029,5,1),"M")+1</f>
        <v>32</v>
      </c>
      <c r="AH5" s="8">
        <f>DATEDIF(DATE(2026,10,1),DATE(2029,6,1),"M")+1</f>
        <v>33</v>
      </c>
      <c r="AI5" s="8">
        <f>DATEDIF(DATE(2026,10,1),DATE(2029,7,1),"M")+1</f>
        <v>34</v>
      </c>
      <c r="AJ5" s="8">
        <f>DATEDIF(DATE(2026,10,1),DATE(2029,8,1),"M")+1</f>
        <v>35</v>
      </c>
      <c r="AK5" s="8">
        <f>DATEDIF(DATE(2026,10,1),DATE(2029,9,1),"M")+1</f>
        <v>36</v>
      </c>
    </row>
    <row r="6">
      <c r="A6" t="inlineStr" s="9">
        <is>
          <t xml:space="preserve">Monthly churn rate</t>
        </is>
      </c>
      <c r="B6" s="14">
        <f>1/('Model inputs'!AM30*12)</f>
        <v>0.023809523809523808</v>
      </c>
      <c r="C6" s="14">
        <f>1/('Model inputs'!AM30*12)</f>
        <v>0.023809523809523808</v>
      </c>
      <c r="D6" s="14">
        <f>1/('Model inputs'!AM30*12)</f>
        <v>0.023809523809523808</v>
      </c>
      <c r="E6" s="14">
        <f>1/('Model inputs'!AM30*12)</f>
        <v>0.023809523809523808</v>
      </c>
      <c r="F6" s="14">
        <f>1/('Model inputs'!AM30*12)</f>
        <v>0.023809523809523808</v>
      </c>
      <c r="G6" s="14">
        <f>1/('Model inputs'!AM30*12)</f>
        <v>0.023809523809523808</v>
      </c>
      <c r="H6" s="14">
        <f>1/('Model inputs'!AM30*12)</f>
        <v>0.023809523809523808</v>
      </c>
      <c r="I6" s="14">
        <f>1/('Model inputs'!AM30*12)</f>
        <v>0.023809523809523808</v>
      </c>
      <c r="J6" s="14">
        <f>1/('Model inputs'!AM30*12)</f>
        <v>0.023809523809523808</v>
      </c>
      <c r="K6" s="14">
        <f>1/('Model inputs'!AM30*12)</f>
        <v>0.023809523809523808</v>
      </c>
      <c r="L6" s="14">
        <f>1/('Model inputs'!AM30*12)</f>
        <v>0.023809523809523808</v>
      </c>
      <c r="M6" s="14">
        <f>1/('Model inputs'!AM30*12)</f>
        <v>0.023809523809523808</v>
      </c>
      <c r="N6" s="14">
        <f>1/('Model inputs'!AM30*12)</f>
        <v>0.023809523809523808</v>
      </c>
      <c r="O6" s="14">
        <f>1/('Model inputs'!AM30*12)</f>
        <v>0.023809523809523808</v>
      </c>
      <c r="P6" s="14">
        <f>1/('Model inputs'!AM30*12)</f>
        <v>0.023809523809523808</v>
      </c>
      <c r="Q6" s="14">
        <f>1/('Model inputs'!AM30*12)</f>
        <v>0.023809523809523808</v>
      </c>
      <c r="R6" s="14">
        <f>1/('Model inputs'!AM30*12)</f>
        <v>0.023809523809523808</v>
      </c>
      <c r="S6" s="14">
        <f>1/('Model inputs'!AM30*12)</f>
        <v>0.023809523809523808</v>
      </c>
      <c r="T6" s="14">
        <f>1/('Model inputs'!AM30*12)</f>
        <v>0.023809523809523808</v>
      </c>
      <c r="U6" s="14">
        <f>1/('Model inputs'!AM30*12)</f>
        <v>0.023809523809523808</v>
      </c>
      <c r="V6" s="14">
        <f>1/('Model inputs'!AM30*12)</f>
        <v>0.023809523809523808</v>
      </c>
      <c r="W6" s="14">
        <f>1/('Model inputs'!AM30*12)</f>
        <v>0.023809523809523808</v>
      </c>
      <c r="X6" s="14">
        <f>1/('Model inputs'!AM30*12)</f>
        <v>0.023809523809523808</v>
      </c>
      <c r="Y6" s="14">
        <f>1/('Model inputs'!AM30*12)</f>
        <v>0.023809523809523808</v>
      </c>
      <c r="Z6" s="14">
        <f>1/('Model inputs'!AM30*12)</f>
        <v>0.023809523809523808</v>
      </c>
      <c r="AA6" s="14">
        <f>1/('Model inputs'!AM30*12)</f>
        <v>0.023809523809523808</v>
      </c>
      <c r="AB6" s="14">
        <f>1/('Model inputs'!AM30*12)</f>
        <v>0.023809523809523808</v>
      </c>
      <c r="AC6" s="14">
        <f>1/('Model inputs'!AM30*12)</f>
        <v>0.023809523809523808</v>
      </c>
      <c r="AD6" s="14">
        <f>1/('Model inputs'!AM30*12)</f>
        <v>0.023809523809523808</v>
      </c>
      <c r="AE6" s="14">
        <f>1/('Model inputs'!AM30*12)</f>
        <v>0.023809523809523808</v>
      </c>
      <c r="AF6" s="14">
        <f>1/('Model inputs'!AM30*12)</f>
        <v>0.023809523809523808</v>
      </c>
      <c r="AG6" s="14">
        <f>1/('Model inputs'!AM30*12)</f>
        <v>0.023809523809523808</v>
      </c>
      <c r="AH6" s="14">
        <f>1/('Model inputs'!AM30*12)</f>
        <v>0.023809523809523808</v>
      </c>
      <c r="AI6" s="14">
        <f>1/('Model inputs'!AM30*12)</f>
        <v>0.023809523809523808</v>
      </c>
      <c r="AJ6" s="14">
        <f>1/('Model inputs'!AM30*12)</f>
        <v>0.023809523809523808</v>
      </c>
      <c r="AK6" s="14">
        <f>1/('Model inputs'!AM30*12)</f>
        <v>0.023809523809523808</v>
      </c>
    </row>
    <row r="7">
      <c r="A7" t="inlineStr" s="9">
        <is>
          <t xml:space="preserve">Active protocols</t>
        </is>
      </c>
      <c r="B7" s="15">
        <f>IF(AND('Model inputs'!AM106="",'Model inputs'!B652=""),"",MIN('Model inputs'!AM106,'Model inputs'!B652))</f>
        <v>1</v>
      </c>
      <c r="C7" s="15">
        <f>IF(AND('Model inputs'!AM106="",'Model inputs'!B654=""),"",MIN('Model inputs'!AM106,'Model inputs'!B654))</f>
        <v>2</v>
      </c>
      <c r="D7" s="15">
        <f>IF(AND('Model inputs'!AM106="",'Model inputs'!B656=""),"",MIN('Model inputs'!AM106,'Model inputs'!B656))</f>
        <v>3</v>
      </c>
      <c r="E7" s="15">
        <f>IF(AND('Model inputs'!AM106="",'Model inputs'!B658=""),"",MIN('Model inputs'!AM106,'Model inputs'!B658))</f>
        <v>4</v>
      </c>
      <c r="F7" s="15">
        <f>IF(AND('Model inputs'!AM106="",'Model inputs'!B660=""),"",MIN('Model inputs'!AM106,'Model inputs'!B660))</f>
        <v>5</v>
      </c>
      <c r="G7" s="15">
        <f>IF(AND('Model inputs'!AM106="",'Model inputs'!B662=""),"",MIN('Model inputs'!AM106,'Model inputs'!B662))</f>
        <v>6</v>
      </c>
      <c r="H7" s="15">
        <f>IF(AND('Model inputs'!AM106="",'Model inputs'!B664=""),"",MIN('Model inputs'!AM106,'Model inputs'!B664))</f>
        <v>8.666666666666666</v>
      </c>
      <c r="I7" s="15">
        <f>IF(AND('Model inputs'!AM106="",'Model inputs'!B666=""),"",MIN('Model inputs'!AM106,'Model inputs'!B666))</f>
        <v>11.333333333333332</v>
      </c>
      <c r="J7" s="15">
        <f>IF(AND('Model inputs'!AM106="",'Model inputs'!B668=""),"",MIN('Model inputs'!AM106,'Model inputs'!B668))</f>
        <v>14</v>
      </c>
      <c r="K7" s="15">
        <f>IF(AND('Model inputs'!AM106="",'Model inputs'!B670=""),"",MIN('Model inputs'!AM106,'Model inputs'!B670))</f>
        <v>16.666666666666664</v>
      </c>
      <c r="L7" s="15">
        <f>IF(AND('Model inputs'!AM106="",'Model inputs'!B672=""),"",MIN('Model inputs'!AM106,'Model inputs'!B672))</f>
        <v>19.333333333333332</v>
      </c>
      <c r="M7" s="15">
        <f>IF(AND('Model inputs'!AM106="",'Model inputs'!B674=""),"",MIN('Model inputs'!AM106,'Model inputs'!B674))</f>
        <v>22</v>
      </c>
      <c r="N7" s="15">
        <f>IF(AND('Model inputs'!AM106="",'Model inputs'!B676=""),"",MIN('Model inputs'!AM106,'Model inputs'!B676))</f>
        <v>28.333333333333332</v>
      </c>
      <c r="O7" s="15">
        <f>IF(AND('Model inputs'!AM106="",'Model inputs'!B678=""),"",MIN('Model inputs'!AM106,'Model inputs'!B678))</f>
        <v>34.666666666666664</v>
      </c>
      <c r="P7" s="15">
        <f>IF(AND('Model inputs'!AM106="",'Model inputs'!B680=""),"",MIN('Model inputs'!AM106,'Model inputs'!B680))</f>
        <v>41</v>
      </c>
      <c r="Q7" s="15">
        <f>IF(AND('Model inputs'!AM106="",'Model inputs'!B682=""),"",MIN('Model inputs'!AM106,'Model inputs'!B682))</f>
        <v>47.33333333333333</v>
      </c>
      <c r="R7" s="15">
        <f>IF(AND('Model inputs'!AM106="",'Model inputs'!B684=""),"",MIN('Model inputs'!AM106,'Model inputs'!B684))</f>
        <v>53.666666666666664</v>
      </c>
      <c r="S7" s="15">
        <f>IF(AND('Model inputs'!AM106="",'Model inputs'!B686=""),"",MIN('Model inputs'!AM106,'Model inputs'!B686))</f>
        <v>60</v>
      </c>
      <c r="T7" s="15">
        <f>IF(AND('Model inputs'!AM106="",'Model inputs'!B688=""),"",MIN('Model inputs'!AM106,'Model inputs'!B688))</f>
        <v>66.66666666666667</v>
      </c>
      <c r="U7" s="15">
        <f>IF(AND('Model inputs'!AM106="",'Model inputs'!B690=""),"",MIN('Model inputs'!AM106,'Model inputs'!B690))</f>
        <v>73.33333333333333</v>
      </c>
      <c r="V7" s="15">
        <f>IF(AND('Model inputs'!AM106="",'Model inputs'!B692=""),"",MIN('Model inputs'!AM106,'Model inputs'!B692))</f>
        <v>80</v>
      </c>
      <c r="W7" s="15">
        <f>IF(AND('Model inputs'!AM106="",'Model inputs'!B694=""),"",MIN('Model inputs'!AM106,'Model inputs'!B694))</f>
        <v>86.66666666666666</v>
      </c>
      <c r="X7" s="15">
        <f>IF(AND('Model inputs'!AM106="",'Model inputs'!B696=""),"",MIN('Model inputs'!AM106,'Model inputs'!B696))</f>
        <v>93.33333333333333</v>
      </c>
      <c r="Y7" s="15">
        <f>IF(AND('Model inputs'!AM106="",'Model inputs'!B698=""),"",MIN('Model inputs'!AM106,'Model inputs'!B698))</f>
        <v>100</v>
      </c>
      <c r="Z7" s="15">
        <f>IF(AND('Model inputs'!AM106="",'Model inputs'!B700=""),"",MIN('Model inputs'!AM106,'Model inputs'!B700))</f>
        <v>105.83333333333333</v>
      </c>
      <c r="AA7" s="15">
        <f>IF(AND('Model inputs'!AM106="",'Model inputs'!B702=""),"",MIN('Model inputs'!AM106,'Model inputs'!B702))</f>
        <v>111.66666666666667</v>
      </c>
      <c r="AB7" s="15">
        <f>IF(AND('Model inputs'!AM106="",'Model inputs'!B704=""),"",MIN('Model inputs'!AM106,'Model inputs'!B704))</f>
        <v>117.5</v>
      </c>
      <c r="AC7" s="15">
        <f>IF(AND('Model inputs'!AM106="",'Model inputs'!B706=""),"",MIN('Model inputs'!AM106,'Model inputs'!B706))</f>
        <v>123.33333333333333</v>
      </c>
      <c r="AD7" s="15">
        <f>IF(AND('Model inputs'!AM106="",'Model inputs'!B708=""),"",MIN('Model inputs'!AM106,'Model inputs'!B708))</f>
        <v>129.16666666666666</v>
      </c>
      <c r="AE7" s="15">
        <f>IF(AND('Model inputs'!AM106="",'Model inputs'!B710=""),"",MIN('Model inputs'!AM106,'Model inputs'!B710))</f>
        <v>135</v>
      </c>
      <c r="AF7" s="15">
        <f>IF(AND('Model inputs'!AM106="",'Model inputs'!B712=""),"",MIN('Model inputs'!AM106,'Model inputs'!B712))</f>
        <v>139.16666666666666</v>
      </c>
      <c r="AG7" s="15">
        <f>IF(AND('Model inputs'!AM106="",'Model inputs'!B714=""),"",MIN('Model inputs'!AM106,'Model inputs'!B714))</f>
        <v>143.33333333333334</v>
      </c>
      <c r="AH7" s="15">
        <f>IF(AND('Model inputs'!AM106="",'Model inputs'!B716=""),"",MIN('Model inputs'!AM106,'Model inputs'!B716))</f>
        <v>147.5</v>
      </c>
      <c r="AI7" s="15">
        <f>IF(AND('Model inputs'!AM106="",'Model inputs'!B718=""),"",MIN('Model inputs'!AM106,'Model inputs'!B718))</f>
        <v>151.66666666666666</v>
      </c>
      <c r="AJ7" s="15">
        <f>IF(AND('Model inputs'!AM106="",'Model inputs'!B720=""),"",MIN('Model inputs'!AM106,'Model inputs'!B720))</f>
        <v>155.83333333333334</v>
      </c>
      <c r="AK7" s="15">
        <f>IF(AND('Model inputs'!AM106="",'Model inputs'!B722=""),"",MIN('Model inputs'!AM106,'Model inputs'!B722))</f>
        <v>160</v>
      </c>
    </row>
    <row r="8">
      <c r="A8" t="inlineStr" s="9">
        <is>
          <t xml:space="preserve">Opening active protocols</t>
        </is>
      </c>
      <c r="B8" s="15">
        <f>IF('Model inputs'!B7="","",'Model inputs'!B7)</f>
        <v>0</v>
      </c>
      <c r="C8" s="15">
        <f>IF('POA — Monthly financial forecas'!B7="","",'POA — Monthly financial forecas'!B7)</f>
        <v>1</v>
      </c>
      <c r="D8" s="15">
        <f>IF('POA — Monthly financial forecas'!C7="","",'POA — Monthly financial forecas'!C7)</f>
        <v>2</v>
      </c>
      <c r="E8" s="15">
        <f>IF('POA — Monthly financial forecas'!D7="","",'POA — Monthly financial forecas'!D7)</f>
        <v>3</v>
      </c>
      <c r="F8" s="15">
        <f>IF('POA — Monthly financial forecas'!E7="","",'POA — Monthly financial forecas'!E7)</f>
        <v>4</v>
      </c>
      <c r="G8" s="15">
        <f>IF('POA — Monthly financial forecas'!F7="","",'POA — Monthly financial forecas'!F7)</f>
        <v>5</v>
      </c>
      <c r="H8" s="15">
        <f>IF('POA — Monthly financial forecas'!G7="","",'POA — Monthly financial forecas'!G7)</f>
        <v>6</v>
      </c>
      <c r="I8" s="15">
        <f>IF('POA — Monthly financial forecas'!H7="","",'POA — Monthly financial forecas'!H7)</f>
        <v>8.666666666666666</v>
      </c>
      <c r="J8" s="15">
        <f>IF('POA — Monthly financial forecas'!I7="","",'POA — Monthly financial forecas'!I7)</f>
        <v>11.333333333333332</v>
      </c>
      <c r="K8" s="15">
        <f>IF('POA — Monthly financial forecas'!J7="","",'POA — Monthly financial forecas'!J7)</f>
        <v>14</v>
      </c>
      <c r="L8" s="15">
        <f>IF('POA — Monthly financial forecas'!K7="","",'POA — Monthly financial forecas'!K7)</f>
        <v>16.666666666666664</v>
      </c>
      <c r="M8" s="15">
        <f>IF('POA — Monthly financial forecas'!L7="","",'POA — Monthly financial forecas'!L7)</f>
        <v>19.333333333333332</v>
      </c>
      <c r="N8" s="15">
        <f>IF('POA — Monthly financial forecas'!M7="","",'POA — Monthly financial forecas'!M7)</f>
        <v>22</v>
      </c>
      <c r="O8" s="15">
        <f>IF('POA — Monthly financial forecas'!N7="","",'POA — Monthly financial forecas'!N7)</f>
        <v>28.333333333333332</v>
      </c>
      <c r="P8" s="15">
        <f>IF('POA — Monthly financial forecas'!O7="","",'POA — Monthly financial forecas'!O7)</f>
        <v>34.666666666666664</v>
      </c>
      <c r="Q8" s="15">
        <f>IF('POA — Monthly financial forecas'!P7="","",'POA — Monthly financial forecas'!P7)</f>
        <v>41</v>
      </c>
      <c r="R8" s="15">
        <f>IF('POA — Monthly financial forecas'!Q7="","",'POA — Monthly financial forecas'!Q7)</f>
        <v>47.33333333333333</v>
      </c>
      <c r="S8" s="15">
        <f>IF('POA — Monthly financial forecas'!R7="","",'POA — Monthly financial forecas'!R7)</f>
        <v>53.666666666666664</v>
      </c>
      <c r="T8" s="15">
        <f>IF('POA — Monthly financial forecas'!S7="","",'POA — Monthly financial forecas'!S7)</f>
        <v>60</v>
      </c>
      <c r="U8" s="15">
        <f>IF('POA — Monthly financial forecas'!T7="","",'POA — Monthly financial forecas'!T7)</f>
        <v>66.66666666666667</v>
      </c>
      <c r="V8" s="15">
        <f>IF('POA — Monthly financial forecas'!U7="","",'POA — Monthly financial forecas'!U7)</f>
        <v>73.33333333333333</v>
      </c>
      <c r="W8" s="15">
        <f>IF('POA — Monthly financial forecas'!V7="","",'POA — Monthly financial forecas'!V7)</f>
        <v>80</v>
      </c>
      <c r="X8" s="15">
        <f>IF('POA — Monthly financial forecas'!W7="","",'POA — Monthly financial forecas'!W7)</f>
        <v>86.66666666666666</v>
      </c>
      <c r="Y8" s="15">
        <f>IF('POA — Monthly financial forecas'!X7="","",'POA — Monthly financial forecas'!X7)</f>
        <v>93.33333333333333</v>
      </c>
      <c r="Z8" s="15">
        <f>IF('POA — Monthly financial forecas'!Y7="","",'POA — Monthly financial forecas'!Y7)</f>
        <v>100</v>
      </c>
      <c r="AA8" s="15">
        <f>IF('POA — Monthly financial forecas'!Z7="","",'POA — Monthly financial forecas'!Z7)</f>
        <v>105.83333333333333</v>
      </c>
      <c r="AB8" s="15">
        <f>IF('POA — Monthly financial forecas'!AA7="","",'POA — Monthly financial forecas'!AA7)</f>
        <v>111.66666666666667</v>
      </c>
      <c r="AC8" s="15">
        <f>IF('POA — Monthly financial forecas'!AB7="","",'POA — Monthly financial forecas'!AB7)</f>
        <v>117.5</v>
      </c>
      <c r="AD8" s="15">
        <f>IF('POA — Monthly financial forecas'!AC7="","",'POA — Monthly financial forecas'!AC7)</f>
        <v>123.33333333333333</v>
      </c>
      <c r="AE8" s="15">
        <f>IF('POA — Monthly financial forecas'!AD7="","",'POA — Monthly financial forecas'!AD7)</f>
        <v>129.16666666666666</v>
      </c>
      <c r="AF8" s="15">
        <f>IF('POA — Monthly financial forecas'!AE7="","",'POA — Monthly financial forecas'!AE7)</f>
        <v>135</v>
      </c>
      <c r="AG8" s="15">
        <f>IF('POA — Monthly financial forecas'!AF7="","",'POA — Monthly financial forecas'!AF7)</f>
        <v>139.16666666666666</v>
      </c>
      <c r="AH8" s="15">
        <f>IF('POA — Monthly financial forecas'!AG7="","",'POA — Monthly financial forecas'!AG7)</f>
        <v>143.33333333333334</v>
      </c>
      <c r="AI8" s="15">
        <f>IF('POA — Monthly financial forecas'!AH7="","",'POA — Monthly financial forecas'!AH7)</f>
        <v>147.5</v>
      </c>
      <c r="AJ8" s="15">
        <f>IF('POA — Monthly financial forecas'!AI7="","",'POA — Monthly financial forecas'!AI7)</f>
        <v>151.66666666666666</v>
      </c>
      <c r="AK8" s="15">
        <f>IF('POA — Monthly financial forecas'!AJ7="","",'POA — Monthly financial forecas'!AJ7)</f>
        <v>155.83333333333334</v>
      </c>
    </row>
    <row r="9">
      <c r="A9" t="inlineStr" s="9">
        <is>
          <t xml:space="preserve">Churned protocols</t>
        </is>
      </c>
      <c r="B9" s="15">
        <f>'POA — Monthly financial forecas'!B8*'POA — Monthly financial forecas'!B6</f>
        <v>0</v>
      </c>
      <c r="C9" s="15">
        <f>'POA — Monthly financial forecas'!C8*'POA — Monthly financial forecas'!C6</f>
        <v>0.023809523809523808</v>
      </c>
      <c r="D9" s="15">
        <f>'POA — Monthly financial forecas'!D8*'POA — Monthly financial forecas'!D6</f>
        <v>0.047619047619047616</v>
      </c>
      <c r="E9" s="15">
        <f>'POA — Monthly financial forecas'!E8*'POA — Monthly financial forecas'!E6</f>
        <v>0.07142857142857142</v>
      </c>
      <c r="F9" s="15">
        <f>'POA — Monthly financial forecas'!F8*'POA — Monthly financial forecas'!F6</f>
        <v>0.09523809523809523</v>
      </c>
      <c r="G9" s="15">
        <f>'POA — Monthly financial forecas'!G8*'POA — Monthly financial forecas'!G6</f>
        <v>0.11904761904761904</v>
      </c>
      <c r="H9" s="15">
        <f>'POA — Monthly financial forecas'!H8*'POA — Monthly financial forecas'!H6</f>
        <v>0.14285714285714285</v>
      </c>
      <c r="I9" s="15">
        <f>'POA — Monthly financial forecas'!I8*'POA — Monthly financial forecas'!I6</f>
        <v>0.2063492063492063</v>
      </c>
      <c r="J9" s="15">
        <f>'POA — Monthly financial forecas'!J8*'POA — Monthly financial forecas'!J6</f>
        <v>0.26984126984126977</v>
      </c>
      <c r="K9" s="15">
        <f>'POA — Monthly financial forecas'!K8*'POA — Monthly financial forecas'!K6</f>
        <v>0.3333333333333333</v>
      </c>
      <c r="L9" s="15">
        <f>'POA — Monthly financial forecas'!L8*'POA — Monthly financial forecas'!L6</f>
        <v>0.39682539682539675</v>
      </c>
      <c r="M9" s="15">
        <f>'POA — Monthly financial forecas'!M8*'POA — Monthly financial forecas'!M6</f>
        <v>0.46031746031746024</v>
      </c>
      <c r="N9" s="15">
        <f>'POA — Monthly financial forecas'!N8*'POA — Monthly financial forecas'!N6</f>
        <v>0.5238095238095237</v>
      </c>
      <c r="O9" s="15">
        <f>'POA — Monthly financial forecas'!O8*'POA — Monthly financial forecas'!O6</f>
        <v>0.6746031746031745</v>
      </c>
      <c r="P9" s="15">
        <f>'POA — Monthly financial forecas'!P8*'POA — Monthly financial forecas'!P6</f>
        <v>0.8253968253968252</v>
      </c>
      <c r="Q9" s="15">
        <f>'POA — Monthly financial forecas'!Q8*'POA — Monthly financial forecas'!Q6</f>
        <v>0.9761904761904762</v>
      </c>
      <c r="R9" s="15">
        <f>'POA — Monthly financial forecas'!R8*'POA — Monthly financial forecas'!R6</f>
        <v>1.1269841269841268</v>
      </c>
      <c r="S9" s="15">
        <f>'POA — Monthly financial forecas'!S8*'POA — Monthly financial forecas'!S6</f>
        <v>1.2777777777777777</v>
      </c>
      <c r="T9" s="15">
        <f>'POA — Monthly financial forecas'!T8*'POA — Monthly financial forecas'!T6</f>
        <v>1.4285714285714284</v>
      </c>
      <c r="U9" s="15">
        <f>'POA — Monthly financial forecas'!U8*'POA — Monthly financial forecas'!U6</f>
        <v>1.5873015873015874</v>
      </c>
      <c r="V9" s="15">
        <f>'POA — Monthly financial forecas'!V8*'POA — Monthly financial forecas'!V6</f>
        <v>1.7460317460317458</v>
      </c>
      <c r="W9" s="15">
        <f>'POA — Monthly financial forecas'!W8*'POA — Monthly financial forecas'!W6</f>
        <v>1.9047619047619047</v>
      </c>
      <c r="X9" s="15">
        <f>'POA — Monthly financial forecas'!X8*'POA — Monthly financial forecas'!X6</f>
        <v>2.0634920634920633</v>
      </c>
      <c r="Y9" s="15">
        <f>'POA — Monthly financial forecas'!Y8*'POA — Monthly financial forecas'!Y6</f>
        <v>2.222222222222222</v>
      </c>
      <c r="Z9" s="15">
        <f>'POA — Monthly financial forecas'!Z8*'POA — Monthly financial forecas'!Z6</f>
        <v>2.380952380952381</v>
      </c>
      <c r="AA9" s="15">
        <f>'POA — Monthly financial forecas'!AA8*'POA — Monthly financial forecas'!AA6</f>
        <v>2.5198412698412698</v>
      </c>
      <c r="AB9" s="15">
        <f>'POA — Monthly financial forecas'!AB8*'POA — Monthly financial forecas'!AB6</f>
        <v>2.6587301587301586</v>
      </c>
      <c r="AC9" s="15">
        <f>'POA — Monthly financial forecas'!AC8*'POA — Monthly financial forecas'!AC6</f>
        <v>2.7976190476190474</v>
      </c>
      <c r="AD9" s="15">
        <f>'POA — Monthly financial forecas'!AD8*'POA — Monthly financial forecas'!AD6</f>
        <v>2.9365079365079363</v>
      </c>
      <c r="AE9" s="15">
        <f>'POA — Monthly financial forecas'!AE8*'POA — Monthly financial forecas'!AE6</f>
        <v>3.075396825396825</v>
      </c>
      <c r="AF9" s="15">
        <f>'POA — Monthly financial forecas'!AF8*'POA — Monthly financial forecas'!AF6</f>
        <v>3.214285714285714</v>
      </c>
      <c r="AG9" s="15">
        <f>'POA — Monthly financial forecas'!AG8*'POA — Monthly financial forecas'!AG6</f>
        <v>3.3134920634920633</v>
      </c>
      <c r="AH9" s="15">
        <f>'POA — Monthly financial forecas'!AH8*'POA — Monthly financial forecas'!AH6</f>
        <v>3.4126984126984126</v>
      </c>
      <c r="AI9" s="15">
        <f>'POA — Monthly financial forecas'!AI8*'POA — Monthly financial forecas'!AI6</f>
        <v>3.511904761904762</v>
      </c>
      <c r="AJ9" s="15">
        <f>'POA — Monthly financial forecas'!AJ8*'POA — Monthly financial forecas'!AJ6</f>
        <v>3.6111111111111107</v>
      </c>
      <c r="AK9" s="15">
        <f>'POA — Monthly financial forecas'!AK8*'POA — Monthly financial forecas'!AK6</f>
        <v>3.7103174603174605</v>
      </c>
    </row>
    <row r="10">
      <c r="A10" t="inlineStr" s="9">
        <is>
          <t xml:space="preserve">Net protocol additions</t>
        </is>
      </c>
      <c r="B10" s="15">
        <f>'POA — Monthly financial forecas'!B7-'POA — Monthly financial forecas'!B8</f>
        <v>1</v>
      </c>
      <c r="C10" s="15">
        <f>'POA — Monthly financial forecas'!C7-'POA — Monthly financial forecas'!C8</f>
        <v>1</v>
      </c>
      <c r="D10" s="15">
        <f>'POA — Monthly financial forecas'!D7-'POA — Monthly financial forecas'!D8</f>
        <v>1</v>
      </c>
      <c r="E10" s="15">
        <f>'POA — Monthly financial forecas'!E7-'POA — Monthly financial forecas'!E8</f>
        <v>1</v>
      </c>
      <c r="F10" s="15">
        <f>'POA — Monthly financial forecas'!F7-'POA — Monthly financial forecas'!F8</f>
        <v>1</v>
      </c>
      <c r="G10" s="15">
        <f>'POA — Monthly financial forecas'!G7-'POA — Monthly financial forecas'!G8</f>
        <v>1</v>
      </c>
      <c r="H10" s="15">
        <f>'POA — Monthly financial forecas'!H7-'POA — Monthly financial forecas'!H8</f>
        <v>2.666666666666666</v>
      </c>
      <c r="I10" s="15">
        <f>'POA — Monthly financial forecas'!I7-'POA — Monthly financial forecas'!I8</f>
        <v>2.666666666666666</v>
      </c>
      <c r="J10" s="15">
        <f>'POA — Monthly financial forecas'!J7-'POA — Monthly financial forecas'!J8</f>
        <v>2.666666666666668</v>
      </c>
      <c r="K10" s="15">
        <f>'POA — Monthly financial forecas'!K7-'POA — Monthly financial forecas'!K8</f>
        <v>2.6666666666666643</v>
      </c>
      <c r="L10" s="15">
        <f>'POA — Monthly financial forecas'!L7-'POA — Monthly financial forecas'!L8</f>
        <v>2.666666666666668</v>
      </c>
      <c r="M10" s="15">
        <f>'POA — Monthly financial forecas'!M7-'POA — Monthly financial forecas'!M8</f>
        <v>2.666666666666668</v>
      </c>
      <c r="N10" s="15">
        <f>'POA — Monthly financial forecas'!N7-'POA — Monthly financial forecas'!N8</f>
        <v>6.333333333333332</v>
      </c>
      <c r="O10" s="15">
        <f>'POA — Monthly financial forecas'!O7-'POA — Monthly financial forecas'!O8</f>
        <v>6.333333333333332</v>
      </c>
      <c r="P10" s="15">
        <f>'POA — Monthly financial forecas'!P7-'POA — Monthly financial forecas'!P8</f>
        <v>6.333333333333336</v>
      </c>
      <c r="Q10" s="15">
        <f>'POA — Monthly financial forecas'!Q7-'POA — Monthly financial forecas'!Q8</f>
        <v>6.333333333333329</v>
      </c>
      <c r="R10" s="15">
        <f>'POA — Monthly financial forecas'!R7-'POA — Monthly financial forecas'!R8</f>
        <v>6.333333333333336</v>
      </c>
      <c r="S10" s="15">
        <f>'POA — Monthly financial forecas'!S7-'POA — Monthly financial forecas'!S8</f>
        <v>6.333333333333336</v>
      </c>
      <c r="T10" s="15">
        <f>'POA — Monthly financial forecas'!T7-'POA — Monthly financial forecas'!T8</f>
        <v>6.666666666666671</v>
      </c>
      <c r="U10" s="15">
        <f>'POA — Monthly financial forecas'!U7-'POA — Monthly financial forecas'!U8</f>
        <v>6.666666666666657</v>
      </c>
      <c r="V10" s="15">
        <f>'POA — Monthly financial forecas'!V7-'POA — Monthly financial forecas'!V8</f>
        <v>6.666666666666671</v>
      </c>
      <c r="W10" s="15">
        <f>'POA — Monthly financial forecas'!W7-'POA — Monthly financial forecas'!W8</f>
        <v>6.666666666666657</v>
      </c>
      <c r="X10" s="15">
        <f>'POA — Monthly financial forecas'!X7-'POA — Monthly financial forecas'!X8</f>
        <v>6.666666666666671</v>
      </c>
      <c r="Y10" s="15">
        <f>'POA — Monthly financial forecas'!Y7-'POA — Monthly financial forecas'!Y8</f>
        <v>6.666666666666671</v>
      </c>
      <c r="Z10" s="15">
        <f>'POA — Monthly financial forecas'!Z7-'POA — Monthly financial forecas'!Z8</f>
        <v>5.833333333333329</v>
      </c>
      <c r="AA10" s="15">
        <f>'POA — Monthly financial forecas'!AA7-'POA — Monthly financial forecas'!AA8</f>
        <v>5.833333333333343</v>
      </c>
      <c r="AB10" s="15">
        <f>'POA — Monthly financial forecas'!AB7-'POA — Monthly financial forecas'!AB8</f>
        <v>5.833333333333329</v>
      </c>
      <c r="AC10" s="15">
        <f>'POA — Monthly financial forecas'!AC7-'POA — Monthly financial forecas'!AC8</f>
        <v>5.833333333333329</v>
      </c>
      <c r="AD10" s="15">
        <f>'POA — Monthly financial forecas'!AD7-'POA — Monthly financial forecas'!AD8</f>
        <v>5.833333333333329</v>
      </c>
      <c r="AE10" s="15">
        <f>'POA — Monthly financial forecas'!AE7-'POA — Monthly financial forecas'!AE8</f>
        <v>5.833333333333343</v>
      </c>
      <c r="AF10" s="15">
        <f>'POA — Monthly financial forecas'!AF7-'POA — Monthly financial forecas'!AF8</f>
        <v>4.166666666666657</v>
      </c>
      <c r="AG10" s="15">
        <f>'POA — Monthly financial forecas'!AG7-'POA — Monthly financial forecas'!AG8</f>
        <v>4.166666666666686</v>
      </c>
      <c r="AH10" s="15">
        <f>'POA — Monthly financial forecas'!AH7-'POA — Monthly financial forecas'!AH8</f>
        <v>4.166666666666657</v>
      </c>
      <c r="AI10" s="15">
        <f>'POA — Monthly financial forecas'!AI7-'POA — Monthly financial forecas'!AI8</f>
        <v>4.166666666666657</v>
      </c>
      <c r="AJ10" s="15">
        <f>'POA — Monthly financial forecas'!AJ7-'POA — Monthly financial forecas'!AJ8</f>
        <v>4.166666666666686</v>
      </c>
      <c r="AK10" s="15">
        <f>'POA — Monthly financial forecas'!AK7-'POA — Monthly financial forecas'!AK8</f>
        <v>4.166666666666657</v>
      </c>
    </row>
    <row r="11">
      <c r="A11" t="inlineStr" s="9">
        <is>
          <t xml:space="preserve">Gross acquired protocols</t>
        </is>
      </c>
      <c r="B11" s="15">
        <f>MAX('POA — Monthly financial forecas'!B10+'POA — Monthly financial forecas'!B9,0)</f>
        <v>1</v>
      </c>
      <c r="C11" s="15">
        <f>MAX('POA — Monthly financial forecas'!C10+'POA — Monthly financial forecas'!C9,0)</f>
        <v>1.0238095238095237</v>
      </c>
      <c r="D11" s="15">
        <f>MAX('POA — Monthly financial forecas'!D10+'POA — Monthly financial forecas'!D9,0)</f>
        <v>1.0476190476190477</v>
      </c>
      <c r="E11" s="15">
        <f>MAX('POA — Monthly financial forecas'!E10+'POA — Monthly financial forecas'!E9,0)</f>
        <v>1.0714285714285714</v>
      </c>
      <c r="F11" s="15">
        <f>MAX('POA — Monthly financial forecas'!F10+'POA — Monthly financial forecas'!F9,0)</f>
        <v>1.0952380952380953</v>
      </c>
      <c r="G11" s="15">
        <f>MAX('POA — Monthly financial forecas'!G10+'POA — Monthly financial forecas'!G9,0)</f>
        <v>1.119047619047619</v>
      </c>
      <c r="H11" s="15">
        <f>MAX('POA — Monthly financial forecas'!H10+'POA — Monthly financial forecas'!H9,0)</f>
        <v>2.809523809523809</v>
      </c>
      <c r="I11" s="15">
        <f>MAX('POA — Monthly financial forecas'!I10+'POA — Monthly financial forecas'!I9,0)</f>
        <v>2.8730158730158726</v>
      </c>
      <c r="J11" s="15">
        <f>MAX('POA — Monthly financial forecas'!J10+'POA — Monthly financial forecas'!J9,0)</f>
        <v>2.9365079365079376</v>
      </c>
      <c r="K11" s="15">
        <f>MAX('POA — Monthly financial forecas'!K10+'POA — Monthly financial forecas'!K9,0)</f>
        <v>2.999999999999998</v>
      </c>
      <c r="L11" s="15">
        <f>MAX('POA — Monthly financial forecas'!L10+'POA — Monthly financial forecas'!L9,0)</f>
        <v>3.0634920634920646</v>
      </c>
      <c r="M11" s="15">
        <f>MAX('POA — Monthly financial forecas'!M10+'POA — Monthly financial forecas'!M9,0)</f>
        <v>3.1269841269841283</v>
      </c>
      <c r="N11" s="15">
        <f>MAX('POA — Monthly financial forecas'!N10+'POA — Monthly financial forecas'!N9,0)</f>
        <v>6.857142857142856</v>
      </c>
      <c r="O11" s="15">
        <f>MAX('POA — Monthly financial forecas'!O10+'POA — Monthly financial forecas'!O9,0)</f>
        <v>7.007936507936507</v>
      </c>
      <c r="P11" s="15">
        <f>MAX('POA — Monthly financial forecas'!P10+'POA — Monthly financial forecas'!P9,0)</f>
        <v>7.158730158730161</v>
      </c>
      <c r="Q11" s="15">
        <f>MAX('POA — Monthly financial forecas'!Q10+'POA — Monthly financial forecas'!Q9,0)</f>
        <v>7.309523809523805</v>
      </c>
      <c r="R11" s="15">
        <f>MAX('POA — Monthly financial forecas'!R10+'POA — Monthly financial forecas'!R9,0)</f>
        <v>7.460317460317462</v>
      </c>
      <c r="S11" s="15">
        <f>MAX('POA — Monthly financial forecas'!S10+'POA — Monthly financial forecas'!S9,0)</f>
        <v>7.611111111111113</v>
      </c>
      <c r="T11" s="15">
        <f>MAX('POA — Monthly financial forecas'!T10+'POA — Monthly financial forecas'!T9,0)</f>
        <v>8.0952380952381</v>
      </c>
      <c r="U11" s="15">
        <f>MAX('POA — Monthly financial forecas'!U10+'POA — Monthly financial forecas'!U9,0)</f>
        <v>8.253968253968244</v>
      </c>
      <c r="V11" s="15">
        <f>MAX('POA — Monthly financial forecas'!V10+'POA — Monthly financial forecas'!V9,0)</f>
        <v>8.412698412698417</v>
      </c>
      <c r="W11" s="15">
        <f>MAX('POA — Monthly financial forecas'!W10+'POA — Monthly financial forecas'!W9,0)</f>
        <v>8.571428571428562</v>
      </c>
      <c r="X11" s="15">
        <f>MAX('POA — Monthly financial forecas'!X10+'POA — Monthly financial forecas'!X9,0)</f>
        <v>8.730158730158735</v>
      </c>
      <c r="Y11" s="15">
        <f>MAX('POA — Monthly financial forecas'!Y10+'POA — Monthly financial forecas'!Y9,0)</f>
        <v>8.888888888888893</v>
      </c>
      <c r="Z11" s="15">
        <f>MAX('POA — Monthly financial forecas'!Z10+'POA — Monthly financial forecas'!Z9,0)</f>
        <v>8.21428571428571</v>
      </c>
      <c r="AA11" s="15">
        <f>MAX('POA — Monthly financial forecas'!AA10+'POA — Monthly financial forecas'!AA9,0)</f>
        <v>8.353174603174612</v>
      </c>
      <c r="AB11" s="15">
        <f>MAX('POA — Monthly financial forecas'!AB10+'POA — Monthly financial forecas'!AB9,0)</f>
        <v>8.492063492063487</v>
      </c>
      <c r="AC11" s="15">
        <f>MAX('POA — Monthly financial forecas'!AC10+'POA — Monthly financial forecas'!AC9,0)</f>
        <v>8.630952380952376</v>
      </c>
      <c r="AD11" s="15">
        <f>MAX('POA — Monthly financial forecas'!AD10+'POA — Monthly financial forecas'!AD9,0)</f>
        <v>8.769841269841265</v>
      </c>
      <c r="AE11" s="15">
        <f>MAX('POA — Monthly financial forecas'!AE10+'POA — Monthly financial forecas'!AE9,0)</f>
        <v>8.908730158730169</v>
      </c>
      <c r="AF11" s="15">
        <f>MAX('POA — Monthly financial forecas'!AF10+'POA — Monthly financial forecas'!AF9,0)</f>
        <v>7.380952380952371</v>
      </c>
      <c r="AG11" s="15">
        <f>MAX('POA — Monthly financial forecas'!AG10+'POA — Monthly financial forecas'!AG9,0)</f>
        <v>7.480158730158749</v>
      </c>
      <c r="AH11" s="15">
        <f>MAX('POA — Monthly financial forecas'!AH10+'POA — Monthly financial forecas'!AH9,0)</f>
        <v>7.57936507936507</v>
      </c>
      <c r="AI11" s="15">
        <f>MAX('POA — Monthly financial forecas'!AI10+'POA — Monthly financial forecas'!AI9,0)</f>
        <v>7.678571428571419</v>
      </c>
      <c r="AJ11" s="15">
        <f>MAX('POA — Monthly financial forecas'!AJ10+'POA — Monthly financial forecas'!AJ9,0)</f>
        <v>7.777777777777796</v>
      </c>
      <c r="AK11" s="15">
        <f>MAX('POA — Monthly financial forecas'!AK10+'POA — Monthly financial forecas'!AK9,0)</f>
        <v>7.876984126984118</v>
      </c>
    </row>
    <row r="12">
      <c r="A12" t="inlineStr" s="9">
        <is>
          <t xml:space="preserve">Market penetration</t>
        </is>
      </c>
      <c r="B12" s="14">
        <f>'POA — Monthly financial forecas'!B7/'Model inputs'!AM106</f>
        <v>0.005</v>
      </c>
      <c r="C12" s="14">
        <f>'POA — Monthly financial forecas'!C7/'Model inputs'!AM106</f>
        <v>0.01</v>
      </c>
      <c r="D12" s="14">
        <f>'POA — Monthly financial forecas'!D7/'Model inputs'!AM106</f>
        <v>0.015</v>
      </c>
      <c r="E12" s="14">
        <f>'POA — Monthly financial forecas'!E7/'Model inputs'!AM106</f>
        <v>0.02</v>
      </c>
      <c r="F12" s="14">
        <f>'POA — Monthly financial forecas'!F7/'Model inputs'!AM106</f>
        <v>0.025</v>
      </c>
      <c r="G12" s="14">
        <f>'POA — Monthly financial forecas'!G7/'Model inputs'!AM106</f>
        <v>0.03</v>
      </c>
      <c r="H12" s="14">
        <f>'POA — Monthly financial forecas'!H7/'Model inputs'!AM106</f>
        <v>0.04333333333333333</v>
      </c>
      <c r="I12" s="14">
        <f>'POA — Monthly financial forecas'!I7/'Model inputs'!AM106</f>
        <v>0.056666666666666664</v>
      </c>
      <c r="J12" s="14">
        <f>'POA — Monthly financial forecas'!J7/'Model inputs'!AM106</f>
        <v>0.07</v>
      </c>
      <c r="K12" s="14">
        <f>'POA — Monthly financial forecas'!K7/'Model inputs'!AM106</f>
        <v>0.08333333333333331</v>
      </c>
      <c r="L12" s="14">
        <f>'POA — Monthly financial forecas'!L7/'Model inputs'!AM106</f>
        <v>0.09666666666666666</v>
      </c>
      <c r="M12" s="14">
        <f>'POA — Monthly financial forecas'!M7/'Model inputs'!AM106</f>
        <v>0.11</v>
      </c>
      <c r="N12" s="14">
        <f>'POA — Monthly financial forecas'!N7/'Model inputs'!AM106</f>
        <v>0.14166666666666666</v>
      </c>
      <c r="O12" s="14">
        <f>'POA — Monthly financial forecas'!O7/'Model inputs'!AM106</f>
        <v>0.1733333333333333</v>
      </c>
      <c r="P12" s="14">
        <f>'POA — Monthly financial forecas'!P7/'Model inputs'!AM106</f>
        <v>0.205</v>
      </c>
      <c r="Q12" s="14">
        <f>'POA — Monthly financial forecas'!Q7/'Model inputs'!AM106</f>
        <v>0.23666666666666664</v>
      </c>
      <c r="R12" s="14">
        <f>'POA — Monthly financial forecas'!R7/'Model inputs'!AM106</f>
        <v>0.2683333333333333</v>
      </c>
      <c r="S12" s="14">
        <f>'POA — Monthly financial forecas'!S7/'Model inputs'!AM106</f>
        <v>0.3</v>
      </c>
      <c r="T12" s="14">
        <f>'POA — Monthly financial forecas'!T7/'Model inputs'!AM106</f>
        <v>0.33333333333333337</v>
      </c>
      <c r="U12" s="14">
        <f>'POA — Monthly financial forecas'!U7/'Model inputs'!AM106</f>
        <v>0.36666666666666664</v>
      </c>
      <c r="V12" s="14">
        <f>'POA — Monthly financial forecas'!V7/'Model inputs'!AM106</f>
        <v>0.4</v>
      </c>
      <c r="W12" s="14">
        <f>'POA — Monthly financial forecas'!W7/'Model inputs'!AM106</f>
        <v>0.4333333333333333</v>
      </c>
      <c r="X12" s="14">
        <f>'POA — Monthly financial forecas'!X7/'Model inputs'!AM106</f>
        <v>0.4666666666666666</v>
      </c>
      <c r="Y12" s="14">
        <f>'POA — Monthly financial forecas'!Y7/'Model inputs'!AM106</f>
        <v>0.5</v>
      </c>
      <c r="Z12" s="14">
        <f>'POA — Monthly financial forecas'!Z7/'Model inputs'!AM106</f>
        <v>0.5291666666666667</v>
      </c>
      <c r="AA12" s="14">
        <f>'POA — Monthly financial forecas'!AA7/'Model inputs'!AM106</f>
        <v>0.5583333333333333</v>
      </c>
      <c r="AB12" s="14">
        <f>'POA — Monthly financial forecas'!AB7/'Model inputs'!AM106</f>
        <v>0.5875</v>
      </c>
      <c r="AC12" s="14">
        <f>'POA — Monthly financial forecas'!AC7/'Model inputs'!AM106</f>
        <v>0.6166666666666667</v>
      </c>
      <c r="AD12" s="14">
        <f>'POA — Monthly financial forecas'!AD7/'Model inputs'!AM106</f>
        <v>0.6458333333333333</v>
      </c>
      <c r="AE12" s="14">
        <f>'POA — Monthly financial forecas'!AE7/'Model inputs'!AM106</f>
        <v>0.675</v>
      </c>
      <c r="AF12" s="14">
        <f>'POA — Monthly financial forecas'!AF7/'Model inputs'!AM106</f>
        <v>0.6958333333333333</v>
      </c>
      <c r="AG12" s="14">
        <f>'POA — Monthly financial forecas'!AG7/'Model inputs'!AM106</f>
        <v>0.7166666666666667</v>
      </c>
      <c r="AH12" s="14">
        <f>'POA — Monthly financial forecas'!AH7/'Model inputs'!AM106</f>
        <v>0.7375</v>
      </c>
      <c r="AI12" s="14">
        <f>'POA — Monthly financial forecas'!AI7/'Model inputs'!AM106</f>
        <v>0.7583333333333333</v>
      </c>
      <c r="AJ12" s="14">
        <f>'POA — Monthly financial forecas'!AJ7/'Model inputs'!AM106</f>
        <v>0.7791666666666667</v>
      </c>
      <c r="AK12" s="14">
        <f>'POA — Monthly financial forecas'!AK7/'Model inputs'!AM106</f>
        <v>0.8</v>
      </c>
    </row>
    <row r="13">
      <c r="A13" t="inlineStr" s="9">
        <is>
          <t xml:space="preserve">Contingency revenue per active protocol</t>
        </is>
      </c>
      <c r="B13" s="16">
        <f>IF('Model inputs'!B723="",0,'Model inputs'!B723)/'Model inputs'!AM9*'Model inputs'!AM14*'Model inputs'!AM74</f>
        <v>20.833333333333332</v>
      </c>
      <c r="C13" s="16">
        <f>IF('Model inputs'!B724="",0,'Model inputs'!B724)/'Model inputs'!AM9*'Model inputs'!AM14*'Model inputs'!AM74</f>
        <v>41.666666666666664</v>
      </c>
      <c r="D13" s="16">
        <f>IF('Model inputs'!B725="",0,'Model inputs'!B725)/'Model inputs'!AM9*'Model inputs'!AM14*'Model inputs'!AM74</f>
        <v>62.5</v>
      </c>
      <c r="E13" s="16">
        <f>IF('Model inputs'!B726="",0,'Model inputs'!B726)/'Model inputs'!AM9*'Model inputs'!AM14*'Model inputs'!AM74</f>
        <v>83.33333333333333</v>
      </c>
      <c r="F13" s="16">
        <f>IF('Model inputs'!B727="",0,'Model inputs'!B727)/'Model inputs'!AM9*'Model inputs'!AM14*'Model inputs'!AM74</f>
        <v>104.16666666666666</v>
      </c>
      <c r="G13" s="16">
        <f>IF('Model inputs'!B728="",0,'Model inputs'!B728)/'Model inputs'!AM9*'Model inputs'!AM14*'Model inputs'!AM74</f>
        <v>125</v>
      </c>
      <c r="H13" s="16">
        <f>IF('Model inputs'!B729="",0,'Model inputs'!B729)/'Model inputs'!AM9*'Model inputs'!AM14*'Model inputs'!AM74</f>
        <v>227.90404040404033</v>
      </c>
      <c r="I13" s="16">
        <f>IF('Model inputs'!B730="",0,'Model inputs'!B730)/'Model inputs'!AM9*'Model inputs'!AM14*'Model inputs'!AM74</f>
        <v>330.80808080808066</v>
      </c>
      <c r="J13" s="16">
        <f>IF('Model inputs'!B731="",0,'Model inputs'!B731)/'Model inputs'!AM9*'Model inputs'!AM14*'Model inputs'!AM74</f>
        <v>433.712121212121</v>
      </c>
      <c r="K13" s="16">
        <f>IF('Model inputs'!B732="",0,'Model inputs'!B732)/'Model inputs'!AM9*'Model inputs'!AM14*'Model inputs'!AM74</f>
        <v>536.6161616161613</v>
      </c>
      <c r="L13" s="16">
        <f>IF('Model inputs'!B733="",0,'Model inputs'!B733)/'Model inputs'!AM9*'Model inputs'!AM14*'Model inputs'!AM74</f>
        <v>639.5202020202016</v>
      </c>
      <c r="M13" s="16">
        <f>IF('Model inputs'!B734="",0,'Model inputs'!B734)/'Model inputs'!AM9*'Model inputs'!AM14*'Model inputs'!AM74</f>
        <v>742.424242424242</v>
      </c>
      <c r="N13" s="16">
        <f>IF('Model inputs'!B735="",0,'Model inputs'!B735)/'Model inputs'!AM9*'Model inputs'!AM14*'Model inputs'!AM74</f>
        <v>827.0202020202019</v>
      </c>
      <c r="O13" s="16">
        <f>IF('Model inputs'!B736="",0,'Model inputs'!B736)/'Model inputs'!AM9*'Model inputs'!AM14*'Model inputs'!AM74</f>
        <v>911.6161616161613</v>
      </c>
      <c r="P13" s="16">
        <f>IF('Model inputs'!B737="",0,'Model inputs'!B737)/'Model inputs'!AM9*'Model inputs'!AM14*'Model inputs'!AM74</f>
        <v>996.212121212121</v>
      </c>
      <c r="Q13" s="16">
        <f>IF('Model inputs'!B738="",0,'Model inputs'!B738)/'Model inputs'!AM9*'Model inputs'!AM14*'Model inputs'!AM74</f>
        <v>1080.8080808080806</v>
      </c>
      <c r="R13" s="16">
        <f>IF('Model inputs'!B739="",0,'Model inputs'!B739)/'Model inputs'!AM9*'Model inputs'!AM14*'Model inputs'!AM74</f>
        <v>1165.4040404040402</v>
      </c>
      <c r="S13" s="16">
        <f>IF('Model inputs'!B740="",0,'Model inputs'!B740)/'Model inputs'!AM9*'Model inputs'!AM14*'Model inputs'!AM74</f>
        <v>1250</v>
      </c>
      <c r="T13" s="16">
        <f>IF('Model inputs'!B741="",0,'Model inputs'!B741)/'Model inputs'!AM9*'Model inputs'!AM14*'Model inputs'!AM74</f>
        <v>1291.6666666666667</v>
      </c>
      <c r="U13" s="16">
        <f>IF('Model inputs'!B742="",0,'Model inputs'!B742)/'Model inputs'!AM9*'Model inputs'!AM14*'Model inputs'!AM74</f>
        <v>1333.3333333333333</v>
      </c>
      <c r="V13" s="16">
        <f>IF('Model inputs'!B743="",0,'Model inputs'!B743)/'Model inputs'!AM9*'Model inputs'!AM14*'Model inputs'!AM74</f>
        <v>1375</v>
      </c>
      <c r="W13" s="16">
        <f>IF('Model inputs'!B744="",0,'Model inputs'!B744)/'Model inputs'!AM9*'Model inputs'!AM14*'Model inputs'!AM74</f>
        <v>1416.6666666666667</v>
      </c>
      <c r="X13" s="16">
        <f>IF('Model inputs'!B745="",0,'Model inputs'!B745)/'Model inputs'!AM9*'Model inputs'!AM14*'Model inputs'!AM74</f>
        <v>1458.3333333333333</v>
      </c>
      <c r="Y13" s="16">
        <f>IF('Model inputs'!B746="",0,'Model inputs'!B746)/'Model inputs'!AM9*'Model inputs'!AM14*'Model inputs'!AM74</f>
        <v>1500</v>
      </c>
      <c r="Z13" s="16">
        <f>IF('Model inputs'!B747="",0,'Model inputs'!B747)/'Model inputs'!AM9*'Model inputs'!AM14*'Model inputs'!AM74</f>
        <v>1541.6666666666667</v>
      </c>
      <c r="AA13" s="16">
        <f>IF('Model inputs'!B748="",0,'Model inputs'!B748)/'Model inputs'!AM9*'Model inputs'!AM14*'Model inputs'!AM74</f>
        <v>1583.3333333333333</v>
      </c>
      <c r="AB13" s="16">
        <f>IF('Model inputs'!B749="",0,'Model inputs'!B749)/'Model inputs'!AM9*'Model inputs'!AM14*'Model inputs'!AM74</f>
        <v>1625</v>
      </c>
      <c r="AC13" s="16">
        <f>IF('Model inputs'!B750="",0,'Model inputs'!B750)/'Model inputs'!AM9*'Model inputs'!AM14*'Model inputs'!AM74</f>
        <v>1666.666666666667</v>
      </c>
      <c r="AD13" s="16">
        <f>IF('Model inputs'!B751="",0,'Model inputs'!B751)/'Model inputs'!AM9*'Model inputs'!AM14*'Model inputs'!AM74</f>
        <v>1708.3333333333333</v>
      </c>
      <c r="AE13" s="16">
        <f>IF('Model inputs'!B752="",0,'Model inputs'!B752)/'Model inputs'!AM9*'Model inputs'!AM14*'Model inputs'!AM74</f>
        <v>1750</v>
      </c>
      <c r="AF13" s="16">
        <f>IF('Model inputs'!B753="",0,'Model inputs'!B753)/'Model inputs'!AM9*'Model inputs'!AM14*'Model inputs'!AM74</f>
        <v>1791.666666666667</v>
      </c>
      <c r="AG13" s="16">
        <f>IF('Model inputs'!B754="",0,'Model inputs'!B754)/'Model inputs'!AM9*'Model inputs'!AM14*'Model inputs'!AM74</f>
        <v>1833.3333333333333</v>
      </c>
      <c r="AH13" s="16">
        <f>IF('Model inputs'!B755="",0,'Model inputs'!B755)/'Model inputs'!AM9*'Model inputs'!AM14*'Model inputs'!AM74</f>
        <v>1875</v>
      </c>
      <c r="AI13" s="16">
        <f>IF('Model inputs'!B756="",0,'Model inputs'!B756)/'Model inputs'!AM9*'Model inputs'!AM14*'Model inputs'!AM74</f>
        <v>1916.666666666667</v>
      </c>
      <c r="AJ13" s="16">
        <f>IF('Model inputs'!B757="",0,'Model inputs'!B757)/'Model inputs'!AM9*'Model inputs'!AM14*'Model inputs'!AM74</f>
        <v>1958.3333333333333</v>
      </c>
      <c r="AK13" s="16">
        <f>IF('Model inputs'!B758="",0,'Model inputs'!B758)/'Model inputs'!AM9*'Model inputs'!AM14*'Model inputs'!AM74</f>
        <v>2000</v>
      </c>
    </row>
    <row r="14">
      <c r="A14" t="inlineStr" s="5">
        <is>
          <t xml:space="preserve">Active protocols by segment</t>
        </is>
      </c>
      <c r="B14" s="17">
        <f>SUM('POA — Monthly financial forecas'!B15,'POA — Monthly financial forecas'!B16,'POA — Monthly financial forecas'!B17)</f>
        <v>1</v>
      </c>
      <c r="C14" s="17">
        <f>SUM('POA — Monthly financial forecas'!C15,'POA — Monthly financial forecas'!C16,'POA — Monthly financial forecas'!C17)</f>
        <v>2</v>
      </c>
      <c r="D14" s="17">
        <f>SUM('POA — Monthly financial forecas'!D15,'POA — Monthly financial forecas'!D16,'POA — Monthly financial forecas'!D17)</f>
        <v>3</v>
      </c>
      <c r="E14" s="17">
        <f>SUM('POA — Monthly financial forecas'!E15,'POA — Monthly financial forecas'!E16,'POA — Monthly financial forecas'!E17)</f>
        <v>4</v>
      </c>
      <c r="F14" s="17">
        <f>SUM('POA — Monthly financial forecas'!F15,'POA — Monthly financial forecas'!F16,'POA — Monthly financial forecas'!F17)</f>
        <v>5</v>
      </c>
      <c r="G14" s="17">
        <f>SUM('POA — Monthly financial forecas'!G15,'POA — Monthly financial forecas'!G16,'POA — Monthly financial forecas'!G17)</f>
        <v>6</v>
      </c>
      <c r="H14" s="17">
        <f>SUM('POA — Monthly financial forecas'!H15,'POA — Monthly financial forecas'!H16,'POA — Monthly financial forecas'!H17)</f>
        <v>8.666666666666666</v>
      </c>
      <c r="I14" s="17">
        <f>SUM('POA — Monthly financial forecas'!I15,'POA — Monthly financial forecas'!I16,'POA — Monthly financial forecas'!I17)</f>
        <v>11.333333333333332</v>
      </c>
      <c r="J14" s="17">
        <f>SUM('POA — Monthly financial forecas'!J15,'POA — Monthly financial forecas'!J16,'POA — Monthly financial forecas'!J17)</f>
        <v>14</v>
      </c>
      <c r="K14" s="17">
        <f>SUM('POA — Monthly financial forecas'!K15,'POA — Monthly financial forecas'!K16,'POA — Monthly financial forecas'!K17)</f>
        <v>16.666666666666664</v>
      </c>
      <c r="L14" s="17">
        <f>SUM('POA — Monthly financial forecas'!L15,'POA — Monthly financial forecas'!L16,'POA — Monthly financial forecas'!L17)</f>
        <v>19.333333333333332</v>
      </c>
      <c r="M14" s="17">
        <f>SUM('POA — Monthly financial forecas'!M15,'POA — Monthly financial forecas'!M16,'POA — Monthly financial forecas'!M17)</f>
        <v>22</v>
      </c>
      <c r="N14" s="17">
        <f>SUM('POA — Monthly financial forecas'!N15,'POA — Monthly financial forecas'!N16,'POA — Monthly financial forecas'!N17)</f>
        <v>28.333333333333336</v>
      </c>
      <c r="O14" s="17">
        <f>SUM('POA — Monthly financial forecas'!O15,'POA — Monthly financial forecas'!O16,'POA — Monthly financial forecas'!O17)</f>
        <v>34.666666666666664</v>
      </c>
      <c r="P14" s="17">
        <f>SUM('POA — Monthly financial forecas'!P15,'POA — Monthly financial forecas'!P16,'POA — Monthly financial forecas'!P17)</f>
        <v>41</v>
      </c>
      <c r="Q14" s="17">
        <f>SUM('POA — Monthly financial forecas'!Q15,'POA — Monthly financial forecas'!Q16,'POA — Monthly financial forecas'!Q17)</f>
        <v>47.33333333333333</v>
      </c>
      <c r="R14" s="17">
        <f>SUM('POA — Monthly financial forecas'!R15,'POA — Monthly financial forecas'!R16,'POA — Monthly financial forecas'!R17)</f>
        <v>53.666666666666664</v>
      </c>
      <c r="S14" s="17">
        <f>SUM('POA — Monthly financial forecas'!S15,'POA — Monthly financial forecas'!S16,'POA — Monthly financial forecas'!S17)</f>
        <v>60</v>
      </c>
      <c r="T14" s="17">
        <f>SUM('POA — Monthly financial forecas'!T15,'POA — Monthly financial forecas'!T16,'POA — Monthly financial forecas'!T17)</f>
        <v>66.66666666666667</v>
      </c>
      <c r="U14" s="17">
        <f>SUM('POA — Monthly financial forecas'!U15,'POA — Monthly financial forecas'!U16,'POA — Monthly financial forecas'!U17)</f>
        <v>73.33333333333333</v>
      </c>
      <c r="V14" s="17">
        <f>SUM('POA — Monthly financial forecas'!V15,'POA — Monthly financial forecas'!V16,'POA — Monthly financial forecas'!V17)</f>
        <v>80</v>
      </c>
      <c r="W14" s="17">
        <f>SUM('POA — Monthly financial forecas'!W15,'POA — Monthly financial forecas'!W16,'POA — Monthly financial forecas'!W17)</f>
        <v>86.66666666666666</v>
      </c>
      <c r="X14" s="17">
        <f>SUM('POA — Monthly financial forecas'!X15,'POA — Monthly financial forecas'!X16,'POA — Monthly financial forecas'!X17)</f>
        <v>93.33333333333333</v>
      </c>
      <c r="Y14" s="17">
        <f>SUM('POA — Monthly financial forecas'!Y15,'POA — Monthly financial forecas'!Y16,'POA — Monthly financial forecas'!Y17)</f>
        <v>100</v>
      </c>
      <c r="Z14" s="17">
        <f>SUM('POA — Monthly financial forecas'!Z15,'POA — Monthly financial forecas'!Z16,'POA — Monthly financial forecas'!Z17)</f>
        <v>105.83333333333333</v>
      </c>
      <c r="AA14" s="17">
        <f>SUM('POA — Monthly financial forecas'!AA15,'POA — Monthly financial forecas'!AA16,'POA — Monthly financial forecas'!AA17)</f>
        <v>111.66666666666667</v>
      </c>
      <c r="AB14" s="17">
        <f>SUM('POA — Monthly financial forecas'!AB15,'POA — Monthly financial forecas'!AB16,'POA — Monthly financial forecas'!AB17)</f>
        <v>117.5</v>
      </c>
      <c r="AC14" s="17">
        <f>SUM('POA — Monthly financial forecas'!AC15,'POA — Monthly financial forecas'!AC16,'POA — Monthly financial forecas'!AC17)</f>
        <v>123.33333333333334</v>
      </c>
      <c r="AD14" s="17">
        <f>SUM('POA — Monthly financial forecas'!AD15,'POA — Monthly financial forecas'!AD16,'POA — Monthly financial forecas'!AD17)</f>
        <v>129.16666666666666</v>
      </c>
      <c r="AE14" s="17">
        <f>SUM('POA — Monthly financial forecas'!AE15,'POA — Monthly financial forecas'!AE16,'POA — Monthly financial forecas'!AE17)</f>
        <v>135</v>
      </c>
      <c r="AF14" s="17">
        <f>SUM('POA — Monthly financial forecas'!AF15,'POA — Monthly financial forecas'!AF16,'POA — Monthly financial forecas'!AF17)</f>
        <v>139.16666666666666</v>
      </c>
      <c r="AG14" s="17">
        <f>SUM('POA — Monthly financial forecas'!AG15,'POA — Monthly financial forecas'!AG16,'POA — Monthly financial forecas'!AG17)</f>
        <v>143.33333333333334</v>
      </c>
      <c r="AH14" s="17">
        <f>SUM('POA — Monthly financial forecas'!AH15,'POA — Monthly financial forecas'!AH16,'POA — Monthly financial forecas'!AH17)</f>
        <v>147.5</v>
      </c>
      <c r="AI14" s="17">
        <f>SUM('POA — Monthly financial forecas'!AI15,'POA — Monthly financial forecas'!AI16,'POA — Monthly financial forecas'!AI17)</f>
        <v>151.66666666666666</v>
      </c>
      <c r="AJ14" s="17">
        <f>SUM('POA — Monthly financial forecas'!AJ15,'POA — Monthly financial forecas'!AJ16,'POA — Monthly financial forecas'!AJ17)</f>
        <v>155.83333333333334</v>
      </c>
      <c r="AK14" s="17">
        <f>SUM('POA — Monthly financial forecas'!AK15,'POA — Monthly financial forecas'!AK16,'POA — Monthly financial forecas'!AK17)</f>
        <v>160</v>
      </c>
    </row>
    <row r="15" outlineLevel="1">
      <c r="A15" t="inlineStr" s="18">
        <is>
          <t xml:space="preserve">DEX</t>
        </is>
      </c>
      <c r="B15" s="15">
        <f>'POA — Monthly financial forecas'!B7*'Model inputs'!AM76</f>
        <v>0.3</v>
      </c>
      <c r="C15" s="15">
        <f>'POA — Monthly financial forecas'!C7*'Model inputs'!AM76</f>
        <v>0.6</v>
      </c>
      <c r="D15" s="15">
        <f>'POA — Monthly financial forecas'!D7*'Model inputs'!AM76</f>
        <v>0.8999999999999999</v>
      </c>
      <c r="E15" s="15">
        <f>'POA — Monthly financial forecas'!E7*'Model inputs'!AM76</f>
        <v>1.2</v>
      </c>
      <c r="F15" s="15">
        <f>'POA — Monthly financial forecas'!F7*'Model inputs'!AM76</f>
        <v>1.5</v>
      </c>
      <c r="G15" s="15">
        <f>'POA — Monthly financial forecas'!G7*'Model inputs'!AM76</f>
        <v>1.7999999999999998</v>
      </c>
      <c r="H15" s="15">
        <f>'POA — Monthly financial forecas'!H7*'Model inputs'!AM76</f>
        <v>2.5999999999999996</v>
      </c>
      <c r="I15" s="15">
        <f>'POA — Monthly financial forecas'!I7*'Model inputs'!AM76</f>
        <v>3.3999999999999995</v>
      </c>
      <c r="J15" s="15">
        <f>'POA — Monthly financial forecas'!J7*'Model inputs'!AM76</f>
        <v>4.2</v>
      </c>
      <c r="K15" s="15">
        <f>'POA — Monthly financial forecas'!K7*'Model inputs'!AM76</f>
        <v>4.999999999999999</v>
      </c>
      <c r="L15" s="15">
        <f>'POA — Monthly financial forecas'!L7*'Model inputs'!AM76</f>
        <v>5.8</v>
      </c>
      <c r="M15" s="15">
        <f>'POA — Monthly financial forecas'!M7*'Model inputs'!AM76</f>
        <v>6.6</v>
      </c>
      <c r="N15" s="15">
        <f>'POA — Monthly financial forecas'!N7*'Model inputs'!AM76</f>
        <v>8.5</v>
      </c>
      <c r="O15" s="15">
        <f>'POA — Monthly financial forecas'!O7*'Model inputs'!AM76</f>
        <v>10.399999999999999</v>
      </c>
      <c r="P15" s="15">
        <f>'POA — Monthly financial forecas'!P7*'Model inputs'!AM76</f>
        <v>12.299999999999999</v>
      </c>
      <c r="Q15" s="15">
        <f>'POA — Monthly financial forecas'!Q7*'Model inputs'!AM76</f>
        <v>14.199999999999998</v>
      </c>
      <c r="R15" s="15">
        <f>'POA — Monthly financial forecas'!R7*'Model inputs'!AM76</f>
        <v>16.099999999999998</v>
      </c>
      <c r="S15" s="15">
        <f>'POA — Monthly financial forecas'!S7*'Model inputs'!AM76</f>
        <v>18</v>
      </c>
      <c r="T15" s="15">
        <f>'POA — Monthly financial forecas'!T7*'Model inputs'!AM76</f>
        <v>20</v>
      </c>
      <c r="U15" s="15">
        <f>'POA — Monthly financial forecas'!U7*'Model inputs'!AM76</f>
        <v>21.999999999999996</v>
      </c>
      <c r="V15" s="15">
        <f>'POA — Monthly financial forecas'!V7*'Model inputs'!AM76</f>
        <v>24</v>
      </c>
      <c r="W15" s="15">
        <f>'POA — Monthly financial forecas'!W7*'Model inputs'!AM76</f>
        <v>25.999999999999996</v>
      </c>
      <c r="X15" s="15">
        <f>'POA — Monthly financial forecas'!X7*'Model inputs'!AM76</f>
        <v>27.999999999999996</v>
      </c>
      <c r="Y15" s="15">
        <f>'POA — Monthly financial forecas'!Y7*'Model inputs'!AM76</f>
        <v>30</v>
      </c>
      <c r="Z15" s="15">
        <f>'POA — Monthly financial forecas'!Z7*'Model inputs'!AM76</f>
        <v>31.749999999999996</v>
      </c>
      <c r="AA15" s="15">
        <f>'POA — Monthly financial forecas'!AA7*'Model inputs'!AM76</f>
        <v>33.5</v>
      </c>
      <c r="AB15" s="15">
        <f>'POA — Monthly financial forecas'!AB7*'Model inputs'!AM76</f>
        <v>35.25</v>
      </c>
      <c r="AC15" s="15">
        <f>'POA — Monthly financial forecas'!AC7*'Model inputs'!AM76</f>
        <v>37</v>
      </c>
      <c r="AD15" s="15">
        <f>'POA — Monthly financial forecas'!AD7*'Model inputs'!AM76</f>
        <v>38.74999999999999</v>
      </c>
      <c r="AE15" s="15">
        <f>'POA — Monthly financial forecas'!AE7*'Model inputs'!AM76</f>
        <v>40.5</v>
      </c>
      <c r="AF15" s="15">
        <f>'POA — Monthly financial forecas'!AF7*'Model inputs'!AM76</f>
        <v>41.74999999999999</v>
      </c>
      <c r="AG15" s="15">
        <f>'POA — Monthly financial forecas'!AG7*'Model inputs'!AM76</f>
        <v>43</v>
      </c>
      <c r="AH15" s="15">
        <f>'POA — Monthly financial forecas'!AH7*'Model inputs'!AM76</f>
        <v>44.25</v>
      </c>
      <c r="AI15" s="15">
        <f>'POA — Monthly financial forecas'!AI7*'Model inputs'!AM76</f>
        <v>45.49999999999999</v>
      </c>
      <c r="AJ15" s="15">
        <f>'POA — Monthly financial forecas'!AJ7*'Model inputs'!AM76</f>
        <v>46.75</v>
      </c>
      <c r="AK15" s="15">
        <f>'POA — Monthly financial forecas'!AK7*'Model inputs'!AM76</f>
        <v>48</v>
      </c>
    </row>
    <row r="16" outlineLevel="1">
      <c r="A16" t="inlineStr" s="18">
        <is>
          <t xml:space="preserve">Lending</t>
        </is>
      </c>
      <c r="B16" s="15">
        <f>'POA — Monthly financial forecas'!B7*'Model inputs'!AM77</f>
        <v>0.4</v>
      </c>
      <c r="C16" s="15">
        <f>'POA — Monthly financial forecas'!C7*'Model inputs'!AM77</f>
        <v>0.8</v>
      </c>
      <c r="D16" s="15">
        <f>'POA — Monthly financial forecas'!D7*'Model inputs'!AM77</f>
        <v>1.2000000000000002</v>
      </c>
      <c r="E16" s="15">
        <f>'POA — Monthly financial forecas'!E7*'Model inputs'!AM77</f>
        <v>1.6</v>
      </c>
      <c r="F16" s="15">
        <f>'POA — Monthly financial forecas'!F7*'Model inputs'!AM77</f>
        <v>2</v>
      </c>
      <c r="G16" s="15">
        <f>'POA — Monthly financial forecas'!G7*'Model inputs'!AM77</f>
        <v>2.4000000000000004</v>
      </c>
      <c r="H16" s="15">
        <f>'POA — Monthly financial forecas'!H7*'Model inputs'!AM77</f>
        <v>3.466666666666667</v>
      </c>
      <c r="I16" s="15">
        <f>'POA — Monthly financial forecas'!I7*'Model inputs'!AM77</f>
        <v>4.533333333333333</v>
      </c>
      <c r="J16" s="15">
        <f>'POA — Monthly financial forecas'!J7*'Model inputs'!AM77</f>
        <v>5.6000000000000005</v>
      </c>
      <c r="K16" s="15">
        <f>'POA — Monthly financial forecas'!K7*'Model inputs'!AM77</f>
        <v>6.666666666666666</v>
      </c>
      <c r="L16" s="15">
        <f>'POA — Monthly financial forecas'!L7*'Model inputs'!AM77</f>
        <v>7.733333333333333</v>
      </c>
      <c r="M16" s="15">
        <f>'POA — Monthly financial forecas'!M7*'Model inputs'!AM77</f>
        <v>8.8</v>
      </c>
      <c r="N16" s="15">
        <f>'POA — Monthly financial forecas'!N7*'Model inputs'!AM77</f>
        <v>11.333333333333334</v>
      </c>
      <c r="O16" s="15">
        <f>'POA — Monthly financial forecas'!O7*'Model inputs'!AM77</f>
        <v>13.866666666666667</v>
      </c>
      <c r="P16" s="15">
        <f>'POA — Monthly financial forecas'!P7*'Model inputs'!AM77</f>
        <v>16.400000000000002</v>
      </c>
      <c r="Q16" s="15">
        <f>'POA — Monthly financial forecas'!Q7*'Model inputs'!AM77</f>
        <v>18.933333333333334</v>
      </c>
      <c r="R16" s="15">
        <f>'POA — Monthly financial forecas'!R7*'Model inputs'!AM77</f>
        <v>21.46666666666667</v>
      </c>
      <c r="S16" s="15">
        <f>'POA — Monthly financial forecas'!S7*'Model inputs'!AM77</f>
        <v>24</v>
      </c>
      <c r="T16" s="15">
        <f>'POA — Monthly financial forecas'!T7*'Model inputs'!AM77</f>
        <v>26.66666666666667</v>
      </c>
      <c r="U16" s="15">
        <f>'POA — Monthly financial forecas'!U7*'Model inputs'!AM77</f>
        <v>29.333333333333332</v>
      </c>
      <c r="V16" s="15">
        <f>'POA — Monthly financial forecas'!V7*'Model inputs'!AM77</f>
        <v>32</v>
      </c>
      <c r="W16" s="15">
        <f>'POA — Monthly financial forecas'!W7*'Model inputs'!AM77</f>
        <v>34.666666666666664</v>
      </c>
      <c r="X16" s="15">
        <f>'POA — Monthly financial forecas'!X7*'Model inputs'!AM77</f>
        <v>37.333333333333336</v>
      </c>
      <c r="Y16" s="15">
        <f>'POA — Monthly financial forecas'!Y7*'Model inputs'!AM77</f>
        <v>40</v>
      </c>
      <c r="Z16" s="15">
        <f>'POA — Monthly financial forecas'!Z7*'Model inputs'!AM77</f>
        <v>42.333333333333336</v>
      </c>
      <c r="AA16" s="15">
        <f>'POA — Monthly financial forecas'!AA7*'Model inputs'!AM77</f>
        <v>44.66666666666667</v>
      </c>
      <c r="AB16" s="15">
        <f>'POA — Monthly financial forecas'!AB7*'Model inputs'!AM77</f>
        <v>47</v>
      </c>
      <c r="AC16" s="15">
        <f>'POA — Monthly financial forecas'!AC7*'Model inputs'!AM77</f>
        <v>49.333333333333336</v>
      </c>
      <c r="AD16" s="15">
        <f>'POA — Monthly financial forecas'!AD7*'Model inputs'!AM77</f>
        <v>51.666666666666664</v>
      </c>
      <c r="AE16" s="15">
        <f>'POA — Monthly financial forecas'!AE7*'Model inputs'!AM77</f>
        <v>54</v>
      </c>
      <c r="AF16" s="15">
        <f>'POA — Monthly financial forecas'!AF7*'Model inputs'!AM77</f>
        <v>55.666666666666664</v>
      </c>
      <c r="AG16" s="15">
        <f>'POA — Monthly financial forecas'!AG7*'Model inputs'!AM77</f>
        <v>57.33333333333334</v>
      </c>
      <c r="AH16" s="15">
        <f>'POA — Monthly financial forecas'!AH7*'Model inputs'!AM77</f>
        <v>59</v>
      </c>
      <c r="AI16" s="15">
        <f>'POA — Monthly financial forecas'!AI7*'Model inputs'!AM77</f>
        <v>60.666666666666664</v>
      </c>
      <c r="AJ16" s="15">
        <f>'POA — Monthly financial forecas'!AJ7*'Model inputs'!AM77</f>
        <v>62.33333333333334</v>
      </c>
      <c r="AK16" s="15">
        <f>'POA — Monthly financial forecas'!AK7*'Model inputs'!AM77</f>
        <v>64</v>
      </c>
    </row>
    <row r="17" outlineLevel="1">
      <c r="A17" t="inlineStr" s="18">
        <is>
          <t xml:space="preserve">Liquid staking</t>
        </is>
      </c>
      <c r="B17" s="15">
        <f>'POA — Monthly financial forecas'!B7*'Model inputs'!AM78</f>
        <v>0.3</v>
      </c>
      <c r="C17" s="15">
        <f>'POA — Monthly financial forecas'!C7*'Model inputs'!AM78</f>
        <v>0.6</v>
      </c>
      <c r="D17" s="15">
        <f>'POA — Monthly financial forecas'!D7*'Model inputs'!AM78</f>
        <v>0.8999999999999999</v>
      </c>
      <c r="E17" s="15">
        <f>'POA — Monthly financial forecas'!E7*'Model inputs'!AM78</f>
        <v>1.2</v>
      </c>
      <c r="F17" s="15">
        <f>'POA — Monthly financial forecas'!F7*'Model inputs'!AM78</f>
        <v>1.5</v>
      </c>
      <c r="G17" s="15">
        <f>'POA — Monthly financial forecas'!G7*'Model inputs'!AM78</f>
        <v>1.7999999999999998</v>
      </c>
      <c r="H17" s="15">
        <f>'POA — Monthly financial forecas'!H7*'Model inputs'!AM78</f>
        <v>2.5999999999999996</v>
      </c>
      <c r="I17" s="15">
        <f>'POA — Monthly financial forecas'!I7*'Model inputs'!AM78</f>
        <v>3.3999999999999995</v>
      </c>
      <c r="J17" s="15">
        <f>'POA — Monthly financial forecas'!J7*'Model inputs'!AM78</f>
        <v>4.2</v>
      </c>
      <c r="K17" s="15">
        <f>'POA — Monthly financial forecas'!K7*'Model inputs'!AM78</f>
        <v>4.999999999999999</v>
      </c>
      <c r="L17" s="15">
        <f>'POA — Monthly financial forecas'!L7*'Model inputs'!AM78</f>
        <v>5.8</v>
      </c>
      <c r="M17" s="15">
        <f>'POA — Monthly financial forecas'!M7*'Model inputs'!AM78</f>
        <v>6.6</v>
      </c>
      <c r="N17" s="15">
        <f>'POA — Monthly financial forecas'!N7*'Model inputs'!AM78</f>
        <v>8.5</v>
      </c>
      <c r="O17" s="15">
        <f>'POA — Monthly financial forecas'!O7*'Model inputs'!AM78</f>
        <v>10.399999999999999</v>
      </c>
      <c r="P17" s="15">
        <f>'POA — Monthly financial forecas'!P7*'Model inputs'!AM78</f>
        <v>12.299999999999999</v>
      </c>
      <c r="Q17" s="15">
        <f>'POA — Monthly financial forecas'!Q7*'Model inputs'!AM78</f>
        <v>14.199999999999998</v>
      </c>
      <c r="R17" s="15">
        <f>'POA — Monthly financial forecas'!R7*'Model inputs'!AM78</f>
        <v>16.099999999999998</v>
      </c>
      <c r="S17" s="15">
        <f>'POA — Monthly financial forecas'!S7*'Model inputs'!AM78</f>
        <v>18</v>
      </c>
      <c r="T17" s="15">
        <f>'POA — Monthly financial forecas'!T7*'Model inputs'!AM78</f>
        <v>20</v>
      </c>
      <c r="U17" s="15">
        <f>'POA — Monthly financial forecas'!U7*'Model inputs'!AM78</f>
        <v>21.999999999999996</v>
      </c>
      <c r="V17" s="15">
        <f>'POA — Monthly financial forecas'!V7*'Model inputs'!AM78</f>
        <v>24</v>
      </c>
      <c r="W17" s="15">
        <f>'POA — Monthly financial forecas'!W7*'Model inputs'!AM78</f>
        <v>25.999999999999996</v>
      </c>
      <c r="X17" s="15">
        <f>'POA — Monthly financial forecas'!X7*'Model inputs'!AM78</f>
        <v>27.999999999999996</v>
      </c>
      <c r="Y17" s="15">
        <f>'POA — Monthly financial forecas'!Y7*'Model inputs'!AM78</f>
        <v>30</v>
      </c>
      <c r="Z17" s="15">
        <f>'POA — Monthly financial forecas'!Z7*'Model inputs'!AM78</f>
        <v>31.749999999999996</v>
      </c>
      <c r="AA17" s="15">
        <f>'POA — Monthly financial forecas'!AA7*'Model inputs'!AM78</f>
        <v>33.5</v>
      </c>
      <c r="AB17" s="15">
        <f>'POA — Monthly financial forecas'!AB7*'Model inputs'!AM78</f>
        <v>35.25</v>
      </c>
      <c r="AC17" s="15">
        <f>'POA — Monthly financial forecas'!AC7*'Model inputs'!AM78</f>
        <v>37</v>
      </c>
      <c r="AD17" s="15">
        <f>'POA — Monthly financial forecas'!AD7*'Model inputs'!AM78</f>
        <v>38.74999999999999</v>
      </c>
      <c r="AE17" s="15">
        <f>'POA — Monthly financial forecas'!AE7*'Model inputs'!AM78</f>
        <v>40.5</v>
      </c>
      <c r="AF17" s="15">
        <f>'POA — Monthly financial forecas'!AF7*'Model inputs'!AM78</f>
        <v>41.74999999999999</v>
      </c>
      <c r="AG17" s="15">
        <f>'POA — Monthly financial forecas'!AG7*'Model inputs'!AM78</f>
        <v>43</v>
      </c>
      <c r="AH17" s="15">
        <f>'POA — Monthly financial forecas'!AH7*'Model inputs'!AM78</f>
        <v>44.25</v>
      </c>
      <c r="AI17" s="15">
        <f>'POA — Monthly financial forecas'!AI7*'Model inputs'!AM78</f>
        <v>45.49999999999999</v>
      </c>
      <c r="AJ17" s="15">
        <f>'POA — Monthly financial forecas'!AJ7*'Model inputs'!AM78</f>
        <v>46.75</v>
      </c>
      <c r="AK17" s="15">
        <f>'POA — Monthly financial forecas'!AK7*'Model inputs'!AM78</f>
        <v>48</v>
      </c>
    </row>
    <row r="18">
      <c r="A18" t="inlineStr" s="5">
        <is>
          <t xml:space="preserve">Subscription MRR</t>
        </is>
      </c>
      <c r="B18" s="19">
        <f>SUM('POA — Monthly financial forecas'!B19,'POA — Monthly financial forecas'!B20,'POA — Monthly financial forecas'!B21)</f>
        <v>3500</v>
      </c>
      <c r="C18" s="19">
        <f>SUM('POA — Monthly financial forecas'!C19,'POA — Monthly financial forecas'!C20,'POA — Monthly financial forecas'!C21)</f>
        <v>7000</v>
      </c>
      <c r="D18" s="19">
        <f>SUM('POA — Monthly financial forecas'!D19,'POA — Monthly financial forecas'!D20,'POA — Monthly financial forecas'!D21)</f>
        <v>10500</v>
      </c>
      <c r="E18" s="19">
        <f>SUM('POA — Monthly financial forecas'!E19,'POA — Monthly financial forecas'!E20,'POA — Monthly financial forecas'!E21)</f>
        <v>14000</v>
      </c>
      <c r="F18" s="19">
        <f>SUM('POA — Monthly financial forecas'!F19,'POA — Monthly financial forecas'!F20,'POA — Monthly financial forecas'!F21)</f>
        <v>17500</v>
      </c>
      <c r="G18" s="19">
        <f>SUM('POA — Monthly financial forecas'!G19,'POA — Monthly financial forecas'!G20,'POA — Monthly financial forecas'!G21)</f>
        <v>21000</v>
      </c>
      <c r="H18" s="19">
        <f>SUM('POA — Monthly financial forecas'!H19,'POA — Monthly financial forecas'!H20,'POA — Monthly financial forecas'!H21)</f>
        <v>30333.33333333333</v>
      </c>
      <c r="I18" s="19">
        <f>SUM('POA — Monthly financial forecas'!I19,'POA — Monthly financial forecas'!I20,'POA — Monthly financial forecas'!I21)</f>
        <v>39666.666666666664</v>
      </c>
      <c r="J18" s="19">
        <f>SUM('POA — Monthly financial forecas'!J19,'POA — Monthly financial forecas'!J20,'POA — Monthly financial forecas'!J21)</f>
        <v>49000</v>
      </c>
      <c r="K18" s="19">
        <f>SUM('POA — Monthly financial forecas'!K19,'POA — Monthly financial forecas'!K20,'POA — Monthly financial forecas'!K21)</f>
        <v>58333.33333333333</v>
      </c>
      <c r="L18" s="19">
        <f>SUM('POA — Monthly financial forecas'!L19,'POA — Monthly financial forecas'!L20,'POA — Monthly financial forecas'!L21)</f>
        <v>67666.66666666667</v>
      </c>
      <c r="M18" s="19">
        <f>SUM('POA — Monthly financial forecas'!M19,'POA — Monthly financial forecas'!M20,'POA — Monthly financial forecas'!M21)</f>
        <v>77000</v>
      </c>
      <c r="N18" s="19">
        <f>SUM('POA — Monthly financial forecas'!N19,'POA — Monthly financial forecas'!N20,'POA — Monthly financial forecas'!N21)</f>
        <v>99166.66666666667</v>
      </c>
      <c r="O18" s="19">
        <f>SUM('POA — Monthly financial forecas'!O19,'POA — Monthly financial forecas'!O20,'POA — Monthly financial forecas'!O21)</f>
        <v>121333.33333333331</v>
      </c>
      <c r="P18" s="19">
        <f>SUM('POA — Monthly financial forecas'!P19,'POA — Monthly financial forecas'!P20,'POA — Monthly financial forecas'!P21)</f>
        <v>143500</v>
      </c>
      <c r="Q18" s="19">
        <f>SUM('POA — Monthly financial forecas'!Q19,'POA — Monthly financial forecas'!Q20,'POA — Monthly financial forecas'!Q21)</f>
        <v>165666.66666666666</v>
      </c>
      <c r="R18" s="19">
        <f>SUM('POA — Monthly financial forecas'!R19,'POA — Monthly financial forecas'!R20,'POA — Monthly financial forecas'!R21)</f>
        <v>187833.33333333334</v>
      </c>
      <c r="S18" s="19">
        <f>SUM('POA — Monthly financial forecas'!S19,'POA — Monthly financial forecas'!S20,'POA — Monthly financial forecas'!S21)</f>
        <v>210000</v>
      </c>
      <c r="T18" s="19">
        <f>SUM('POA — Monthly financial forecas'!T19,'POA — Monthly financial forecas'!T20,'POA — Monthly financial forecas'!T21)</f>
        <v>233333.33333333334</v>
      </c>
      <c r="U18" s="19">
        <f>SUM('POA — Monthly financial forecas'!U19,'POA — Monthly financial forecas'!U20,'POA — Monthly financial forecas'!U21)</f>
        <v>256666.66666666663</v>
      </c>
      <c r="V18" s="19">
        <f>SUM('POA — Monthly financial forecas'!V19,'POA — Monthly financial forecas'!V20,'POA — Monthly financial forecas'!V21)</f>
        <v>280000</v>
      </c>
      <c r="W18" s="19">
        <f>SUM('POA — Monthly financial forecas'!W19,'POA — Monthly financial forecas'!W20,'POA — Monthly financial forecas'!W21)</f>
        <v>303333.3333333333</v>
      </c>
      <c r="X18" s="19">
        <f>SUM('POA — Monthly financial forecas'!X19,'POA — Monthly financial forecas'!X20,'POA — Monthly financial forecas'!X21)</f>
        <v>326666.6666666666</v>
      </c>
      <c r="Y18" s="19">
        <f>SUM('POA — Monthly financial forecas'!Y19,'POA — Monthly financial forecas'!Y20,'POA — Monthly financial forecas'!Y21)</f>
        <v>350000</v>
      </c>
      <c r="Z18" s="19">
        <f>SUM('POA — Monthly financial forecas'!Z19,'POA — Monthly financial forecas'!Z20,'POA — Monthly financial forecas'!Z21)</f>
        <v>370416.6666666667</v>
      </c>
      <c r="AA18" s="19">
        <f>SUM('POA — Monthly financial forecas'!AA19,'POA — Monthly financial forecas'!AA20,'POA — Monthly financial forecas'!AA21)</f>
        <v>390833.3333333334</v>
      </c>
      <c r="AB18" s="19">
        <f>SUM('POA — Monthly financial forecas'!AB19,'POA — Monthly financial forecas'!AB20,'POA — Monthly financial forecas'!AB21)</f>
        <v>411250</v>
      </c>
      <c r="AC18" s="19">
        <f>SUM('POA — Monthly financial forecas'!AC19,'POA — Monthly financial forecas'!AC20,'POA — Monthly financial forecas'!AC21)</f>
        <v>431666.6666666667</v>
      </c>
      <c r="AD18" s="19">
        <f>SUM('POA — Monthly financial forecas'!AD19,'POA — Monthly financial forecas'!AD20,'POA — Monthly financial forecas'!AD21)</f>
        <v>452083.33333333326</v>
      </c>
      <c r="AE18" s="19">
        <f>SUM('POA — Monthly financial forecas'!AE19,'POA — Monthly financial forecas'!AE20,'POA — Monthly financial forecas'!AE21)</f>
        <v>472500</v>
      </c>
      <c r="AF18" s="19">
        <f>SUM('POA — Monthly financial forecas'!AF19,'POA — Monthly financial forecas'!AF20,'POA — Monthly financial forecas'!AF21)</f>
        <v>487083.33333333326</v>
      </c>
      <c r="AG18" s="19">
        <f>SUM('POA — Monthly financial forecas'!AG19,'POA — Monthly financial forecas'!AG20,'POA — Monthly financial forecas'!AG21)</f>
        <v>501666.6666666667</v>
      </c>
      <c r="AH18" s="19">
        <f>SUM('POA — Monthly financial forecas'!AH19,'POA — Monthly financial forecas'!AH20,'POA — Monthly financial forecas'!AH21)</f>
        <v>516250</v>
      </c>
      <c r="AI18" s="19">
        <f>SUM('POA — Monthly financial forecas'!AI19,'POA — Monthly financial forecas'!AI20,'POA — Monthly financial forecas'!AI21)</f>
        <v>530833.3333333333</v>
      </c>
      <c r="AJ18" s="19">
        <f>SUM('POA — Monthly financial forecas'!AJ19,'POA — Monthly financial forecas'!AJ20,'POA — Monthly financial forecas'!AJ21)</f>
        <v>545416.6666666667</v>
      </c>
      <c r="AK18" s="19">
        <f>SUM('POA — Monthly financial forecas'!AK19,'POA — Monthly financial forecas'!AK20,'POA — Monthly financial forecas'!AK21)</f>
        <v>560000</v>
      </c>
    </row>
    <row r="19" outlineLevel="1">
      <c r="A19" t="inlineStr" s="18">
        <is>
          <t xml:space="preserve">DEX</t>
        </is>
      </c>
      <c r="B19" s="16">
        <f>'POA — Monthly financial forecas'!B15*'Model inputs'!AM43</f>
        <v>1050</v>
      </c>
      <c r="C19" s="16">
        <f>'POA — Monthly financial forecas'!C15*'Model inputs'!AM43</f>
        <v>2100</v>
      </c>
      <c r="D19" s="16">
        <f>'POA — Monthly financial forecas'!D15*'Model inputs'!AM43</f>
        <v>3149.9999999999995</v>
      </c>
      <c r="E19" s="16">
        <f>'POA — Monthly financial forecas'!E15*'Model inputs'!AM43</f>
        <v>4200</v>
      </c>
      <c r="F19" s="16">
        <f>'POA — Monthly financial forecas'!F15*'Model inputs'!AM43</f>
        <v>5250</v>
      </c>
      <c r="G19" s="16">
        <f>'POA — Monthly financial forecas'!G15*'Model inputs'!AM43</f>
        <v>6299.999999999999</v>
      </c>
      <c r="H19" s="16">
        <f>'POA — Monthly financial forecas'!H15*'Model inputs'!AM43</f>
        <v>9099.999999999998</v>
      </c>
      <c r="I19" s="16">
        <f>'POA — Monthly financial forecas'!I15*'Model inputs'!AM43</f>
        <v>11899.999999999998</v>
      </c>
      <c r="J19" s="16">
        <f>'POA — Monthly financial forecas'!J15*'Model inputs'!AM43</f>
        <v>14700</v>
      </c>
      <c r="K19" s="16">
        <f>'POA — Monthly financial forecas'!K15*'Model inputs'!AM43</f>
        <v>17499.999999999996</v>
      </c>
      <c r="L19" s="16">
        <f>'POA — Monthly financial forecas'!L15*'Model inputs'!AM43</f>
        <v>20300</v>
      </c>
      <c r="M19" s="16">
        <f>'POA — Monthly financial forecas'!M15*'Model inputs'!AM43</f>
        <v>23100</v>
      </c>
      <c r="N19" s="16">
        <f>'POA — Monthly financial forecas'!N15*'Model inputs'!AM43</f>
        <v>29750</v>
      </c>
      <c r="O19" s="16">
        <f>'POA — Monthly financial forecas'!O15*'Model inputs'!AM43</f>
        <v>36399.99999999999</v>
      </c>
      <c r="P19" s="16">
        <f>'POA — Monthly financial forecas'!P15*'Model inputs'!AM43</f>
        <v>43049.99999999999</v>
      </c>
      <c r="Q19" s="16">
        <f>'POA — Monthly financial forecas'!Q15*'Model inputs'!AM43</f>
        <v>49699.99999999999</v>
      </c>
      <c r="R19" s="16">
        <f>'POA — Monthly financial forecas'!R15*'Model inputs'!AM43</f>
        <v>56349.99999999999</v>
      </c>
      <c r="S19" s="16">
        <f>'POA — Monthly financial forecas'!S15*'Model inputs'!AM43</f>
        <v>63000</v>
      </c>
      <c r="T19" s="16">
        <f>'POA — Monthly financial forecas'!T15*'Model inputs'!AM43</f>
        <v>70000</v>
      </c>
      <c r="U19" s="16">
        <f>'POA — Monthly financial forecas'!U15*'Model inputs'!AM43</f>
        <v>76999.99999999999</v>
      </c>
      <c r="V19" s="16">
        <f>'POA — Monthly financial forecas'!V15*'Model inputs'!AM43</f>
        <v>84000</v>
      </c>
      <c r="W19" s="16">
        <f>'POA — Monthly financial forecas'!W15*'Model inputs'!AM43</f>
        <v>90999.99999999999</v>
      </c>
      <c r="X19" s="16">
        <f>'POA — Monthly financial forecas'!X15*'Model inputs'!AM43</f>
        <v>97999.99999999999</v>
      </c>
      <c r="Y19" s="16">
        <f>'POA — Monthly financial forecas'!Y15*'Model inputs'!AM43</f>
        <v>105000</v>
      </c>
      <c r="Z19" s="16">
        <f>'POA — Monthly financial forecas'!Z15*'Model inputs'!AM43</f>
        <v>111124.99999999999</v>
      </c>
      <c r="AA19" s="16">
        <f>'POA — Monthly financial forecas'!AA15*'Model inputs'!AM43</f>
        <v>117250</v>
      </c>
      <c r="AB19" s="16">
        <f>'POA — Monthly financial forecas'!AB15*'Model inputs'!AM43</f>
        <v>123375</v>
      </c>
      <c r="AC19" s="16">
        <f>'POA — Monthly financial forecas'!AC15*'Model inputs'!AM43</f>
        <v>129500</v>
      </c>
      <c r="AD19" s="16">
        <f>'POA — Monthly financial forecas'!AD15*'Model inputs'!AM43</f>
        <v>135624.99999999997</v>
      </c>
      <c r="AE19" s="16">
        <f>'POA — Monthly financial forecas'!AE15*'Model inputs'!AM43</f>
        <v>141750</v>
      </c>
      <c r="AF19" s="16">
        <f>'POA — Monthly financial forecas'!AF15*'Model inputs'!AM43</f>
        <v>146124.99999999997</v>
      </c>
      <c r="AG19" s="16">
        <f>'POA — Monthly financial forecas'!AG15*'Model inputs'!AM43</f>
        <v>150500</v>
      </c>
      <c r="AH19" s="16">
        <f>'POA — Monthly financial forecas'!AH15*'Model inputs'!AM43</f>
        <v>154875</v>
      </c>
      <c r="AI19" s="16">
        <f>'POA — Monthly financial forecas'!AI15*'Model inputs'!AM43</f>
        <v>159249.99999999997</v>
      </c>
      <c r="AJ19" s="16">
        <f>'POA — Monthly financial forecas'!AJ15*'Model inputs'!AM43</f>
        <v>163625</v>
      </c>
      <c r="AK19" s="16">
        <f>'POA — Monthly financial forecas'!AK15*'Model inputs'!AM43</f>
        <v>168000</v>
      </c>
    </row>
    <row r="20" outlineLevel="1">
      <c r="A20" t="inlineStr" s="18">
        <is>
          <t xml:space="preserve">Lending</t>
        </is>
      </c>
      <c r="B20" s="16">
        <f>'POA — Monthly financial forecas'!B16*'Model inputs'!AM43</f>
        <v>1400</v>
      </c>
      <c r="C20" s="16">
        <f>'POA — Monthly financial forecas'!C16*'Model inputs'!AM43</f>
        <v>2800</v>
      </c>
      <c r="D20" s="16">
        <f>'POA — Monthly financial forecas'!D16*'Model inputs'!AM43</f>
        <v>4200.000000000001</v>
      </c>
      <c r="E20" s="16">
        <f>'POA — Monthly financial forecas'!E16*'Model inputs'!AM43</f>
        <v>5600</v>
      </c>
      <c r="F20" s="16">
        <f>'POA — Monthly financial forecas'!F16*'Model inputs'!AM43</f>
        <v>7000</v>
      </c>
      <c r="G20" s="16">
        <f>'POA — Monthly financial forecas'!G16*'Model inputs'!AM43</f>
        <v>8400.000000000002</v>
      </c>
      <c r="H20" s="16">
        <f>'POA — Monthly financial forecas'!H16*'Model inputs'!AM43</f>
        <v>12133.333333333334</v>
      </c>
      <c r="I20" s="16">
        <f>'POA — Monthly financial forecas'!I16*'Model inputs'!AM43</f>
        <v>15866.666666666666</v>
      </c>
      <c r="J20" s="16">
        <f>'POA — Monthly financial forecas'!J16*'Model inputs'!AM43</f>
        <v>19600.000000000004</v>
      </c>
      <c r="K20" s="16">
        <f>'POA — Monthly financial forecas'!K16*'Model inputs'!AM43</f>
        <v>23333.333333333332</v>
      </c>
      <c r="L20" s="16">
        <f>'POA — Monthly financial forecas'!L16*'Model inputs'!AM43</f>
        <v>27066.666666666668</v>
      </c>
      <c r="M20" s="16">
        <f>'POA — Monthly financial forecas'!M16*'Model inputs'!AM43</f>
        <v>30800.000000000004</v>
      </c>
      <c r="N20" s="16">
        <f>'POA — Monthly financial forecas'!N16*'Model inputs'!AM43</f>
        <v>39666.66666666667</v>
      </c>
      <c r="O20" s="16">
        <f>'POA — Monthly financial forecas'!O16*'Model inputs'!AM43</f>
        <v>48533.333333333336</v>
      </c>
      <c r="P20" s="16">
        <f>'POA — Monthly financial forecas'!P16*'Model inputs'!AM43</f>
        <v>57400.00000000001</v>
      </c>
      <c r="Q20" s="16">
        <f>'POA — Monthly financial forecas'!Q16*'Model inputs'!AM43</f>
        <v>66266.66666666667</v>
      </c>
      <c r="R20" s="16">
        <f>'POA — Monthly financial forecas'!R16*'Model inputs'!AM43</f>
        <v>75133.33333333334</v>
      </c>
      <c r="S20" s="16">
        <f>'POA — Monthly financial forecas'!S16*'Model inputs'!AM43</f>
        <v>84000</v>
      </c>
      <c r="T20" s="16">
        <f>'POA — Monthly financial forecas'!T16*'Model inputs'!AM43</f>
        <v>93333.33333333334</v>
      </c>
      <c r="U20" s="16">
        <f>'POA — Monthly financial forecas'!U16*'Model inputs'!AM43</f>
        <v>102666.66666666666</v>
      </c>
      <c r="V20" s="16">
        <f>'POA — Monthly financial forecas'!V16*'Model inputs'!AM43</f>
        <v>112000</v>
      </c>
      <c r="W20" s="16">
        <f>'POA — Monthly financial forecas'!W16*'Model inputs'!AM43</f>
        <v>121333.33333333333</v>
      </c>
      <c r="X20" s="16">
        <f>'POA — Monthly financial forecas'!X16*'Model inputs'!AM43</f>
        <v>130666.66666666667</v>
      </c>
      <c r="Y20" s="16">
        <f>'POA — Monthly financial forecas'!Y16*'Model inputs'!AM43</f>
        <v>140000</v>
      </c>
      <c r="Z20" s="16">
        <f>'POA — Monthly financial forecas'!Z16*'Model inputs'!AM43</f>
        <v>148166.6666666667</v>
      </c>
      <c r="AA20" s="16">
        <f>'POA — Monthly financial forecas'!AA16*'Model inputs'!AM43</f>
        <v>156333.33333333334</v>
      </c>
      <c r="AB20" s="16">
        <f>'POA — Monthly financial forecas'!AB16*'Model inputs'!AM43</f>
        <v>164500</v>
      </c>
      <c r="AC20" s="16">
        <f>'POA — Monthly financial forecas'!AC16*'Model inputs'!AM43</f>
        <v>172666.6666666667</v>
      </c>
      <c r="AD20" s="16">
        <f>'POA — Monthly financial forecas'!AD16*'Model inputs'!AM43</f>
        <v>180833.3333333333</v>
      </c>
      <c r="AE20" s="16">
        <f>'POA — Monthly financial forecas'!AE16*'Model inputs'!AM43</f>
        <v>189000</v>
      </c>
      <c r="AF20" s="16">
        <f>'POA — Monthly financial forecas'!AF16*'Model inputs'!AM43</f>
        <v>194833.3333333333</v>
      </c>
      <c r="AG20" s="16">
        <f>'POA — Monthly financial forecas'!AG16*'Model inputs'!AM43</f>
        <v>200666.6666666667</v>
      </c>
      <c r="AH20" s="16">
        <f>'POA — Monthly financial forecas'!AH16*'Model inputs'!AM43</f>
        <v>206500</v>
      </c>
      <c r="AI20" s="16">
        <f>'POA — Monthly financial forecas'!AI16*'Model inputs'!AM43</f>
        <v>212333.3333333333</v>
      </c>
      <c r="AJ20" s="16">
        <f>'POA — Monthly financial forecas'!AJ16*'Model inputs'!AM43</f>
        <v>218166.6666666667</v>
      </c>
      <c r="AK20" s="16">
        <f>'POA — Monthly financial forecas'!AK16*'Model inputs'!AM43</f>
        <v>224000</v>
      </c>
    </row>
    <row r="21" outlineLevel="1">
      <c r="A21" t="inlineStr" s="18">
        <is>
          <t xml:space="preserve">Liquid staking</t>
        </is>
      </c>
      <c r="B21" s="16">
        <f>'POA — Monthly financial forecas'!B17*'Model inputs'!AM43</f>
        <v>1050</v>
      </c>
      <c r="C21" s="16">
        <f>'POA — Monthly financial forecas'!C17*'Model inputs'!AM43</f>
        <v>2100</v>
      </c>
      <c r="D21" s="16">
        <f>'POA — Monthly financial forecas'!D17*'Model inputs'!AM43</f>
        <v>3149.9999999999995</v>
      </c>
      <c r="E21" s="16">
        <f>'POA — Monthly financial forecas'!E17*'Model inputs'!AM43</f>
        <v>4200</v>
      </c>
      <c r="F21" s="16">
        <f>'POA — Monthly financial forecas'!F17*'Model inputs'!AM43</f>
        <v>5250</v>
      </c>
      <c r="G21" s="16">
        <f>'POA — Monthly financial forecas'!G17*'Model inputs'!AM43</f>
        <v>6299.999999999999</v>
      </c>
      <c r="H21" s="16">
        <f>'POA — Monthly financial forecas'!H17*'Model inputs'!AM43</f>
        <v>9099.999999999998</v>
      </c>
      <c r="I21" s="16">
        <f>'POA — Monthly financial forecas'!I17*'Model inputs'!AM43</f>
        <v>11899.999999999998</v>
      </c>
      <c r="J21" s="16">
        <f>'POA — Monthly financial forecas'!J17*'Model inputs'!AM43</f>
        <v>14700</v>
      </c>
      <c r="K21" s="16">
        <f>'POA — Monthly financial forecas'!K17*'Model inputs'!AM43</f>
        <v>17499.999999999996</v>
      </c>
      <c r="L21" s="16">
        <f>'POA — Monthly financial forecas'!L17*'Model inputs'!AM43</f>
        <v>20300</v>
      </c>
      <c r="M21" s="16">
        <f>'POA — Monthly financial forecas'!M17*'Model inputs'!AM43</f>
        <v>23100</v>
      </c>
      <c r="N21" s="16">
        <f>'POA — Monthly financial forecas'!N17*'Model inputs'!AM43</f>
        <v>29750</v>
      </c>
      <c r="O21" s="16">
        <f>'POA — Monthly financial forecas'!O17*'Model inputs'!AM43</f>
        <v>36399.99999999999</v>
      </c>
      <c r="P21" s="16">
        <f>'POA — Monthly financial forecas'!P17*'Model inputs'!AM43</f>
        <v>43049.99999999999</v>
      </c>
      <c r="Q21" s="16">
        <f>'POA — Monthly financial forecas'!Q17*'Model inputs'!AM43</f>
        <v>49699.99999999999</v>
      </c>
      <c r="R21" s="16">
        <f>'POA — Monthly financial forecas'!R17*'Model inputs'!AM43</f>
        <v>56349.99999999999</v>
      </c>
      <c r="S21" s="16">
        <f>'POA — Monthly financial forecas'!S17*'Model inputs'!AM43</f>
        <v>63000</v>
      </c>
      <c r="T21" s="16">
        <f>'POA — Monthly financial forecas'!T17*'Model inputs'!AM43</f>
        <v>70000</v>
      </c>
      <c r="U21" s="16">
        <f>'POA — Monthly financial forecas'!U17*'Model inputs'!AM43</f>
        <v>76999.99999999999</v>
      </c>
      <c r="V21" s="16">
        <f>'POA — Monthly financial forecas'!V17*'Model inputs'!AM43</f>
        <v>84000</v>
      </c>
      <c r="W21" s="16">
        <f>'POA — Monthly financial forecas'!W17*'Model inputs'!AM43</f>
        <v>90999.99999999999</v>
      </c>
      <c r="X21" s="16">
        <f>'POA — Monthly financial forecas'!X17*'Model inputs'!AM43</f>
        <v>97999.99999999999</v>
      </c>
      <c r="Y21" s="16">
        <f>'POA — Monthly financial forecas'!Y17*'Model inputs'!AM43</f>
        <v>105000</v>
      </c>
      <c r="Z21" s="16">
        <f>'POA — Monthly financial forecas'!Z17*'Model inputs'!AM43</f>
        <v>111124.99999999999</v>
      </c>
      <c r="AA21" s="16">
        <f>'POA — Monthly financial forecas'!AA17*'Model inputs'!AM43</f>
        <v>117250</v>
      </c>
      <c r="AB21" s="16">
        <f>'POA — Monthly financial forecas'!AB17*'Model inputs'!AM43</f>
        <v>123375</v>
      </c>
      <c r="AC21" s="16">
        <f>'POA — Monthly financial forecas'!AC17*'Model inputs'!AM43</f>
        <v>129500</v>
      </c>
      <c r="AD21" s="16">
        <f>'POA — Monthly financial forecas'!AD17*'Model inputs'!AM43</f>
        <v>135624.99999999997</v>
      </c>
      <c r="AE21" s="16">
        <f>'POA — Monthly financial forecas'!AE17*'Model inputs'!AM43</f>
        <v>141750</v>
      </c>
      <c r="AF21" s="16">
        <f>'POA — Monthly financial forecas'!AF17*'Model inputs'!AM43</f>
        <v>146124.99999999997</v>
      </c>
      <c r="AG21" s="16">
        <f>'POA — Monthly financial forecas'!AG17*'Model inputs'!AM43</f>
        <v>150500</v>
      </c>
      <c r="AH21" s="16">
        <f>'POA — Monthly financial forecas'!AH17*'Model inputs'!AM43</f>
        <v>154875</v>
      </c>
      <c r="AI21" s="16">
        <f>'POA — Monthly financial forecas'!AI17*'Model inputs'!AM43</f>
        <v>159249.99999999997</v>
      </c>
      <c r="AJ21" s="16">
        <f>'POA — Monthly financial forecas'!AJ17*'Model inputs'!AM43</f>
        <v>163625</v>
      </c>
      <c r="AK21" s="16">
        <f>'POA — Monthly financial forecas'!AK17*'Model inputs'!AM43</f>
        <v>168000</v>
      </c>
    </row>
    <row r="22">
      <c r="A22" t="inlineStr" s="5">
        <is>
          <t xml:space="preserve">Contingency fee revenue</t>
        </is>
      </c>
      <c r="B22" s="19">
        <f>SUM('POA — Monthly financial forecas'!B23,'POA — Monthly financial forecas'!B24,'POA — Monthly financial forecas'!B25)</f>
        <v>20.833333333333332</v>
      </c>
      <c r="C22" s="19">
        <f>SUM('POA — Monthly financial forecas'!C23,'POA — Monthly financial forecas'!C24,'POA — Monthly financial forecas'!C25)</f>
        <v>83.33333333333333</v>
      </c>
      <c r="D22" s="19">
        <f>SUM('POA — Monthly financial forecas'!D23,'POA — Monthly financial forecas'!D24,'POA — Monthly financial forecas'!D25)</f>
        <v>187.5</v>
      </c>
      <c r="E22" s="19">
        <f>SUM('POA — Monthly financial forecas'!E23,'POA — Monthly financial forecas'!E24,'POA — Monthly financial forecas'!E25)</f>
        <v>333.3333333333333</v>
      </c>
      <c r="F22" s="19">
        <f>SUM('POA — Monthly financial forecas'!F23,'POA — Monthly financial forecas'!F24,'POA — Monthly financial forecas'!F25)</f>
        <v>520.8333333333333</v>
      </c>
      <c r="G22" s="19">
        <f>SUM('POA — Monthly financial forecas'!G23,'POA — Monthly financial forecas'!G24,'POA — Monthly financial forecas'!G25)</f>
        <v>750</v>
      </c>
      <c r="H22" s="19">
        <f>SUM('POA — Monthly financial forecas'!H23,'POA — Monthly financial forecas'!H24,'POA — Monthly financial forecas'!H25)</f>
        <v>1975.1683501683492</v>
      </c>
      <c r="I22" s="19">
        <f>SUM('POA — Monthly financial forecas'!I23,'POA — Monthly financial forecas'!I24,'POA — Monthly financial forecas'!I25)</f>
        <v>3749.158249158247</v>
      </c>
      <c r="J22" s="19">
        <f>SUM('POA — Monthly financial forecas'!J23,'POA — Monthly financial forecas'!J24,'POA — Monthly financial forecas'!J25)</f>
        <v>6071.969696969694</v>
      </c>
      <c r="K22" s="19">
        <f>SUM('POA — Monthly financial forecas'!K23,'POA — Monthly financial forecas'!K24,'POA — Monthly financial forecas'!K25)</f>
        <v>8943.602693602686</v>
      </c>
      <c r="L22" s="19">
        <f>SUM('POA — Monthly financial forecas'!L23,'POA — Monthly financial forecas'!L24,'POA — Monthly financial forecas'!L25)</f>
        <v>12364.05723905723</v>
      </c>
      <c r="M22" s="19">
        <f>SUM('POA — Monthly financial forecas'!M23,'POA — Monthly financial forecas'!M24,'POA — Monthly financial forecas'!M25)</f>
        <v>16333.333333333325</v>
      </c>
      <c r="N22" s="19">
        <f>SUM('POA — Monthly financial forecas'!N23,'POA — Monthly financial forecas'!N24,'POA — Monthly financial forecas'!N25)</f>
        <v>23432.23905723905</v>
      </c>
      <c r="O22" s="19">
        <f>SUM('POA — Monthly financial forecas'!O23,'POA — Monthly financial forecas'!O24,'POA — Monthly financial forecas'!O25)</f>
        <v>31602.693602693587</v>
      </c>
      <c r="P22" s="19">
        <f>SUM('POA — Monthly financial forecas'!P23,'POA — Monthly financial forecas'!P24,'POA — Monthly financial forecas'!P25)</f>
        <v>40844.69696969696</v>
      </c>
      <c r="Q22" s="19">
        <f>SUM('POA — Monthly financial forecas'!Q23,'POA — Monthly financial forecas'!Q24,'POA — Monthly financial forecas'!Q25)</f>
        <v>51158.24915824914</v>
      </c>
      <c r="R22" s="19">
        <f>SUM('POA — Monthly financial forecas'!R23,'POA — Monthly financial forecas'!R24,'POA — Monthly financial forecas'!R25)</f>
        <v>62543.35016835015</v>
      </c>
      <c r="S22" s="19">
        <f>SUM('POA — Monthly financial forecas'!S23,'POA — Monthly financial forecas'!S24,'POA — Monthly financial forecas'!S25)</f>
        <v>75000</v>
      </c>
      <c r="T22" s="19">
        <f>SUM('POA — Monthly financial forecas'!T23,'POA — Monthly financial forecas'!T24,'POA — Monthly financial forecas'!T25)</f>
        <v>86111.11111111112</v>
      </c>
      <c r="U22" s="19">
        <f>SUM('POA — Monthly financial forecas'!U23,'POA — Monthly financial forecas'!U24,'POA — Monthly financial forecas'!U25)</f>
        <v>97777.77777777777</v>
      </c>
      <c r="V22" s="19">
        <f>SUM('POA — Monthly financial forecas'!V23,'POA — Monthly financial forecas'!V24,'POA — Monthly financial forecas'!V25)</f>
        <v>110000</v>
      </c>
      <c r="W22" s="19">
        <f>SUM('POA — Monthly financial forecas'!W23,'POA — Monthly financial forecas'!W24,'POA — Monthly financial forecas'!W25)</f>
        <v>122777.77777777777</v>
      </c>
      <c r="X22" s="19">
        <f>SUM('POA — Monthly financial forecas'!X23,'POA — Monthly financial forecas'!X24,'POA — Monthly financial forecas'!X25)</f>
        <v>136111.1111111111</v>
      </c>
      <c r="Y22" s="19">
        <f>SUM('POA — Monthly financial forecas'!Y23,'POA — Monthly financial forecas'!Y24,'POA — Monthly financial forecas'!Y25)</f>
        <v>150000</v>
      </c>
      <c r="Z22" s="19">
        <f>SUM('POA — Monthly financial forecas'!Z23,'POA — Monthly financial forecas'!Z24,'POA — Monthly financial forecas'!Z25)</f>
        <v>163159.72222222222</v>
      </c>
      <c r="AA22" s="19">
        <f>SUM('POA — Monthly financial forecas'!AA23,'POA — Monthly financial forecas'!AA24,'POA — Monthly financial forecas'!AA25)</f>
        <v>176805.55555555556</v>
      </c>
      <c r="AB22" s="19">
        <f>SUM('POA — Monthly financial forecas'!AB23,'POA — Monthly financial forecas'!AB24,'POA — Monthly financial forecas'!AB25)</f>
        <v>190937.5</v>
      </c>
      <c r="AC22" s="19">
        <f>SUM('POA — Monthly financial forecas'!AC23,'POA — Monthly financial forecas'!AC24,'POA — Monthly financial forecas'!AC25)</f>
        <v>205555.55555555562</v>
      </c>
      <c r="AD22" s="19">
        <f>SUM('POA — Monthly financial forecas'!AD23,'POA — Monthly financial forecas'!AD24,'POA — Monthly financial forecas'!AD25)</f>
        <v>220659.7222222222</v>
      </c>
      <c r="AE22" s="19">
        <f>SUM('POA — Monthly financial forecas'!AE23,'POA — Monthly financial forecas'!AE24,'POA — Monthly financial forecas'!AE25)</f>
        <v>236250</v>
      </c>
      <c r="AF22" s="19">
        <f>SUM('POA — Monthly financial forecas'!AF23,'POA — Monthly financial forecas'!AF24,'POA — Monthly financial forecas'!AF25)</f>
        <v>249340.27777777778</v>
      </c>
      <c r="AG22" s="19">
        <f>SUM('POA — Monthly financial forecas'!AG23,'POA — Monthly financial forecas'!AG24,'POA — Monthly financial forecas'!AG25)</f>
        <v>262777.77777777775</v>
      </c>
      <c r="AH22" s="19">
        <f>SUM('POA — Monthly financial forecas'!AH23,'POA — Monthly financial forecas'!AH24,'POA — Monthly financial forecas'!AH25)</f>
        <v>276562.5</v>
      </c>
      <c r="AI22" s="19">
        <f>SUM('POA — Monthly financial forecas'!AI23,'POA — Monthly financial forecas'!AI24,'POA — Monthly financial forecas'!AI25)</f>
        <v>290694.44444444444</v>
      </c>
      <c r="AJ22" s="19">
        <f>SUM('POA — Monthly financial forecas'!AJ23,'POA — Monthly financial forecas'!AJ24,'POA — Monthly financial forecas'!AJ25)</f>
        <v>305173.6111111111</v>
      </c>
      <c r="AK22" s="19">
        <f>SUM('POA — Monthly financial forecas'!AK23,'POA — Monthly financial forecas'!AK24,'POA — Monthly financial forecas'!AK25)</f>
        <v>320000</v>
      </c>
    </row>
    <row r="23" outlineLevel="1">
      <c r="A23" t="inlineStr" s="18">
        <is>
          <t xml:space="preserve">DEX</t>
        </is>
      </c>
      <c r="B23" s="16">
        <f>'POA — Monthly financial forecas'!B15*'POA — Monthly financial forecas'!B13</f>
        <v>6.249999999999999</v>
      </c>
      <c r="C23" s="16">
        <f>'POA — Monthly financial forecas'!C15*'POA — Monthly financial forecas'!C13</f>
        <v>24.999999999999996</v>
      </c>
      <c r="D23" s="16">
        <f>'POA — Monthly financial forecas'!D15*'POA — Monthly financial forecas'!D13</f>
        <v>56.24999999999999</v>
      </c>
      <c r="E23" s="16">
        <f>'POA — Monthly financial forecas'!E15*'POA — Monthly financial forecas'!E13</f>
        <v>99.99999999999999</v>
      </c>
      <c r="F23" s="16">
        <f>'POA — Monthly financial forecas'!F15*'POA — Monthly financial forecas'!F13</f>
        <v>156.25</v>
      </c>
      <c r="G23" s="16">
        <f>'POA — Monthly financial forecas'!G15*'POA — Monthly financial forecas'!G13</f>
        <v>224.99999999999997</v>
      </c>
      <c r="H23" s="16">
        <f>'POA — Monthly financial forecas'!H15*'POA — Monthly financial forecas'!H13</f>
        <v>592.5505050505047</v>
      </c>
      <c r="I23" s="16">
        <f>'POA — Monthly financial forecas'!I15*'POA — Monthly financial forecas'!I13</f>
        <v>1124.7474747474741</v>
      </c>
      <c r="J23" s="16">
        <f>'POA — Monthly financial forecas'!J15*'POA — Monthly financial forecas'!J13</f>
        <v>1821.5909090909083</v>
      </c>
      <c r="K23" s="16">
        <f>'POA — Monthly financial forecas'!K15*'POA — Monthly financial forecas'!K13</f>
        <v>2683.080808080806</v>
      </c>
      <c r="L23" s="16">
        <f>'POA — Monthly financial forecas'!L15*'POA — Monthly financial forecas'!L13</f>
        <v>3709.217171717169</v>
      </c>
      <c r="M23" s="16">
        <f>'POA — Monthly financial forecas'!M15*'POA — Monthly financial forecas'!M13</f>
        <v>4899.999999999997</v>
      </c>
      <c r="N23" s="16">
        <f>'POA — Monthly financial forecas'!N15*'POA — Monthly financial forecas'!N13</f>
        <v>7029.6717171717155</v>
      </c>
      <c r="O23" s="16">
        <f>'POA — Monthly financial forecas'!O15*'POA — Monthly financial forecas'!O13</f>
        <v>9480.808080808076</v>
      </c>
      <c r="P23" s="16">
        <f>'POA — Monthly financial forecas'!P15*'POA — Monthly financial forecas'!P13</f>
        <v>12253.409090909088</v>
      </c>
      <c r="Q23" s="16">
        <f>'POA — Monthly financial forecas'!Q15*'POA — Monthly financial forecas'!Q13</f>
        <v>15347.474747474742</v>
      </c>
      <c r="R23" s="16">
        <f>'POA — Monthly financial forecas'!R15*'POA — Monthly financial forecas'!R13</f>
        <v>18763.005050505046</v>
      </c>
      <c r="S23" s="16">
        <f>'POA — Monthly financial forecas'!S15*'POA — Monthly financial forecas'!S13</f>
        <v>22500</v>
      </c>
      <c r="T23" s="16">
        <f>'POA — Monthly financial forecas'!T15*'POA — Monthly financial forecas'!T13</f>
        <v>25833.333333333336</v>
      </c>
      <c r="U23" s="16">
        <f>'POA — Monthly financial forecas'!U15*'POA — Monthly financial forecas'!U13</f>
        <v>29333.33333333333</v>
      </c>
      <c r="V23" s="16">
        <f>'POA — Monthly financial forecas'!V15*'POA — Monthly financial forecas'!V13</f>
        <v>33000</v>
      </c>
      <c r="W23" s="16">
        <f>'POA — Monthly financial forecas'!W15*'POA — Monthly financial forecas'!W13</f>
        <v>36833.33333333333</v>
      </c>
      <c r="X23" s="16">
        <f>'POA — Monthly financial forecas'!X15*'POA — Monthly financial forecas'!X13</f>
        <v>40833.33333333333</v>
      </c>
      <c r="Y23" s="16">
        <f>'POA — Monthly financial forecas'!Y15*'POA — Monthly financial forecas'!Y13</f>
        <v>45000</v>
      </c>
      <c r="Z23" s="16">
        <f>'POA — Monthly financial forecas'!Z15*'POA — Monthly financial forecas'!Z13</f>
        <v>48947.916666666664</v>
      </c>
      <c r="AA23" s="16">
        <f>'POA — Monthly financial forecas'!AA15*'POA — Monthly financial forecas'!AA13</f>
        <v>53041.666666666664</v>
      </c>
      <c r="AB23" s="16">
        <f>'POA — Monthly financial forecas'!AB15*'POA — Monthly financial forecas'!AB13</f>
        <v>57281.25</v>
      </c>
      <c r="AC23" s="16">
        <f>'POA — Monthly financial forecas'!AC15*'POA — Monthly financial forecas'!AC13</f>
        <v>61666.66666666668</v>
      </c>
      <c r="AD23" s="16">
        <f>'POA — Monthly financial forecas'!AD15*'POA — Monthly financial forecas'!AD13</f>
        <v>66197.91666666666</v>
      </c>
      <c r="AE23" s="16">
        <f>'POA — Monthly financial forecas'!AE15*'POA — Monthly financial forecas'!AE13</f>
        <v>70875</v>
      </c>
      <c r="AF23" s="16">
        <f>'POA — Monthly financial forecas'!AF15*'POA — Monthly financial forecas'!AF13</f>
        <v>74802.08333333333</v>
      </c>
      <c r="AG23" s="16">
        <f>'POA — Monthly financial forecas'!AG15*'POA — Monthly financial forecas'!AG13</f>
        <v>78833.33333333333</v>
      </c>
      <c r="AH23" s="16">
        <f>'POA — Monthly financial forecas'!AH15*'POA — Monthly financial forecas'!AH13</f>
        <v>82968.75</v>
      </c>
      <c r="AI23" s="16">
        <f>'POA — Monthly financial forecas'!AI15*'POA — Monthly financial forecas'!AI13</f>
        <v>87208.33333333333</v>
      </c>
      <c r="AJ23" s="16">
        <f>'POA — Monthly financial forecas'!AJ15*'POA — Monthly financial forecas'!AJ13</f>
        <v>91552.08333333333</v>
      </c>
      <c r="AK23" s="16">
        <f>'POA — Monthly financial forecas'!AK15*'POA — Monthly financial forecas'!AK13</f>
        <v>96000</v>
      </c>
    </row>
    <row r="24" outlineLevel="1">
      <c r="A24" t="inlineStr" s="18">
        <is>
          <t xml:space="preserve">Lending</t>
        </is>
      </c>
      <c r="B24" s="16">
        <f>'POA — Monthly financial forecas'!B16*'POA — Monthly financial forecas'!B13</f>
        <v>8.333333333333334</v>
      </c>
      <c r="C24" s="16">
        <f>'POA — Monthly financial forecas'!C16*'POA — Monthly financial forecas'!C13</f>
        <v>33.333333333333336</v>
      </c>
      <c r="D24" s="16">
        <f>'POA — Monthly financial forecas'!D16*'POA — Monthly financial forecas'!D13</f>
        <v>75.00000000000001</v>
      </c>
      <c r="E24" s="16">
        <f>'POA — Monthly financial forecas'!E16*'POA — Monthly financial forecas'!E13</f>
        <v>133.33333333333334</v>
      </c>
      <c r="F24" s="16">
        <f>'POA — Monthly financial forecas'!F16*'POA — Monthly financial forecas'!F13</f>
        <v>208.33333333333331</v>
      </c>
      <c r="G24" s="16">
        <f>'POA — Monthly financial forecas'!G16*'POA — Monthly financial forecas'!G13</f>
        <v>300.00000000000006</v>
      </c>
      <c r="H24" s="16">
        <f>'POA — Monthly financial forecas'!H16*'POA — Monthly financial forecas'!H13</f>
        <v>790.0673400673398</v>
      </c>
      <c r="I24" s="16">
        <f>'POA — Monthly financial forecas'!I16*'POA — Monthly financial forecas'!I13</f>
        <v>1499.6632996632989</v>
      </c>
      <c r="J24" s="16">
        <f>'POA — Monthly financial forecas'!J16*'POA — Monthly financial forecas'!J13</f>
        <v>2428.787878787878</v>
      </c>
      <c r="K24" s="16">
        <f>'POA — Monthly financial forecas'!K16*'POA — Monthly financial forecas'!K13</f>
        <v>3577.4410774410753</v>
      </c>
      <c r="L24" s="16">
        <f>'POA — Monthly financial forecas'!L16*'POA — Monthly financial forecas'!L13</f>
        <v>4945.622895622892</v>
      </c>
      <c r="M24" s="16">
        <f>'POA — Monthly financial forecas'!M16*'POA — Monthly financial forecas'!M13</f>
        <v>6533.33333333333</v>
      </c>
      <c r="N24" s="16">
        <f>'POA — Monthly financial forecas'!N16*'POA — Monthly financial forecas'!N13</f>
        <v>9372.895622895621</v>
      </c>
      <c r="O24" s="16">
        <f>'POA — Monthly financial forecas'!O16*'POA — Monthly financial forecas'!O13</f>
        <v>12641.077441077437</v>
      </c>
      <c r="P24" s="16">
        <f>'POA — Monthly financial forecas'!P16*'POA — Monthly financial forecas'!P13</f>
        <v>16337.878787878786</v>
      </c>
      <c r="Q24" s="16">
        <f>'POA — Monthly financial forecas'!Q16*'POA — Monthly financial forecas'!Q13</f>
        <v>20463.29966329966</v>
      </c>
      <c r="R24" s="16">
        <f>'POA — Monthly financial forecas'!R16*'POA — Monthly financial forecas'!R13</f>
        <v>25017.340067340065</v>
      </c>
      <c r="S24" s="16">
        <f>'POA — Monthly financial forecas'!S16*'POA — Monthly financial forecas'!S13</f>
        <v>30000</v>
      </c>
      <c r="T24" s="16">
        <f>'POA — Monthly financial forecas'!T16*'POA — Monthly financial forecas'!T13</f>
        <v>34444.44444444445</v>
      </c>
      <c r="U24" s="16">
        <f>'POA — Monthly financial forecas'!U16*'POA — Monthly financial forecas'!U13</f>
        <v>39111.11111111111</v>
      </c>
      <c r="V24" s="16">
        <f>'POA — Monthly financial forecas'!V16*'POA — Monthly financial forecas'!V13</f>
        <v>44000</v>
      </c>
      <c r="W24" s="16">
        <f>'POA — Monthly financial forecas'!W16*'POA — Monthly financial forecas'!W13</f>
        <v>49111.11111111111</v>
      </c>
      <c r="X24" s="16">
        <f>'POA — Monthly financial forecas'!X16*'POA — Monthly financial forecas'!X13</f>
        <v>54444.444444444445</v>
      </c>
      <c r="Y24" s="16">
        <f>'POA — Monthly financial forecas'!Y16*'POA — Monthly financial forecas'!Y13</f>
        <v>60000</v>
      </c>
      <c r="Z24" s="16">
        <f>'POA — Monthly financial forecas'!Z16*'POA — Monthly financial forecas'!Z13</f>
        <v>65263.8888888889</v>
      </c>
      <c r="AA24" s="16">
        <f>'POA — Monthly financial forecas'!AA16*'POA — Monthly financial forecas'!AA13</f>
        <v>70722.22222222223</v>
      </c>
      <c r="AB24" s="16">
        <f>'POA — Monthly financial forecas'!AB16*'POA — Monthly financial forecas'!AB13</f>
        <v>76375</v>
      </c>
      <c r="AC24" s="16">
        <f>'POA — Monthly financial forecas'!AC16*'POA — Monthly financial forecas'!AC13</f>
        <v>82222.22222222225</v>
      </c>
      <c r="AD24" s="16">
        <f>'POA — Monthly financial forecas'!AD16*'POA — Monthly financial forecas'!AD13</f>
        <v>88263.88888888888</v>
      </c>
      <c r="AE24" s="16">
        <f>'POA — Monthly financial forecas'!AE16*'POA — Monthly financial forecas'!AE13</f>
        <v>94500</v>
      </c>
      <c r="AF24" s="16">
        <f>'POA — Monthly financial forecas'!AF16*'POA — Monthly financial forecas'!AF13</f>
        <v>99736.11111111112</v>
      </c>
      <c r="AG24" s="16">
        <f>'POA — Monthly financial forecas'!AG16*'POA — Monthly financial forecas'!AG13</f>
        <v>105111.11111111112</v>
      </c>
      <c r="AH24" s="16">
        <f>'POA — Monthly financial forecas'!AH16*'POA — Monthly financial forecas'!AH13</f>
        <v>110625</v>
      </c>
      <c r="AI24" s="16">
        <f>'POA — Monthly financial forecas'!AI16*'POA — Monthly financial forecas'!AI13</f>
        <v>116277.7777777778</v>
      </c>
      <c r="AJ24" s="16">
        <f>'POA — Monthly financial forecas'!AJ16*'POA — Monthly financial forecas'!AJ13</f>
        <v>122069.44444444445</v>
      </c>
      <c r="AK24" s="16">
        <f>'POA — Monthly financial forecas'!AK16*'POA — Monthly financial forecas'!AK13</f>
        <v>128000</v>
      </c>
    </row>
    <row r="25" outlineLevel="1">
      <c r="A25" t="inlineStr" s="18">
        <is>
          <t xml:space="preserve">Liquid staking</t>
        </is>
      </c>
      <c r="B25" s="16">
        <f>'POA — Monthly financial forecas'!B17*'POA — Monthly financial forecas'!B13</f>
        <v>6.249999999999999</v>
      </c>
      <c r="C25" s="16">
        <f>'POA — Monthly financial forecas'!C17*'POA — Monthly financial forecas'!C13</f>
        <v>24.999999999999996</v>
      </c>
      <c r="D25" s="16">
        <f>'POA — Monthly financial forecas'!D17*'POA — Monthly financial forecas'!D13</f>
        <v>56.24999999999999</v>
      </c>
      <c r="E25" s="16">
        <f>'POA — Monthly financial forecas'!E17*'POA — Monthly financial forecas'!E13</f>
        <v>99.99999999999999</v>
      </c>
      <c r="F25" s="16">
        <f>'POA — Monthly financial forecas'!F17*'POA — Monthly financial forecas'!F13</f>
        <v>156.25</v>
      </c>
      <c r="G25" s="16">
        <f>'POA — Monthly financial forecas'!G17*'POA — Monthly financial forecas'!G13</f>
        <v>224.99999999999997</v>
      </c>
      <c r="H25" s="16">
        <f>'POA — Monthly financial forecas'!H17*'POA — Monthly financial forecas'!H13</f>
        <v>592.5505050505047</v>
      </c>
      <c r="I25" s="16">
        <f>'POA — Monthly financial forecas'!I17*'POA — Monthly financial forecas'!I13</f>
        <v>1124.7474747474741</v>
      </c>
      <c r="J25" s="16">
        <f>'POA — Monthly financial forecas'!J17*'POA — Monthly financial forecas'!J13</f>
        <v>1821.5909090909083</v>
      </c>
      <c r="K25" s="16">
        <f>'POA — Monthly financial forecas'!K17*'POA — Monthly financial forecas'!K13</f>
        <v>2683.080808080806</v>
      </c>
      <c r="L25" s="16">
        <f>'POA — Monthly financial forecas'!L17*'POA — Monthly financial forecas'!L13</f>
        <v>3709.217171717169</v>
      </c>
      <c r="M25" s="16">
        <f>'POA — Monthly financial forecas'!M17*'POA — Monthly financial forecas'!M13</f>
        <v>4899.999999999997</v>
      </c>
      <c r="N25" s="16">
        <f>'POA — Monthly financial forecas'!N17*'POA — Monthly financial forecas'!N13</f>
        <v>7029.6717171717155</v>
      </c>
      <c r="O25" s="16">
        <f>'POA — Monthly financial forecas'!O17*'POA — Monthly financial forecas'!O13</f>
        <v>9480.808080808076</v>
      </c>
      <c r="P25" s="16">
        <f>'POA — Monthly financial forecas'!P17*'POA — Monthly financial forecas'!P13</f>
        <v>12253.409090909088</v>
      </c>
      <c r="Q25" s="16">
        <f>'POA — Monthly financial forecas'!Q17*'POA — Monthly financial forecas'!Q13</f>
        <v>15347.474747474742</v>
      </c>
      <c r="R25" s="16">
        <f>'POA — Monthly financial forecas'!R17*'POA — Monthly financial forecas'!R13</f>
        <v>18763.005050505046</v>
      </c>
      <c r="S25" s="16">
        <f>'POA — Monthly financial forecas'!S17*'POA — Monthly financial forecas'!S13</f>
        <v>22500</v>
      </c>
      <c r="T25" s="16">
        <f>'POA — Monthly financial forecas'!T17*'POA — Monthly financial forecas'!T13</f>
        <v>25833.333333333336</v>
      </c>
      <c r="U25" s="16">
        <f>'POA — Monthly financial forecas'!U17*'POA — Monthly financial forecas'!U13</f>
        <v>29333.33333333333</v>
      </c>
      <c r="V25" s="16">
        <f>'POA — Monthly financial forecas'!V17*'POA — Monthly financial forecas'!V13</f>
        <v>33000</v>
      </c>
      <c r="W25" s="16">
        <f>'POA — Monthly financial forecas'!W17*'POA — Monthly financial forecas'!W13</f>
        <v>36833.33333333333</v>
      </c>
      <c r="X25" s="16">
        <f>'POA — Monthly financial forecas'!X17*'POA — Monthly financial forecas'!X13</f>
        <v>40833.33333333333</v>
      </c>
      <c r="Y25" s="16">
        <f>'POA — Monthly financial forecas'!Y17*'POA — Monthly financial forecas'!Y13</f>
        <v>45000</v>
      </c>
      <c r="Z25" s="16">
        <f>'POA — Monthly financial forecas'!Z17*'POA — Monthly financial forecas'!Z13</f>
        <v>48947.916666666664</v>
      </c>
      <c r="AA25" s="16">
        <f>'POA — Monthly financial forecas'!AA17*'POA — Monthly financial forecas'!AA13</f>
        <v>53041.666666666664</v>
      </c>
      <c r="AB25" s="16">
        <f>'POA — Monthly financial forecas'!AB17*'POA — Monthly financial forecas'!AB13</f>
        <v>57281.25</v>
      </c>
      <c r="AC25" s="16">
        <f>'POA — Monthly financial forecas'!AC17*'POA — Monthly financial forecas'!AC13</f>
        <v>61666.66666666668</v>
      </c>
      <c r="AD25" s="16">
        <f>'POA — Monthly financial forecas'!AD17*'POA — Monthly financial forecas'!AD13</f>
        <v>66197.91666666666</v>
      </c>
      <c r="AE25" s="16">
        <f>'POA — Monthly financial forecas'!AE17*'POA — Monthly financial forecas'!AE13</f>
        <v>70875</v>
      </c>
      <c r="AF25" s="16">
        <f>'POA — Monthly financial forecas'!AF17*'POA — Monthly financial forecas'!AF13</f>
        <v>74802.08333333333</v>
      </c>
      <c r="AG25" s="16">
        <f>'POA — Monthly financial forecas'!AG17*'POA — Monthly financial forecas'!AG13</f>
        <v>78833.33333333333</v>
      </c>
      <c r="AH25" s="16">
        <f>'POA — Monthly financial forecas'!AH17*'POA — Monthly financial forecas'!AH13</f>
        <v>82968.75</v>
      </c>
      <c r="AI25" s="16">
        <f>'POA — Monthly financial forecas'!AI17*'POA — Monthly financial forecas'!AI13</f>
        <v>87208.33333333333</v>
      </c>
      <c r="AJ25" s="16">
        <f>'POA — Monthly financial forecas'!AJ17*'POA — Monthly financial forecas'!AJ13</f>
        <v>91552.08333333333</v>
      </c>
      <c r="AK25" s="16">
        <f>'POA — Monthly financial forecas'!AK17*'POA — Monthly financial forecas'!AK13</f>
        <v>96000</v>
      </c>
    </row>
    <row r="26">
      <c r="A26" t="inlineStr" s="9">
        <is>
          <t xml:space="preserve">Verified losses recovered and disbursed</t>
        </is>
      </c>
      <c r="B26" s="16">
        <f>'POA — Monthly financial forecas'!B22/'Model inputs'!AM14</f>
        <v>416.66666666666663</v>
      </c>
      <c r="C26" s="16">
        <f>'POA — Monthly financial forecas'!C22/'Model inputs'!AM14</f>
        <v>1666.6666666666665</v>
      </c>
      <c r="D26" s="16">
        <f>'POA — Monthly financial forecas'!D22/'Model inputs'!AM14</f>
        <v>3750</v>
      </c>
      <c r="E26" s="16">
        <f>'POA — Monthly financial forecas'!E22/'Model inputs'!AM14</f>
        <v>6666.666666666666</v>
      </c>
      <c r="F26" s="16">
        <f>'POA — Monthly financial forecas'!F22/'Model inputs'!AM14</f>
        <v>10416.666666666664</v>
      </c>
      <c r="G26" s="16">
        <f>'POA — Monthly financial forecas'!G22/'Model inputs'!AM14</f>
        <v>15000</v>
      </c>
      <c r="H26" s="16">
        <f>'POA — Monthly financial forecas'!H22/'Model inputs'!AM14</f>
        <v>39503.367003366984</v>
      </c>
      <c r="I26" s="16">
        <f>'POA — Monthly financial forecas'!I22/'Model inputs'!AM14</f>
        <v>74983.16498316494</v>
      </c>
      <c r="J26" s="16">
        <f>'POA — Monthly financial forecas'!J22/'Model inputs'!AM14</f>
        <v>121439.39393939388</v>
      </c>
      <c r="K26" s="16">
        <f>'POA — Monthly financial forecas'!K22/'Model inputs'!AM14</f>
        <v>178872.05387205372</v>
      </c>
      <c r="L26" s="16">
        <f>'POA — Monthly financial forecas'!L22/'Model inputs'!AM14</f>
        <v>247281.1447811446</v>
      </c>
      <c r="M26" s="16">
        <f>'POA — Monthly financial forecas'!M22/'Model inputs'!AM14</f>
        <v>326666.66666666645</v>
      </c>
      <c r="N26" s="16">
        <f>'POA — Monthly financial forecas'!N22/'Model inputs'!AM14</f>
        <v>468644.781144781</v>
      </c>
      <c r="O26" s="16">
        <f>'POA — Monthly financial forecas'!O22/'Model inputs'!AM14</f>
        <v>632053.8720538717</v>
      </c>
      <c r="P26" s="16">
        <f>'POA — Monthly financial forecas'!P22/'Model inputs'!AM14</f>
        <v>816893.9393939392</v>
      </c>
      <c r="Q26" s="16">
        <f>'POA — Monthly financial forecas'!Q22/'Model inputs'!AM14</f>
        <v>1023164.9831649828</v>
      </c>
      <c r="R26" s="16">
        <f>'POA — Monthly financial forecas'!R22/'Model inputs'!AM14</f>
        <v>1250867.003367003</v>
      </c>
      <c r="S26" s="16">
        <f>'POA — Monthly financial forecas'!S22/'Model inputs'!AM14</f>
        <v>1500000</v>
      </c>
      <c r="T26" s="16">
        <f>'POA — Monthly financial forecas'!T22/'Model inputs'!AM14</f>
        <v>1722222.2222222225</v>
      </c>
      <c r="U26" s="16">
        <f>'POA — Monthly financial forecas'!U22/'Model inputs'!AM14</f>
        <v>1955555.5555555553</v>
      </c>
      <c r="V26" s="16">
        <f>'POA — Monthly financial forecas'!V22/'Model inputs'!AM14</f>
        <v>2200000</v>
      </c>
      <c r="W26" s="16">
        <f>'POA — Monthly financial forecas'!W22/'Model inputs'!AM14</f>
        <v>2455555.555555555</v>
      </c>
      <c r="X26" s="16">
        <f>'POA — Monthly financial forecas'!X22/'Model inputs'!AM14</f>
        <v>2722222.2222222215</v>
      </c>
      <c r="Y26" s="16">
        <f>'POA — Monthly financial forecas'!Y22/'Model inputs'!AM14</f>
        <v>3000000</v>
      </c>
      <c r="Z26" s="16">
        <f>'POA — Monthly financial forecas'!Z22/'Model inputs'!AM14</f>
        <v>3263194.444444444</v>
      </c>
      <c r="AA26" s="16">
        <f>'POA — Monthly financial forecas'!AA22/'Model inputs'!AM14</f>
        <v>3536111.111111111</v>
      </c>
      <c r="AB26" s="16">
        <f>'POA — Monthly financial forecas'!AB22/'Model inputs'!AM14</f>
        <v>3818750</v>
      </c>
      <c r="AC26" s="16">
        <f>'POA — Monthly financial forecas'!AC22/'Model inputs'!AM14</f>
        <v>4111111.1111111124</v>
      </c>
      <c r="AD26" s="16">
        <f>'POA — Monthly financial forecas'!AD22/'Model inputs'!AM14</f>
        <v>4413194.444444443</v>
      </c>
      <c r="AE26" s="16">
        <f>'POA — Monthly financial forecas'!AE22/'Model inputs'!AM14</f>
        <v>4725000</v>
      </c>
      <c r="AF26" s="16">
        <f>'POA — Monthly financial forecas'!AF22/'Model inputs'!AM14</f>
        <v>4986805.555555555</v>
      </c>
      <c r="AG26" s="16">
        <f>'POA — Monthly financial forecas'!AG22/'Model inputs'!AM14</f>
        <v>5255555.555555555</v>
      </c>
      <c r="AH26" s="16">
        <f>'POA — Monthly financial forecas'!AH22/'Model inputs'!AM14</f>
        <v>5531250</v>
      </c>
      <c r="AI26" s="16">
        <f>'POA — Monthly financial forecas'!AI22/'Model inputs'!AM14</f>
        <v>5813888.888888888</v>
      </c>
      <c r="AJ26" s="16">
        <f>'POA — Monthly financial forecas'!AJ22/'Model inputs'!AM14</f>
        <v>6103472.222222222</v>
      </c>
      <c r="AK26" s="16">
        <f>'POA — Monthly financial forecas'!AK22/'Model inputs'!AM14</f>
        <v>6400000</v>
      </c>
    </row>
    <row r="27">
      <c r="A27" t="inlineStr" s="9">
        <is>
          <t xml:space="preserve">Total revenue</t>
        </is>
      </c>
      <c r="B27" s="16">
        <f>'POA — Monthly financial forecas'!B18+'POA — Monthly financial forecas'!B22</f>
        <v>3520.8333333333335</v>
      </c>
      <c r="C27" s="16">
        <f>'POA — Monthly financial forecas'!C18+'POA — Monthly financial forecas'!C22</f>
        <v>7083.333333333333</v>
      </c>
      <c r="D27" s="16">
        <f>'POA — Monthly financial forecas'!D18+'POA — Monthly financial forecas'!D22</f>
        <v>10687.5</v>
      </c>
      <c r="E27" s="16">
        <f>'POA — Monthly financial forecas'!E18+'POA — Monthly financial forecas'!E22</f>
        <v>14333.333333333334</v>
      </c>
      <c r="F27" s="16">
        <f>'POA — Monthly financial forecas'!F18+'POA — Monthly financial forecas'!F22</f>
        <v>18020.833333333332</v>
      </c>
      <c r="G27" s="16">
        <f>'POA — Monthly financial forecas'!G18+'POA — Monthly financial forecas'!G22</f>
        <v>21750</v>
      </c>
      <c r="H27" s="16">
        <f>'POA — Monthly financial forecas'!H18+'POA — Monthly financial forecas'!H22</f>
        <v>32308.50168350168</v>
      </c>
      <c r="I27" s="16">
        <f>'POA — Monthly financial forecas'!I18+'POA — Monthly financial forecas'!I22</f>
        <v>43415.82491582491</v>
      </c>
      <c r="J27" s="16">
        <f>'POA — Monthly financial forecas'!J18+'POA — Monthly financial forecas'!J22</f>
        <v>55071.969696969696</v>
      </c>
      <c r="K27" s="16">
        <f>'POA — Monthly financial forecas'!K18+'POA — Monthly financial forecas'!K22</f>
        <v>67276.93602693602</v>
      </c>
      <c r="L27" s="16">
        <f>'POA — Monthly financial forecas'!L18+'POA — Monthly financial forecas'!L22</f>
        <v>80030.7239057239</v>
      </c>
      <c r="M27" s="16">
        <f>'POA — Monthly financial forecas'!M18+'POA — Monthly financial forecas'!M22</f>
        <v>93333.33333333333</v>
      </c>
      <c r="N27" s="16">
        <f>'POA — Monthly financial forecas'!N18+'POA — Monthly financial forecas'!N22</f>
        <v>122598.90572390571</v>
      </c>
      <c r="O27" s="16">
        <f>'POA — Monthly financial forecas'!O18+'POA — Monthly financial forecas'!O22</f>
        <v>152936.0269360269</v>
      </c>
      <c r="P27" s="16">
        <f>'POA — Monthly financial forecas'!P18+'POA — Monthly financial forecas'!P22</f>
        <v>184344.69696969696</v>
      </c>
      <c r="Q27" s="16">
        <f>'POA — Monthly financial forecas'!Q18+'POA — Monthly financial forecas'!Q22</f>
        <v>216824.9158249158</v>
      </c>
      <c r="R27" s="16">
        <f>'POA — Monthly financial forecas'!R18+'POA — Monthly financial forecas'!R22</f>
        <v>250376.6835016835</v>
      </c>
      <c r="S27" s="16">
        <f>'POA — Monthly financial forecas'!S18+'POA — Monthly financial forecas'!S22</f>
        <v>285000</v>
      </c>
      <c r="T27" s="16">
        <f>'POA — Monthly financial forecas'!T18+'POA — Monthly financial forecas'!T22</f>
        <v>319444.4444444445</v>
      </c>
      <c r="U27" s="16">
        <f>'POA — Monthly financial forecas'!U18+'POA — Monthly financial forecas'!U22</f>
        <v>354444.4444444444</v>
      </c>
      <c r="V27" s="16">
        <f>'POA — Monthly financial forecas'!V18+'POA — Monthly financial forecas'!V22</f>
        <v>390000</v>
      </c>
      <c r="W27" s="16">
        <f>'POA — Monthly financial forecas'!W18+'POA — Monthly financial forecas'!W22</f>
        <v>426111.11111111107</v>
      </c>
      <c r="X27" s="16">
        <f>'POA — Monthly financial forecas'!X18+'POA — Monthly financial forecas'!X22</f>
        <v>462777.77777777775</v>
      </c>
      <c r="Y27" s="16">
        <f>'POA — Monthly financial forecas'!Y18+'POA — Monthly financial forecas'!Y22</f>
        <v>500000</v>
      </c>
      <c r="Z27" s="16">
        <f>'POA — Monthly financial forecas'!Z18+'POA — Monthly financial forecas'!Z22</f>
        <v>533576.3888888889</v>
      </c>
      <c r="AA27" s="16">
        <f>'POA — Monthly financial forecas'!AA18+'POA — Monthly financial forecas'!AA22</f>
        <v>567638.888888889</v>
      </c>
      <c r="AB27" s="16">
        <f>'POA — Monthly financial forecas'!AB18+'POA — Monthly financial forecas'!AB22</f>
        <v>602187.5</v>
      </c>
      <c r="AC27" s="16">
        <f>'POA — Monthly financial forecas'!AC18+'POA — Monthly financial forecas'!AC22</f>
        <v>637222.2222222222</v>
      </c>
      <c r="AD27" s="16">
        <f>'POA — Monthly financial forecas'!AD18+'POA — Monthly financial forecas'!AD22</f>
        <v>672743.0555555555</v>
      </c>
      <c r="AE27" s="16">
        <f>'POA — Monthly financial forecas'!AE18+'POA — Monthly financial forecas'!AE22</f>
        <v>708750</v>
      </c>
      <c r="AF27" s="16">
        <f>'POA — Monthly financial forecas'!AF18+'POA — Monthly financial forecas'!AF22</f>
        <v>736423.611111111</v>
      </c>
      <c r="AG27" s="16">
        <f>'POA — Monthly financial forecas'!AG18+'POA — Monthly financial forecas'!AG22</f>
        <v>764444.4444444445</v>
      </c>
      <c r="AH27" s="16">
        <f>'POA — Monthly financial forecas'!AH18+'POA — Monthly financial forecas'!AH22</f>
        <v>792812.5</v>
      </c>
      <c r="AI27" s="16">
        <f>'POA — Monthly financial forecas'!AI18+'POA — Monthly financial forecas'!AI22</f>
        <v>821527.7777777778</v>
      </c>
      <c r="AJ27" s="16">
        <f>'POA — Monthly financial forecas'!AJ18+'POA — Monthly financial forecas'!AJ22</f>
        <v>850590.2777777779</v>
      </c>
      <c r="AK27" s="16">
        <f>'POA — Monthly financial forecas'!AK18+'POA — Monthly financial forecas'!AK22</f>
        <v>880000</v>
      </c>
    </row>
    <row r="28">
      <c r="A28" t="inlineStr" s="9">
        <is>
          <t xml:space="preserve">Contracted subscription ARR</t>
        </is>
      </c>
      <c r="B28" s="16">
        <f>'POA — Monthly financial forecas'!B18*12</f>
        <v>42000</v>
      </c>
      <c r="C28" s="16">
        <f>'POA — Monthly financial forecas'!C18*12</f>
        <v>84000</v>
      </c>
      <c r="D28" s="16">
        <f>'POA — Monthly financial forecas'!D18*12</f>
        <v>126000</v>
      </c>
      <c r="E28" s="16">
        <f>'POA — Monthly financial forecas'!E18*12</f>
        <v>168000</v>
      </c>
      <c r="F28" s="16">
        <f>'POA — Monthly financial forecas'!F18*12</f>
        <v>210000</v>
      </c>
      <c r="G28" s="16">
        <f>'POA — Monthly financial forecas'!G18*12</f>
        <v>252000</v>
      </c>
      <c r="H28" s="16">
        <f>'POA — Monthly financial forecas'!H18*12</f>
        <v>363999.99999999994</v>
      </c>
      <c r="I28" s="16">
        <f>'POA — Monthly financial forecas'!I18*12</f>
        <v>476000</v>
      </c>
      <c r="J28" s="16">
        <f>'POA — Monthly financial forecas'!J18*12</f>
        <v>588000</v>
      </c>
      <c r="K28" s="16">
        <f>'POA — Monthly financial forecas'!K18*12</f>
        <v>700000</v>
      </c>
      <c r="L28" s="16">
        <f>'POA — Monthly financial forecas'!L18*12</f>
        <v>812000</v>
      </c>
      <c r="M28" s="16">
        <f>'POA — Monthly financial forecas'!M18*12</f>
        <v>924000</v>
      </c>
      <c r="N28" s="16">
        <f>'POA — Monthly financial forecas'!N18*12</f>
        <v>1190000</v>
      </c>
      <c r="O28" s="16">
        <f>'POA — Monthly financial forecas'!O18*12</f>
        <v>1455999.9999999998</v>
      </c>
      <c r="P28" s="16">
        <f>'POA — Monthly financial forecas'!P18*12</f>
        <v>1722000</v>
      </c>
      <c r="Q28" s="16">
        <f>'POA — Monthly financial forecas'!Q18*12</f>
        <v>1988000</v>
      </c>
      <c r="R28" s="16">
        <f>'POA — Monthly financial forecas'!R18*12</f>
        <v>2254000</v>
      </c>
      <c r="S28" s="16">
        <f>'POA — Monthly financial forecas'!S18*12</f>
        <v>2520000</v>
      </c>
      <c r="T28" s="16">
        <f>'POA — Monthly financial forecas'!T18*12</f>
        <v>2800000</v>
      </c>
      <c r="U28" s="16">
        <f>'POA — Monthly financial forecas'!U18*12</f>
        <v>3079999.9999999995</v>
      </c>
      <c r="V28" s="16">
        <f>'POA — Monthly financial forecas'!V18*12</f>
        <v>3360000</v>
      </c>
      <c r="W28" s="16">
        <f>'POA — Monthly financial forecas'!W18*12</f>
        <v>3640000</v>
      </c>
      <c r="X28" s="16">
        <f>'POA — Monthly financial forecas'!X18*12</f>
        <v>3919999.9999999995</v>
      </c>
      <c r="Y28" s="16">
        <f>'POA — Monthly financial forecas'!Y18*12</f>
        <v>4200000</v>
      </c>
      <c r="Z28" s="16">
        <f>'POA — Monthly financial forecas'!Z18*12</f>
        <v>4445000</v>
      </c>
      <c r="AA28" s="16">
        <f>'POA — Monthly financial forecas'!AA18*12</f>
        <v>4690000</v>
      </c>
      <c r="AB28" s="16">
        <f>'POA — Monthly financial forecas'!AB18*12</f>
        <v>4935000</v>
      </c>
      <c r="AC28" s="16">
        <f>'POA — Monthly financial forecas'!AC18*12</f>
        <v>5180000</v>
      </c>
      <c r="AD28" s="16">
        <f>'POA — Monthly financial forecas'!AD18*12</f>
        <v>5424999.999999999</v>
      </c>
      <c r="AE28" s="16">
        <f>'POA — Monthly financial forecas'!AE18*12</f>
        <v>5670000</v>
      </c>
      <c r="AF28" s="16">
        <f>'POA — Monthly financial forecas'!AF18*12</f>
        <v>5844999.999999999</v>
      </c>
      <c r="AG28" s="16">
        <f>'POA — Monthly financial forecas'!AG18*12</f>
        <v>6020000</v>
      </c>
      <c r="AH28" s="16">
        <f>'POA — Monthly financial forecas'!AH18*12</f>
        <v>6195000</v>
      </c>
      <c r="AI28" s="16">
        <f>'POA — Monthly financial forecas'!AI18*12</f>
        <v>6369999.999999999</v>
      </c>
      <c r="AJ28" s="16">
        <f>'POA — Monthly financial forecas'!AJ18*12</f>
        <v>6545000.000000001</v>
      </c>
      <c r="AK28" s="16">
        <f>'POA — Monthly financial forecas'!AK18*12</f>
        <v>6720000</v>
      </c>
    </row>
    <row r="29">
      <c r="A29" t="inlineStr" s="9">
        <is>
          <t xml:space="preserve">Total revenue annualized run rate</t>
        </is>
      </c>
      <c r="B29" s="16">
        <f>'POA — Monthly financial forecas'!B27*12</f>
        <v>42250</v>
      </c>
      <c r="C29" s="16">
        <f>'POA — Monthly financial forecas'!C27*12</f>
        <v>85000</v>
      </c>
      <c r="D29" s="16">
        <f>'POA — Monthly financial forecas'!D27*12</f>
        <v>128250</v>
      </c>
      <c r="E29" s="16">
        <f>'POA — Monthly financial forecas'!E27*12</f>
        <v>172000</v>
      </c>
      <c r="F29" s="16">
        <f>'POA — Monthly financial forecas'!F27*12</f>
        <v>216250</v>
      </c>
      <c r="G29" s="16">
        <f>'POA — Monthly financial forecas'!G27*12</f>
        <v>261000</v>
      </c>
      <c r="H29" s="16">
        <f>'POA — Monthly financial forecas'!H27*12</f>
        <v>387702.0202020202</v>
      </c>
      <c r="I29" s="16">
        <f>'POA — Monthly financial forecas'!I27*12</f>
        <v>520989.8989898989</v>
      </c>
      <c r="J29" s="16">
        <f>'POA — Monthly financial forecas'!J27*12</f>
        <v>660863.6363636364</v>
      </c>
      <c r="K29" s="16">
        <f>'POA — Monthly financial forecas'!K27*12</f>
        <v>807323.2323232322</v>
      </c>
      <c r="L29" s="16">
        <f>'POA — Monthly financial forecas'!L27*12</f>
        <v>960368.6868686869</v>
      </c>
      <c r="M29" s="16">
        <f>'POA — Monthly financial forecas'!M27*12</f>
        <v>1120000</v>
      </c>
      <c r="N29" s="16">
        <f>'POA — Monthly financial forecas'!N27*12</f>
        <v>1471186.8686868686</v>
      </c>
      <c r="O29" s="16">
        <f>'POA — Monthly financial forecas'!O27*12</f>
        <v>1835232.323232323</v>
      </c>
      <c r="P29" s="16">
        <f>'POA — Monthly financial forecas'!P27*12</f>
        <v>2212136.3636363633</v>
      </c>
      <c r="Q29" s="16">
        <f>'POA — Monthly financial forecas'!Q27*12</f>
        <v>2601898.98989899</v>
      </c>
      <c r="R29" s="16">
        <f>'POA — Monthly financial forecas'!R27*12</f>
        <v>3004520.202020202</v>
      </c>
      <c r="S29" s="16">
        <f>'POA — Monthly financial forecas'!S27*12</f>
        <v>3420000</v>
      </c>
      <c r="T29" s="16">
        <f>'POA — Monthly financial forecas'!T27*12</f>
        <v>3833333.333333334</v>
      </c>
      <c r="U29" s="16">
        <f>'POA — Monthly financial forecas'!U27*12</f>
        <v>4253333.333333332</v>
      </c>
      <c r="V29" s="16">
        <f>'POA — Monthly financial forecas'!V27*12</f>
        <v>4680000</v>
      </c>
      <c r="W29" s="16">
        <f>'POA — Monthly financial forecas'!W27*12</f>
        <v>5113333.333333333</v>
      </c>
      <c r="X29" s="16">
        <f>'POA — Monthly financial forecas'!X27*12</f>
        <v>5553333.333333333</v>
      </c>
      <c r="Y29" s="16">
        <f>'POA — Monthly financial forecas'!Y27*12</f>
        <v>6000000</v>
      </c>
      <c r="Z29" s="16">
        <f>'POA — Monthly financial forecas'!Z27*12</f>
        <v>6402916.666666666</v>
      </c>
      <c r="AA29" s="16">
        <f>'POA — Monthly financial forecas'!AA27*12</f>
        <v>6811666.666666668</v>
      </c>
      <c r="AB29" s="16">
        <f>'POA — Monthly financial forecas'!AB27*12</f>
        <v>7226250</v>
      </c>
      <c r="AC29" s="16">
        <f>'POA — Monthly financial forecas'!AC27*12</f>
        <v>7646666.666666667</v>
      </c>
      <c r="AD29" s="16">
        <f>'POA — Monthly financial forecas'!AD27*12</f>
        <v>8072916.666666666</v>
      </c>
      <c r="AE29" s="16">
        <f>'POA — Monthly financial forecas'!AE27*12</f>
        <v>8505000</v>
      </c>
      <c r="AF29" s="16">
        <f>'POA — Monthly financial forecas'!AF27*12</f>
        <v>8837083.333333332</v>
      </c>
      <c r="AG29" s="16">
        <f>'POA — Monthly financial forecas'!AG27*12</f>
        <v>9173333.333333334</v>
      </c>
      <c r="AH29" s="16">
        <f>'POA — Monthly financial forecas'!AH27*12</f>
        <v>9513750</v>
      </c>
      <c r="AI29" s="16">
        <f>'POA — Monthly financial forecas'!AI27*12</f>
        <v>9858333.333333332</v>
      </c>
      <c r="AJ29" s="16">
        <f>'POA — Monthly financial forecas'!AJ27*12</f>
        <v>10207083.333333334</v>
      </c>
      <c r="AK29" s="16">
        <f>'POA — Monthly financial forecas'!AK27*12</f>
        <v>10560000</v>
      </c>
    </row>
    <row r="30">
      <c r="A30" t="inlineStr" s="9">
        <is>
          <t xml:space="preserve">Investigated incidents</t>
        </is>
      </c>
      <c r="B30" s="15">
        <f>'POA — Monthly financial forecas'!B7*'Model inputs'!AM38</f>
        <v>100</v>
      </c>
      <c r="C30" s="15">
        <f>'POA — Monthly financial forecas'!C7*'Model inputs'!AM38</f>
        <v>200</v>
      </c>
      <c r="D30" s="15">
        <f>'POA — Monthly financial forecas'!D7*'Model inputs'!AM38</f>
        <v>300</v>
      </c>
      <c r="E30" s="15">
        <f>'POA — Monthly financial forecas'!E7*'Model inputs'!AM38</f>
        <v>400</v>
      </c>
      <c r="F30" s="15">
        <f>'POA — Monthly financial forecas'!F7*'Model inputs'!AM38</f>
        <v>500</v>
      </c>
      <c r="G30" s="15">
        <f>'POA — Monthly financial forecas'!G7*'Model inputs'!AM38</f>
        <v>600</v>
      </c>
      <c r="H30" s="15">
        <f>'POA — Monthly financial forecas'!H7*'Model inputs'!AM38</f>
        <v>866.6666666666666</v>
      </c>
      <c r="I30" s="15">
        <f>'POA — Monthly financial forecas'!I7*'Model inputs'!AM38</f>
        <v>1133.3333333333333</v>
      </c>
      <c r="J30" s="15">
        <f>'POA — Monthly financial forecas'!J7*'Model inputs'!AM38</f>
        <v>1400</v>
      </c>
      <c r="K30" s="15">
        <f>'POA — Monthly financial forecas'!K7*'Model inputs'!AM38</f>
        <v>1666.6666666666665</v>
      </c>
      <c r="L30" s="15">
        <f>'POA — Monthly financial forecas'!L7*'Model inputs'!AM38</f>
        <v>1933.3333333333333</v>
      </c>
      <c r="M30" s="15">
        <f>'POA — Monthly financial forecas'!M7*'Model inputs'!AM38</f>
        <v>2200</v>
      </c>
      <c r="N30" s="15">
        <f>'POA — Monthly financial forecas'!N7*'Model inputs'!AM38</f>
        <v>2833.333333333333</v>
      </c>
      <c r="O30" s="15">
        <f>'POA — Monthly financial forecas'!O7*'Model inputs'!AM38</f>
        <v>3466.6666666666665</v>
      </c>
      <c r="P30" s="15">
        <f>'POA — Monthly financial forecas'!P7*'Model inputs'!AM38</f>
        <v>4100</v>
      </c>
      <c r="Q30" s="15">
        <f>'POA — Monthly financial forecas'!Q7*'Model inputs'!AM38</f>
        <v>4733.333333333333</v>
      </c>
      <c r="R30" s="15">
        <f>'POA — Monthly financial forecas'!R7*'Model inputs'!AM38</f>
        <v>5366.666666666666</v>
      </c>
      <c r="S30" s="15">
        <f>'POA — Monthly financial forecas'!S7*'Model inputs'!AM38</f>
        <v>6000</v>
      </c>
      <c r="T30" s="15">
        <f>'POA — Monthly financial forecas'!T7*'Model inputs'!AM38</f>
        <v>6666.666666666667</v>
      </c>
      <c r="U30" s="15">
        <f>'POA — Monthly financial forecas'!U7*'Model inputs'!AM38</f>
        <v>7333.333333333333</v>
      </c>
      <c r="V30" s="15">
        <f>'POA — Monthly financial forecas'!V7*'Model inputs'!AM38</f>
        <v>8000</v>
      </c>
      <c r="W30" s="15">
        <f>'POA — Monthly financial forecas'!W7*'Model inputs'!AM38</f>
        <v>8666.666666666666</v>
      </c>
      <c r="X30" s="15">
        <f>'POA — Monthly financial forecas'!X7*'Model inputs'!AM38</f>
        <v>9333.333333333332</v>
      </c>
      <c r="Y30" s="15">
        <f>'POA — Monthly financial forecas'!Y7*'Model inputs'!AM38</f>
        <v>10000</v>
      </c>
      <c r="Z30" s="15">
        <f>'POA — Monthly financial forecas'!Z7*'Model inputs'!AM38</f>
        <v>10583.333333333332</v>
      </c>
      <c r="AA30" s="15">
        <f>'POA — Monthly financial forecas'!AA7*'Model inputs'!AM38</f>
        <v>11166.666666666668</v>
      </c>
      <c r="AB30" s="15">
        <f>'POA — Monthly financial forecas'!AB7*'Model inputs'!AM38</f>
        <v>11750</v>
      </c>
      <c r="AC30" s="15">
        <f>'POA — Monthly financial forecas'!AC7*'Model inputs'!AM38</f>
        <v>12333.333333333332</v>
      </c>
      <c r="AD30" s="15">
        <f>'POA — Monthly financial forecas'!AD7*'Model inputs'!AM38</f>
        <v>12916.666666666666</v>
      </c>
      <c r="AE30" s="15">
        <f>'POA — Monthly financial forecas'!AE7*'Model inputs'!AM38</f>
        <v>13500</v>
      </c>
      <c r="AF30" s="15">
        <f>'POA — Monthly financial forecas'!AF7*'Model inputs'!AM38</f>
        <v>13916.666666666666</v>
      </c>
      <c r="AG30" s="15">
        <f>'POA — Monthly financial forecas'!AG7*'Model inputs'!AM38</f>
        <v>14333.333333333334</v>
      </c>
      <c r="AH30" s="15">
        <f>'POA — Monthly financial forecas'!AH7*'Model inputs'!AM38</f>
        <v>14750</v>
      </c>
      <c r="AI30" s="15">
        <f>'POA — Monthly financial forecas'!AI7*'Model inputs'!AM38</f>
        <v>15166.666666666666</v>
      </c>
      <c r="AJ30" s="15">
        <f>'POA — Monthly financial forecas'!AJ7*'Model inputs'!AM38</f>
        <v>15583.333333333334</v>
      </c>
      <c r="AK30" s="15">
        <f>'POA — Monthly financial forecas'!AK7*'Model inputs'!AM38</f>
        <v>16000</v>
      </c>
    </row>
    <row r="31">
      <c r="A31" t="inlineStr" s="9">
        <is>
          <t xml:space="preserve">LLM inference delivery cost</t>
        </is>
      </c>
      <c r="B31" s="16">
        <f>'POA — Monthly financial forecas'!B30*'Model inputs'!AM39</f>
        <v>3.8</v>
      </c>
      <c r="C31" s="16">
        <f>'POA — Monthly financial forecas'!C30*'Model inputs'!AM39</f>
        <v>7.6</v>
      </c>
      <c r="D31" s="16">
        <f>'POA — Monthly financial forecas'!D30*'Model inputs'!AM39</f>
        <v>11.4</v>
      </c>
      <c r="E31" s="16">
        <f>'POA — Monthly financial forecas'!E30*'Model inputs'!AM39</f>
        <v>15.2</v>
      </c>
      <c r="F31" s="16">
        <f>'POA — Monthly financial forecas'!F30*'Model inputs'!AM39</f>
        <v>19</v>
      </c>
      <c r="G31" s="16">
        <f>'POA — Monthly financial forecas'!G30*'Model inputs'!AM39</f>
        <v>22.8</v>
      </c>
      <c r="H31" s="16">
        <f>'POA — Monthly financial forecas'!H30*'Model inputs'!AM39</f>
        <v>32.93333333333333</v>
      </c>
      <c r="I31" s="16">
        <f>'POA — Monthly financial forecas'!I30*'Model inputs'!AM39</f>
        <v>43.06666666666666</v>
      </c>
      <c r="J31" s="16">
        <f>'POA — Monthly financial forecas'!J30*'Model inputs'!AM39</f>
        <v>53.199999999999996</v>
      </c>
      <c r="K31" s="16">
        <f>'POA — Monthly financial forecas'!K30*'Model inputs'!AM39</f>
        <v>63.33333333333333</v>
      </c>
      <c r="L31" s="16">
        <f>'POA — Monthly financial forecas'!L30*'Model inputs'!AM39</f>
        <v>73.46666666666667</v>
      </c>
      <c r="M31" s="16">
        <f>'POA — Monthly financial forecas'!M30*'Model inputs'!AM39</f>
        <v>83.6</v>
      </c>
      <c r="N31" s="16">
        <f>'POA — Monthly financial forecas'!N30*'Model inputs'!AM39</f>
        <v>107.66666666666666</v>
      </c>
      <c r="O31" s="16">
        <f>'POA — Monthly financial forecas'!O30*'Model inputs'!AM39</f>
        <v>131.73333333333332</v>
      </c>
      <c r="P31" s="16">
        <f>'POA — Monthly financial forecas'!P30*'Model inputs'!AM39</f>
        <v>155.79999999999998</v>
      </c>
      <c r="Q31" s="16">
        <f>'POA — Monthly financial forecas'!Q30*'Model inputs'!AM39</f>
        <v>179.86666666666665</v>
      </c>
      <c r="R31" s="16">
        <f>'POA — Monthly financial forecas'!R30*'Model inputs'!AM39</f>
        <v>203.9333333333333</v>
      </c>
      <c r="S31" s="16">
        <f>'POA — Monthly financial forecas'!S30*'Model inputs'!AM39</f>
        <v>228</v>
      </c>
      <c r="T31" s="16">
        <f>'POA — Monthly financial forecas'!T30*'Model inputs'!AM39</f>
        <v>253.33333333333334</v>
      </c>
      <c r="U31" s="16">
        <f>'POA — Monthly financial forecas'!U30*'Model inputs'!AM39</f>
        <v>278.66666666666663</v>
      </c>
      <c r="V31" s="16">
        <f>'POA — Monthly financial forecas'!V30*'Model inputs'!AM39</f>
        <v>304</v>
      </c>
      <c r="W31" s="16">
        <f>'POA — Monthly financial forecas'!W30*'Model inputs'!AM39</f>
        <v>329.3333333333333</v>
      </c>
      <c r="X31" s="16">
        <f>'POA — Monthly financial forecas'!X30*'Model inputs'!AM39</f>
        <v>354.66666666666663</v>
      </c>
      <c r="Y31" s="16">
        <f>'POA — Monthly financial forecas'!Y30*'Model inputs'!AM39</f>
        <v>380</v>
      </c>
      <c r="Z31" s="16">
        <f>'POA — Monthly financial forecas'!Z30*'Model inputs'!AM39</f>
        <v>402.16666666666663</v>
      </c>
      <c r="AA31" s="16">
        <f>'POA — Monthly financial forecas'!AA30*'Model inputs'!AM39</f>
        <v>424.33333333333337</v>
      </c>
      <c r="AB31" s="16">
        <f>'POA — Monthly financial forecas'!AB30*'Model inputs'!AM39</f>
        <v>446.5</v>
      </c>
      <c r="AC31" s="16">
        <f>'POA — Monthly financial forecas'!AC30*'Model inputs'!AM39</f>
        <v>468.66666666666663</v>
      </c>
      <c r="AD31" s="16">
        <f>'POA — Monthly financial forecas'!AD30*'Model inputs'!AM39</f>
        <v>490.8333333333333</v>
      </c>
      <c r="AE31" s="16">
        <f>'POA — Monthly financial forecas'!AE30*'Model inputs'!AM39</f>
        <v>513</v>
      </c>
      <c r="AF31" s="16">
        <f>'POA — Monthly financial forecas'!AF30*'Model inputs'!AM39</f>
        <v>528.8333333333333</v>
      </c>
      <c r="AG31" s="16">
        <f>'POA — Monthly financial forecas'!AG30*'Model inputs'!AM39</f>
        <v>544.6666666666666</v>
      </c>
      <c r="AH31" s="16">
        <f>'POA — Monthly financial forecas'!AH30*'Model inputs'!AM39</f>
        <v>560.5</v>
      </c>
      <c r="AI31" s="16">
        <f>'POA — Monthly financial forecas'!AI30*'Model inputs'!AM39</f>
        <v>576.3333333333333</v>
      </c>
      <c r="AJ31" s="16">
        <f>'POA — Monthly financial forecas'!AJ30*'Model inputs'!AM39</f>
        <v>592.1666666666666</v>
      </c>
      <c r="AK31" s="16">
        <f>'POA — Monthly financial forecas'!AK30*'Model inputs'!AM39</f>
        <v>608</v>
      </c>
    </row>
    <row r="32">
      <c r="A32" t="inlineStr" s="9">
        <is>
          <t xml:space="preserve">Archive RPC delivery cost</t>
        </is>
      </c>
      <c r="B32" s="16">
        <f>'POA — Monthly financial forecas'!B30*'Model inputs'!AM8</f>
        <v>0.3</v>
      </c>
      <c r="C32" s="16">
        <f>'POA — Monthly financial forecas'!C30*'Model inputs'!AM8</f>
        <v>0.6</v>
      </c>
      <c r="D32" s="16">
        <f>'POA — Monthly financial forecas'!D30*'Model inputs'!AM8</f>
        <v>0.9</v>
      </c>
      <c r="E32" s="16">
        <f>'POA — Monthly financial forecas'!E30*'Model inputs'!AM8</f>
        <v>1.2</v>
      </c>
      <c r="F32" s="16">
        <f>'POA — Monthly financial forecas'!F30*'Model inputs'!AM8</f>
        <v>1.5</v>
      </c>
      <c r="G32" s="16">
        <f>'POA — Monthly financial forecas'!G30*'Model inputs'!AM8</f>
        <v>1.8</v>
      </c>
      <c r="H32" s="16">
        <f>'POA — Monthly financial forecas'!H30*'Model inputs'!AM8</f>
        <v>2.6</v>
      </c>
      <c r="I32" s="16">
        <f>'POA — Monthly financial forecas'!I30*'Model inputs'!AM8</f>
        <v>3.4</v>
      </c>
      <c r="J32" s="16">
        <f>'POA — Monthly financial forecas'!J30*'Model inputs'!AM8</f>
        <v>4.2</v>
      </c>
      <c r="K32" s="16">
        <f>'POA — Monthly financial forecas'!K30*'Model inputs'!AM8</f>
        <v>5</v>
      </c>
      <c r="L32" s="16">
        <f>'POA — Monthly financial forecas'!L30*'Model inputs'!AM8</f>
        <v>5.8</v>
      </c>
      <c r="M32" s="16">
        <f>'POA — Monthly financial forecas'!M30*'Model inputs'!AM8</f>
        <v>6.6000000000000005</v>
      </c>
      <c r="N32" s="16">
        <f>'POA — Monthly financial forecas'!N30*'Model inputs'!AM8</f>
        <v>8.5</v>
      </c>
      <c r="O32" s="16">
        <f>'POA — Monthly financial forecas'!O30*'Model inputs'!AM8</f>
        <v>10.4</v>
      </c>
      <c r="P32" s="16">
        <f>'POA — Monthly financial forecas'!P30*'Model inputs'!AM8</f>
        <v>12.3</v>
      </c>
      <c r="Q32" s="16">
        <f>'POA — Monthly financial forecas'!Q30*'Model inputs'!AM8</f>
        <v>14.2</v>
      </c>
      <c r="R32" s="16">
        <f>'POA — Monthly financial forecas'!R30*'Model inputs'!AM8</f>
        <v>16.099999999999998</v>
      </c>
      <c r="S32" s="16">
        <f>'POA — Monthly financial forecas'!S30*'Model inputs'!AM8</f>
        <v>18</v>
      </c>
      <c r="T32" s="16">
        <f>'POA — Monthly financial forecas'!T30*'Model inputs'!AM8</f>
        <v>20</v>
      </c>
      <c r="U32" s="16">
        <f>'POA — Monthly financial forecas'!U30*'Model inputs'!AM8</f>
        <v>22</v>
      </c>
      <c r="V32" s="16">
        <f>'POA — Monthly financial forecas'!V30*'Model inputs'!AM8</f>
        <v>24</v>
      </c>
      <c r="W32" s="16">
        <f>'POA — Monthly financial forecas'!W30*'Model inputs'!AM8</f>
        <v>26</v>
      </c>
      <c r="X32" s="16">
        <f>'POA — Monthly financial forecas'!X30*'Model inputs'!AM8</f>
        <v>27.999999999999996</v>
      </c>
      <c r="Y32" s="16">
        <f>'POA — Monthly financial forecas'!Y30*'Model inputs'!AM8</f>
        <v>30</v>
      </c>
      <c r="Z32" s="16">
        <f>'POA — Monthly financial forecas'!Z30*'Model inputs'!AM8</f>
        <v>31.749999999999996</v>
      </c>
      <c r="AA32" s="16">
        <f>'POA — Monthly financial forecas'!AA30*'Model inputs'!AM8</f>
        <v>33.50000000000001</v>
      </c>
      <c r="AB32" s="16">
        <f>'POA — Monthly financial forecas'!AB30*'Model inputs'!AM8</f>
        <v>35.25</v>
      </c>
      <c r="AC32" s="16">
        <f>'POA — Monthly financial forecas'!AC30*'Model inputs'!AM8</f>
        <v>37</v>
      </c>
      <c r="AD32" s="16">
        <f>'POA — Monthly financial forecas'!AD30*'Model inputs'!AM8</f>
        <v>38.75</v>
      </c>
      <c r="AE32" s="16">
        <f>'POA — Monthly financial forecas'!AE30*'Model inputs'!AM8</f>
        <v>40.5</v>
      </c>
      <c r="AF32" s="16">
        <f>'POA — Monthly financial forecas'!AF30*'Model inputs'!AM8</f>
        <v>41.75</v>
      </c>
      <c r="AG32" s="16">
        <f>'POA — Monthly financial forecas'!AG30*'Model inputs'!AM8</f>
        <v>43</v>
      </c>
      <c r="AH32" s="16">
        <f>'POA — Monthly financial forecas'!AH30*'Model inputs'!AM8</f>
        <v>44.25</v>
      </c>
      <c r="AI32" s="16">
        <f>'POA — Monthly financial forecas'!AI30*'Model inputs'!AM8</f>
        <v>45.5</v>
      </c>
      <c r="AJ32" s="16">
        <f>'POA — Monthly financial forecas'!AJ30*'Model inputs'!AM8</f>
        <v>46.75</v>
      </c>
      <c r="AK32" s="16">
        <f>'POA — Monthly financial forecas'!AK30*'Model inputs'!AM8</f>
        <v>48</v>
      </c>
    </row>
    <row r="33">
      <c r="A33" t="inlineStr" s="9">
        <is>
          <t xml:space="preserve">Telemetry delivery cost</t>
        </is>
      </c>
      <c r="B33" s="16">
        <f>'POA — Monthly financial forecas'!B30*'Model inputs'!AM84</f>
        <v>0.1</v>
      </c>
      <c r="C33" s="16">
        <f>'POA — Monthly financial forecas'!C30*'Model inputs'!AM84</f>
        <v>0.2</v>
      </c>
      <c r="D33" s="16">
        <f>'POA — Monthly financial forecas'!D30*'Model inputs'!AM84</f>
        <v>0.3</v>
      </c>
      <c r="E33" s="16">
        <f>'POA — Monthly financial forecas'!E30*'Model inputs'!AM84</f>
        <v>0.4</v>
      </c>
      <c r="F33" s="16">
        <f>'POA — Monthly financial forecas'!F30*'Model inputs'!AM84</f>
        <v>0.5</v>
      </c>
      <c r="G33" s="16">
        <f>'POA — Monthly financial forecas'!G30*'Model inputs'!AM84</f>
        <v>0.6</v>
      </c>
      <c r="H33" s="16">
        <f>'POA — Monthly financial forecas'!H30*'Model inputs'!AM84</f>
        <v>0.8666666666666667</v>
      </c>
      <c r="I33" s="16">
        <f>'POA — Monthly financial forecas'!I30*'Model inputs'!AM84</f>
        <v>1.1333333333333333</v>
      </c>
      <c r="J33" s="16">
        <f>'POA — Monthly financial forecas'!J30*'Model inputs'!AM84</f>
        <v>1.4000000000000001</v>
      </c>
      <c r="K33" s="16">
        <f>'POA — Monthly financial forecas'!K30*'Model inputs'!AM84</f>
        <v>1.6666666666666665</v>
      </c>
      <c r="L33" s="16">
        <f>'POA — Monthly financial forecas'!L30*'Model inputs'!AM84</f>
        <v>1.9333333333333333</v>
      </c>
      <c r="M33" s="16">
        <f>'POA — Monthly financial forecas'!M30*'Model inputs'!AM84</f>
        <v>2.2</v>
      </c>
      <c r="N33" s="16">
        <f>'POA — Monthly financial forecas'!N30*'Model inputs'!AM84</f>
        <v>2.833333333333333</v>
      </c>
      <c r="O33" s="16">
        <f>'POA — Monthly financial forecas'!O30*'Model inputs'!AM84</f>
        <v>3.466666666666667</v>
      </c>
      <c r="P33" s="16">
        <f>'POA — Monthly financial forecas'!P30*'Model inputs'!AM84</f>
        <v>4.1</v>
      </c>
      <c r="Q33" s="16">
        <f>'POA — Monthly financial forecas'!Q30*'Model inputs'!AM84</f>
        <v>4.733333333333333</v>
      </c>
      <c r="R33" s="16">
        <f>'POA — Monthly financial forecas'!R30*'Model inputs'!AM84</f>
        <v>5.366666666666666</v>
      </c>
      <c r="S33" s="16">
        <f>'POA — Monthly financial forecas'!S30*'Model inputs'!AM84</f>
        <v>6</v>
      </c>
      <c r="T33" s="16">
        <f>'POA — Monthly financial forecas'!T30*'Model inputs'!AM84</f>
        <v>6.666666666666667</v>
      </c>
      <c r="U33" s="16">
        <f>'POA — Monthly financial forecas'!U30*'Model inputs'!AM84</f>
        <v>7.333333333333333</v>
      </c>
      <c r="V33" s="16">
        <f>'POA — Monthly financial forecas'!V30*'Model inputs'!AM84</f>
        <v>8</v>
      </c>
      <c r="W33" s="16">
        <f>'POA — Monthly financial forecas'!W30*'Model inputs'!AM84</f>
        <v>8.666666666666666</v>
      </c>
      <c r="X33" s="16">
        <f>'POA — Monthly financial forecas'!X30*'Model inputs'!AM84</f>
        <v>9.333333333333332</v>
      </c>
      <c r="Y33" s="16">
        <f>'POA — Monthly financial forecas'!Y30*'Model inputs'!AM84</f>
        <v>10</v>
      </c>
      <c r="Z33" s="16">
        <f>'POA — Monthly financial forecas'!Z30*'Model inputs'!AM84</f>
        <v>10.583333333333332</v>
      </c>
      <c r="AA33" s="16">
        <f>'POA — Monthly financial forecas'!AA30*'Model inputs'!AM84</f>
        <v>11.166666666666668</v>
      </c>
      <c r="AB33" s="16">
        <f>'POA — Monthly financial forecas'!AB30*'Model inputs'!AM84</f>
        <v>11.75</v>
      </c>
      <c r="AC33" s="16">
        <f>'POA — Monthly financial forecas'!AC30*'Model inputs'!AM84</f>
        <v>12.333333333333332</v>
      </c>
      <c r="AD33" s="16">
        <f>'POA — Monthly financial forecas'!AD30*'Model inputs'!AM84</f>
        <v>12.916666666666666</v>
      </c>
      <c r="AE33" s="16">
        <f>'POA — Monthly financial forecas'!AE30*'Model inputs'!AM84</f>
        <v>13.5</v>
      </c>
      <c r="AF33" s="16">
        <f>'POA — Monthly financial forecas'!AF30*'Model inputs'!AM84</f>
        <v>13.916666666666666</v>
      </c>
      <c r="AG33" s="16">
        <f>'POA — Monthly financial forecas'!AG30*'Model inputs'!AM84</f>
        <v>14.333333333333334</v>
      </c>
      <c r="AH33" s="16">
        <f>'POA — Monthly financial forecas'!AH30*'Model inputs'!AM84</f>
        <v>14.75</v>
      </c>
      <c r="AI33" s="16">
        <f>'POA — Monthly financial forecas'!AI30*'Model inputs'!AM84</f>
        <v>15.166666666666666</v>
      </c>
      <c r="AJ33" s="16">
        <f>'POA — Monthly financial forecas'!AJ30*'Model inputs'!AM84</f>
        <v>15.583333333333334</v>
      </c>
      <c r="AK33" s="16">
        <f>'POA — Monthly financial forecas'!AK30*'Model inputs'!AM84</f>
        <v>16</v>
      </c>
    </row>
    <row r="34">
      <c r="A34" t="inlineStr" s="9">
        <is>
          <t xml:space="preserve">Contract registration gas cost</t>
        </is>
      </c>
      <c r="B34" s="16">
        <f>'POA — Monthly financial forecas'!B30*'Model inputs'!AM35</f>
        <v>2</v>
      </c>
      <c r="C34" s="16">
        <f>'POA — Monthly financial forecas'!C30*'Model inputs'!AM35</f>
        <v>4</v>
      </c>
      <c r="D34" s="16">
        <f>'POA — Monthly financial forecas'!D30*'Model inputs'!AM35</f>
        <v>6</v>
      </c>
      <c r="E34" s="16">
        <f>'POA — Monthly financial forecas'!E30*'Model inputs'!AM35</f>
        <v>8</v>
      </c>
      <c r="F34" s="16">
        <f>'POA — Monthly financial forecas'!F30*'Model inputs'!AM35</f>
        <v>10</v>
      </c>
      <c r="G34" s="16">
        <f>'POA — Monthly financial forecas'!G30*'Model inputs'!AM35</f>
        <v>12</v>
      </c>
      <c r="H34" s="16">
        <f>'POA — Monthly financial forecas'!H30*'Model inputs'!AM35</f>
        <v>17.333333333333332</v>
      </c>
      <c r="I34" s="16">
        <f>'POA — Monthly financial forecas'!I30*'Model inputs'!AM35</f>
        <v>22.666666666666664</v>
      </c>
      <c r="J34" s="16">
        <f>'POA — Monthly financial forecas'!J30*'Model inputs'!AM35</f>
        <v>28</v>
      </c>
      <c r="K34" s="16">
        <f>'POA — Monthly financial forecas'!K30*'Model inputs'!AM35</f>
        <v>33.33333333333333</v>
      </c>
      <c r="L34" s="16">
        <f>'POA — Monthly financial forecas'!L30*'Model inputs'!AM35</f>
        <v>38.666666666666664</v>
      </c>
      <c r="M34" s="16">
        <f>'POA — Monthly financial forecas'!M30*'Model inputs'!AM35</f>
        <v>44</v>
      </c>
      <c r="N34" s="16">
        <f>'POA — Monthly financial forecas'!N30*'Model inputs'!AM35</f>
        <v>56.666666666666664</v>
      </c>
      <c r="O34" s="16">
        <f>'POA — Monthly financial forecas'!O30*'Model inputs'!AM35</f>
        <v>69.33333333333333</v>
      </c>
      <c r="P34" s="16">
        <f>'POA — Monthly financial forecas'!P30*'Model inputs'!AM35</f>
        <v>82</v>
      </c>
      <c r="Q34" s="16">
        <f>'POA — Monthly financial forecas'!Q30*'Model inputs'!AM35</f>
        <v>94.66666666666666</v>
      </c>
      <c r="R34" s="16">
        <f>'POA — Monthly financial forecas'!R30*'Model inputs'!AM35</f>
        <v>107.33333333333333</v>
      </c>
      <c r="S34" s="16">
        <f>'POA — Monthly financial forecas'!S30*'Model inputs'!AM35</f>
        <v>120</v>
      </c>
      <c r="T34" s="16">
        <f>'POA — Monthly financial forecas'!T30*'Model inputs'!AM35</f>
        <v>133.33333333333334</v>
      </c>
      <c r="U34" s="16">
        <f>'POA — Monthly financial forecas'!U30*'Model inputs'!AM35</f>
        <v>146.66666666666666</v>
      </c>
      <c r="V34" s="16">
        <f>'POA — Monthly financial forecas'!V30*'Model inputs'!AM35</f>
        <v>160</v>
      </c>
      <c r="W34" s="16">
        <f>'POA — Monthly financial forecas'!W30*'Model inputs'!AM35</f>
        <v>173.33333333333331</v>
      </c>
      <c r="X34" s="16">
        <f>'POA — Monthly financial forecas'!X30*'Model inputs'!AM35</f>
        <v>186.66666666666666</v>
      </c>
      <c r="Y34" s="16">
        <f>'POA — Monthly financial forecas'!Y30*'Model inputs'!AM35</f>
        <v>200</v>
      </c>
      <c r="Z34" s="16">
        <f>'POA — Monthly financial forecas'!Z30*'Model inputs'!AM35</f>
        <v>211.66666666666666</v>
      </c>
      <c r="AA34" s="16">
        <f>'POA — Monthly financial forecas'!AA30*'Model inputs'!AM35</f>
        <v>223.33333333333337</v>
      </c>
      <c r="AB34" s="16">
        <f>'POA — Monthly financial forecas'!AB30*'Model inputs'!AM35</f>
        <v>235</v>
      </c>
      <c r="AC34" s="16">
        <f>'POA — Monthly financial forecas'!AC30*'Model inputs'!AM35</f>
        <v>246.66666666666666</v>
      </c>
      <c r="AD34" s="16">
        <f>'POA — Monthly financial forecas'!AD30*'Model inputs'!AM35</f>
        <v>258.3333333333333</v>
      </c>
      <c r="AE34" s="16">
        <f>'POA — Monthly financial forecas'!AE30*'Model inputs'!AM35</f>
        <v>270</v>
      </c>
      <c r="AF34" s="16">
        <f>'POA — Monthly financial forecas'!AF30*'Model inputs'!AM35</f>
        <v>278.3333333333333</v>
      </c>
      <c r="AG34" s="16">
        <f>'POA — Monthly financial forecas'!AG30*'Model inputs'!AM35</f>
        <v>286.6666666666667</v>
      </c>
      <c r="AH34" s="16">
        <f>'POA — Monthly financial forecas'!AH30*'Model inputs'!AM35</f>
        <v>295</v>
      </c>
      <c r="AI34" s="16">
        <f>'POA — Monthly financial forecas'!AI30*'Model inputs'!AM35</f>
        <v>303.3333333333333</v>
      </c>
      <c r="AJ34" s="16">
        <f>'POA — Monthly financial forecas'!AJ30*'Model inputs'!AM35</f>
        <v>311.6666666666667</v>
      </c>
      <c r="AK34" s="16">
        <f>'POA — Monthly financial forecas'!AK30*'Model inputs'!AM35</f>
        <v>320</v>
      </c>
    </row>
    <row r="35">
      <c r="A35" t="inlineStr" s="9">
        <is>
          <t xml:space="preserve">Incident COGS</t>
        </is>
      </c>
      <c r="B35" s="16">
        <f>'POA — Monthly financial forecas'!B31+'POA — Monthly financial forecas'!B32+'POA — Monthly financial forecas'!B33+'POA — Monthly financial forecas'!B34</f>
        <v>6.199999999999999</v>
      </c>
      <c r="C35" s="16">
        <f>'POA — Monthly financial forecas'!C31+'POA — Monthly financial forecas'!C32+'POA — Monthly financial forecas'!C33+'POA — Monthly financial forecas'!C34</f>
        <v>12.399999999999999</v>
      </c>
      <c r="D35" s="16">
        <f>'POA — Monthly financial forecas'!D31+'POA — Monthly financial forecas'!D32+'POA — Monthly financial forecas'!D33+'POA — Monthly financial forecas'!D34</f>
        <v>18.6</v>
      </c>
      <c r="E35" s="16">
        <f>'POA — Monthly financial forecas'!E31+'POA — Monthly financial forecas'!E32+'POA — Monthly financial forecas'!E33+'POA — Monthly financial forecas'!E34</f>
        <v>24.799999999999997</v>
      </c>
      <c r="F35" s="16">
        <f>'POA — Monthly financial forecas'!F31+'POA — Monthly financial forecas'!F32+'POA — Monthly financial forecas'!F33+'POA — Monthly financial forecas'!F34</f>
        <v>31</v>
      </c>
      <c r="G35" s="16">
        <f>'POA — Monthly financial forecas'!G31+'POA — Monthly financial forecas'!G32+'POA — Monthly financial forecas'!G33+'POA — Monthly financial forecas'!G34</f>
        <v>37.2</v>
      </c>
      <c r="H35" s="16">
        <f>'POA — Monthly financial forecas'!H31+'POA — Monthly financial forecas'!H32+'POA — Monthly financial forecas'!H33+'POA — Monthly financial forecas'!H34</f>
        <v>53.733333333333334</v>
      </c>
      <c r="I35" s="16">
        <f>'POA — Monthly financial forecas'!I31+'POA — Monthly financial forecas'!I32+'POA — Monthly financial forecas'!I33+'POA — Monthly financial forecas'!I34</f>
        <v>70.26666666666665</v>
      </c>
      <c r="J35" s="16">
        <f>'POA — Monthly financial forecas'!J31+'POA — Monthly financial forecas'!J32+'POA — Monthly financial forecas'!J33+'POA — Monthly financial forecas'!J34</f>
        <v>86.8</v>
      </c>
      <c r="K35" s="16">
        <f>'POA — Monthly financial forecas'!K31+'POA — Monthly financial forecas'!K32+'POA — Monthly financial forecas'!K33+'POA — Monthly financial forecas'!K34</f>
        <v>103.33333333333331</v>
      </c>
      <c r="L35" s="16">
        <f>'POA — Monthly financial forecas'!L31+'POA — Monthly financial forecas'!L32+'POA — Monthly financial forecas'!L33+'POA — Monthly financial forecas'!L34</f>
        <v>119.86666666666666</v>
      </c>
      <c r="M35" s="16">
        <f>'POA — Monthly financial forecas'!M31+'POA — Monthly financial forecas'!M32+'POA — Monthly financial forecas'!M33+'POA — Monthly financial forecas'!M34</f>
        <v>136.39999999999998</v>
      </c>
      <c r="N35" s="16">
        <f>'POA — Monthly financial forecas'!N31+'POA — Monthly financial forecas'!N32+'POA — Monthly financial forecas'!N33+'POA — Monthly financial forecas'!N34</f>
        <v>175.66666666666666</v>
      </c>
      <c r="O35" s="16">
        <f>'POA — Monthly financial forecas'!O31+'POA — Monthly financial forecas'!O32+'POA — Monthly financial forecas'!O33+'POA — Monthly financial forecas'!O34</f>
        <v>214.93333333333334</v>
      </c>
      <c r="P35" s="16">
        <f>'POA — Monthly financial forecas'!P31+'POA — Monthly financial forecas'!P32+'POA — Monthly financial forecas'!P33+'POA — Monthly financial forecas'!P34</f>
        <v>254.2</v>
      </c>
      <c r="Q35" s="16">
        <f>'POA — Monthly financial forecas'!Q31+'POA — Monthly financial forecas'!Q32+'POA — Monthly financial forecas'!Q33+'POA — Monthly financial forecas'!Q34</f>
        <v>293.46666666666664</v>
      </c>
      <c r="R35" s="16">
        <f>'POA — Monthly financial forecas'!R31+'POA — Monthly financial forecas'!R32+'POA — Monthly financial forecas'!R33+'POA — Monthly financial forecas'!R34</f>
        <v>332.7333333333333</v>
      </c>
      <c r="S35" s="16">
        <f>'POA — Monthly financial forecas'!S31+'POA — Monthly financial forecas'!S32+'POA — Monthly financial forecas'!S33+'POA — Monthly financial forecas'!S34</f>
        <v>372</v>
      </c>
      <c r="T35" s="16">
        <f>'POA — Monthly financial forecas'!T31+'POA — Monthly financial forecas'!T32+'POA — Monthly financial forecas'!T33+'POA — Monthly financial forecas'!T34</f>
        <v>413.33333333333337</v>
      </c>
      <c r="U35" s="16">
        <f>'POA — Monthly financial forecas'!U31+'POA — Monthly financial forecas'!U32+'POA — Monthly financial forecas'!U33+'POA — Monthly financial forecas'!U34</f>
        <v>454.66666666666663</v>
      </c>
      <c r="V35" s="16">
        <f>'POA — Monthly financial forecas'!V31+'POA — Monthly financial forecas'!V32+'POA — Monthly financial forecas'!V33+'POA — Monthly financial forecas'!V34</f>
        <v>496</v>
      </c>
      <c r="W35" s="16">
        <f>'POA — Monthly financial forecas'!W31+'POA — Monthly financial forecas'!W32+'POA — Monthly financial forecas'!W33+'POA — Monthly financial forecas'!W34</f>
        <v>537.3333333333333</v>
      </c>
      <c r="X35" s="16">
        <f>'POA — Monthly financial forecas'!X31+'POA — Monthly financial forecas'!X32+'POA — Monthly financial forecas'!X33+'POA — Monthly financial forecas'!X34</f>
        <v>578.6666666666666</v>
      </c>
      <c r="Y35" s="16">
        <f>'POA — Monthly financial forecas'!Y31+'POA — Monthly financial forecas'!Y32+'POA — Monthly financial forecas'!Y33+'POA — Monthly financial forecas'!Y34</f>
        <v>620</v>
      </c>
      <c r="Z35" s="16">
        <f>'POA — Monthly financial forecas'!Z31+'POA — Monthly financial forecas'!Z32+'POA — Monthly financial forecas'!Z33+'POA — Monthly financial forecas'!Z34</f>
        <v>656.1666666666666</v>
      </c>
      <c r="AA35" s="16">
        <f>'POA — Monthly financial forecas'!AA31+'POA — Monthly financial forecas'!AA32+'POA — Monthly financial forecas'!AA33+'POA — Monthly financial forecas'!AA34</f>
        <v>692.3333333333334</v>
      </c>
      <c r="AB35" s="16">
        <f>'POA — Monthly financial forecas'!AB31+'POA — Monthly financial forecas'!AB32+'POA — Monthly financial forecas'!AB33+'POA — Monthly financial forecas'!AB34</f>
        <v>728.5</v>
      </c>
      <c r="AC35" s="16">
        <f>'POA — Monthly financial forecas'!AC31+'POA — Monthly financial forecas'!AC32+'POA — Monthly financial forecas'!AC33+'POA — Monthly financial forecas'!AC34</f>
        <v>764.6666666666666</v>
      </c>
      <c r="AD35" s="16">
        <f>'POA — Monthly financial forecas'!AD31+'POA — Monthly financial forecas'!AD32+'POA — Monthly financial forecas'!AD33+'POA — Monthly financial forecas'!AD34</f>
        <v>800.8333333333333</v>
      </c>
      <c r="AE35" s="16">
        <f>'POA — Monthly financial forecas'!AE31+'POA — Monthly financial forecas'!AE32+'POA — Monthly financial forecas'!AE33+'POA — Monthly financial forecas'!AE34</f>
        <v>837</v>
      </c>
      <c r="AF35" s="16">
        <f>'POA — Monthly financial forecas'!AF31+'POA — Monthly financial forecas'!AF32+'POA — Monthly financial forecas'!AF33+'POA — Monthly financial forecas'!AF34</f>
        <v>862.8333333333333</v>
      </c>
      <c r="AG35" s="16">
        <f>'POA — Monthly financial forecas'!AG31+'POA — Monthly financial forecas'!AG32+'POA — Monthly financial forecas'!AG33+'POA — Monthly financial forecas'!AG34</f>
        <v>888.6666666666666</v>
      </c>
      <c r="AH35" s="16">
        <f>'POA — Monthly financial forecas'!AH31+'POA — Monthly financial forecas'!AH32+'POA — Monthly financial forecas'!AH33+'POA — Monthly financial forecas'!AH34</f>
        <v>914.5</v>
      </c>
      <c r="AI35" s="16">
        <f>'POA — Monthly financial forecas'!AI31+'POA — Monthly financial forecas'!AI32+'POA — Monthly financial forecas'!AI33+'POA — Monthly financial forecas'!AI34</f>
        <v>940.3333333333333</v>
      </c>
      <c r="AJ35" s="16">
        <f>'POA — Monthly financial forecas'!AJ31+'POA — Monthly financial forecas'!AJ32+'POA — Monthly financial forecas'!AJ33+'POA — Monthly financial forecas'!AJ34</f>
        <v>966.1666666666666</v>
      </c>
      <c r="AK35" s="16">
        <f>'POA — Monthly financial forecas'!AK31+'POA — Monthly financial forecas'!AK32+'POA — Monthly financial forecas'!AK33+'POA — Monthly financial forecas'!AK34</f>
        <v>992</v>
      </c>
    </row>
    <row r="36">
      <c r="A36" t="inlineStr" s="9">
        <is>
          <t xml:space="preserve">Other delivery cost provision</t>
        </is>
      </c>
      <c r="B36" s="16">
        <f>MAX('POA — Monthly financial forecas'!B27*'Model inputs'!AM31-'POA — Monthly financial forecas'!B35,0)</f>
        <v>0.8416666666666677</v>
      </c>
      <c r="C36" s="16">
        <f>MAX('POA — Monthly financial forecas'!C27*'Model inputs'!AM31-'POA — Monthly financial forecas'!C35,0)</f>
        <v>1.7666666666666675</v>
      </c>
      <c r="D36" s="16">
        <f>MAX('POA — Monthly financial forecas'!D27*'Model inputs'!AM31-'POA — Monthly financial forecas'!D35,0)</f>
        <v>2.7749999999999986</v>
      </c>
      <c r="E36" s="16">
        <f>MAX('POA — Monthly financial forecas'!E27*'Model inputs'!AM31-'POA — Monthly financial forecas'!E35,0)</f>
        <v>3.8666666666666707</v>
      </c>
      <c r="F36" s="16">
        <f>MAX('POA — Monthly financial forecas'!F27*'Model inputs'!AM31-'POA — Monthly financial forecas'!F35,0)</f>
        <v>5.041666666666664</v>
      </c>
      <c r="G36" s="16">
        <f>MAX('POA — Monthly financial forecas'!G27*'Model inputs'!AM31-'POA — Monthly financial forecas'!G35,0)</f>
        <v>6.299999999999997</v>
      </c>
      <c r="H36" s="16">
        <f>MAX('POA — Monthly financial forecas'!H27*'Model inputs'!AM31-'POA — Monthly financial forecas'!H35,0)</f>
        <v>10.883670033670029</v>
      </c>
      <c r="I36" s="16">
        <f>MAX('POA — Monthly financial forecas'!I27*'Model inputs'!AM31-'POA — Monthly financial forecas'!I35,0)</f>
        <v>16.564983164983175</v>
      </c>
      <c r="J36" s="16">
        <f>MAX('POA — Monthly financial forecas'!J27*'Model inputs'!AM31-'POA — Monthly financial forecas'!J35,0)</f>
        <v>23.343939393939394</v>
      </c>
      <c r="K36" s="16">
        <f>MAX('POA — Monthly financial forecas'!K27*'Model inputs'!AM31-'POA — Monthly financial forecas'!K35,0)</f>
        <v>31.220538720538713</v>
      </c>
      <c r="L36" s="16">
        <f>MAX('POA — Monthly financial forecas'!L27*'Model inputs'!AM31-'POA — Monthly financial forecas'!L35,0)</f>
        <v>40.194781144781146</v>
      </c>
      <c r="M36" s="16">
        <f>MAX('POA — Monthly financial forecas'!M27*'Model inputs'!AM31-'POA — Monthly financial forecas'!M35,0)</f>
        <v>50.26666666666668</v>
      </c>
      <c r="N36" s="16">
        <f>MAX('POA — Monthly financial forecas'!N27*'Model inputs'!AM31-'POA — Monthly financial forecas'!N35,0)</f>
        <v>69.53114478114477</v>
      </c>
      <c r="O36" s="16">
        <f>MAX('POA — Monthly financial forecas'!O27*'Model inputs'!AM31-'POA — Monthly financial forecas'!O35,0)</f>
        <v>90.93872053872047</v>
      </c>
      <c r="P36" s="16">
        <f>MAX('POA — Monthly financial forecas'!P27*'Model inputs'!AM31-'POA — Monthly financial forecas'!P35,0)</f>
        <v>114.48939393939395</v>
      </c>
      <c r="Q36" s="16">
        <f>MAX('POA — Monthly financial forecas'!Q27*'Model inputs'!AM31-'POA — Monthly financial forecas'!Q35,0)</f>
        <v>140.183164983165</v>
      </c>
      <c r="R36" s="16">
        <f>MAX('POA — Monthly financial forecas'!R27*'Model inputs'!AM31-'POA — Monthly financial forecas'!R35,0)</f>
        <v>168.02003367003368</v>
      </c>
      <c r="S36" s="16">
        <f>MAX('POA — Monthly financial forecas'!S27*'Model inputs'!AM31-'POA — Monthly financial forecas'!S35,0)</f>
        <v>198</v>
      </c>
      <c r="T36" s="16">
        <f>MAX('POA — Monthly financial forecas'!T27*'Model inputs'!AM31-'POA — Monthly financial forecas'!T35,0)</f>
        <v>225.55555555555566</v>
      </c>
      <c r="U36" s="16">
        <f>MAX('POA — Monthly financial forecas'!U27*'Model inputs'!AM31-'POA — Monthly financial forecas'!U35,0)</f>
        <v>254.22222222222217</v>
      </c>
      <c r="V36" s="16">
        <f>MAX('POA — Monthly financial forecas'!V27*'Model inputs'!AM31-'POA — Monthly financial forecas'!V35,0)</f>
        <v>284</v>
      </c>
      <c r="W36" s="16">
        <f>MAX('POA — Monthly financial forecas'!W27*'Model inputs'!AM31-'POA — Monthly financial forecas'!W35,0)</f>
        <v>314.8888888888889</v>
      </c>
      <c r="X36" s="16">
        <f>MAX('POA — Monthly financial forecas'!X27*'Model inputs'!AM31-'POA — Monthly financial forecas'!X35,0)</f>
        <v>346.8888888888889</v>
      </c>
      <c r="Y36" s="16">
        <f>MAX('POA — Monthly financial forecas'!Y27*'Model inputs'!AM31-'POA — Monthly financial forecas'!Y35,0)</f>
        <v>380</v>
      </c>
      <c r="Z36" s="16">
        <f>MAX('POA — Monthly financial forecas'!Z27*'Model inputs'!AM31-'POA — Monthly financial forecas'!Z35,0)</f>
        <v>410.9861111111112</v>
      </c>
      <c r="AA36" s="16">
        <f>MAX('POA — Monthly financial forecas'!AA27*'Model inputs'!AM31-'POA — Monthly financial forecas'!AA35,0)</f>
        <v>442.9444444444447</v>
      </c>
      <c r="AB36" s="16">
        <f>MAX('POA — Monthly financial forecas'!AB27*'Model inputs'!AM31-'POA — Monthly financial forecas'!AB35,0)</f>
        <v>475.875</v>
      </c>
      <c r="AC36" s="16">
        <f>MAX('POA — Monthly financial forecas'!AC27*'Model inputs'!AM31-'POA — Monthly financial forecas'!AC35,0)</f>
        <v>509.77777777777794</v>
      </c>
      <c r="AD36" s="16">
        <f>MAX('POA — Monthly financial forecas'!AD27*'Model inputs'!AM31-'POA — Monthly financial forecas'!AD35,0)</f>
        <v>544.6527777777778</v>
      </c>
      <c r="AE36" s="16">
        <f>MAX('POA — Monthly financial forecas'!AE27*'Model inputs'!AM31-'POA — Monthly financial forecas'!AE35,0)</f>
        <v>580.5</v>
      </c>
      <c r="AF36" s="16">
        <f>MAX('POA — Monthly financial forecas'!AF27*'Model inputs'!AM31-'POA — Monthly financial forecas'!AF35,0)</f>
        <v>610.0138888888887</v>
      </c>
      <c r="AG36" s="16">
        <f>MAX('POA — Monthly financial forecas'!AG27*'Model inputs'!AM31-'POA — Monthly financial forecas'!AG35,0)</f>
        <v>640.2222222222223</v>
      </c>
      <c r="AH36" s="16">
        <f>MAX('POA — Monthly financial forecas'!AH27*'Model inputs'!AM31-'POA — Monthly financial forecas'!AH35,0)</f>
        <v>671.125</v>
      </c>
      <c r="AI36" s="16">
        <f>MAX('POA — Monthly financial forecas'!AI27*'Model inputs'!AM31-'POA — Monthly financial forecas'!AI35,0)</f>
        <v>702.7222222222222</v>
      </c>
      <c r="AJ36" s="16">
        <f>MAX('POA — Monthly financial forecas'!AJ27*'Model inputs'!AM31-'POA — Monthly financial forecas'!AJ35,0)</f>
        <v>735.0138888888893</v>
      </c>
      <c r="AK36" s="16">
        <f>MAX('POA — Monthly financial forecas'!AK27*'Model inputs'!AM31-'POA — Monthly financial forecas'!AK35,0)</f>
        <v>768</v>
      </c>
    </row>
    <row r="37">
      <c r="A37" t="inlineStr" s="9">
        <is>
          <t xml:space="preserve">Total COGS</t>
        </is>
      </c>
      <c r="B37" s="16">
        <f>'POA — Monthly financial forecas'!B35+'POA — Monthly financial forecas'!B36</f>
        <v>7.041666666666667</v>
      </c>
      <c r="C37" s="16">
        <f>'POA — Monthly financial forecas'!C35+'POA — Monthly financial forecas'!C36</f>
        <v>14.166666666666666</v>
      </c>
      <c r="D37" s="16">
        <f>'POA — Monthly financial forecas'!D35+'POA — Monthly financial forecas'!D36</f>
        <v>21.375</v>
      </c>
      <c r="E37" s="16">
        <f>'POA — Monthly financial forecas'!E35+'POA — Monthly financial forecas'!E36</f>
        <v>28.666666666666668</v>
      </c>
      <c r="F37" s="16">
        <f>'POA — Monthly financial forecas'!F35+'POA — Monthly financial forecas'!F36</f>
        <v>36.041666666666664</v>
      </c>
      <c r="G37" s="16">
        <f>'POA — Monthly financial forecas'!G35+'POA — Monthly financial forecas'!G36</f>
        <v>43.5</v>
      </c>
      <c r="H37" s="16">
        <f>'POA — Monthly financial forecas'!H35+'POA — Monthly financial forecas'!H36</f>
        <v>64.61700336700336</v>
      </c>
      <c r="I37" s="16">
        <f>'POA — Monthly financial forecas'!I35+'POA — Monthly financial forecas'!I36</f>
        <v>86.83164983164983</v>
      </c>
      <c r="J37" s="16">
        <f>'POA — Monthly financial forecas'!J35+'POA — Monthly financial forecas'!J36</f>
        <v>110.14393939393939</v>
      </c>
      <c r="K37" s="16">
        <f>'POA — Monthly financial forecas'!K35+'POA — Monthly financial forecas'!K36</f>
        <v>134.55387205387203</v>
      </c>
      <c r="L37" s="16">
        <f>'POA — Monthly financial forecas'!L35+'POA — Monthly financial forecas'!L36</f>
        <v>160.0614478114478</v>
      </c>
      <c r="M37" s="16">
        <f>'POA — Monthly financial forecas'!M35+'POA — Monthly financial forecas'!M36</f>
        <v>186.66666666666666</v>
      </c>
      <c r="N37" s="16">
        <f>'POA — Monthly financial forecas'!N35+'POA — Monthly financial forecas'!N36</f>
        <v>245.19781144781143</v>
      </c>
      <c r="O37" s="16">
        <f>'POA — Monthly financial forecas'!O35+'POA — Monthly financial forecas'!O36</f>
        <v>305.8720538720538</v>
      </c>
      <c r="P37" s="16">
        <f>'POA — Monthly financial forecas'!P35+'POA — Monthly financial forecas'!P36</f>
        <v>368.68939393939394</v>
      </c>
      <c r="Q37" s="16">
        <f>'POA — Monthly financial forecas'!Q35+'POA — Monthly financial forecas'!Q36</f>
        <v>433.64983164983164</v>
      </c>
      <c r="R37" s="16">
        <f>'POA — Monthly financial forecas'!R35+'POA — Monthly financial forecas'!R36</f>
        <v>500.753367003367</v>
      </c>
      <c r="S37" s="16">
        <f>'POA — Monthly financial forecas'!S35+'POA — Monthly financial forecas'!S36</f>
        <v>570</v>
      </c>
      <c r="T37" s="16">
        <f>'POA — Monthly financial forecas'!T35+'POA — Monthly financial forecas'!T36</f>
        <v>638.888888888889</v>
      </c>
      <c r="U37" s="16">
        <f>'POA — Monthly financial forecas'!U35+'POA — Monthly financial forecas'!U36</f>
        <v>708.8888888888888</v>
      </c>
      <c r="V37" s="16">
        <f>'POA — Monthly financial forecas'!V35+'POA — Monthly financial forecas'!V36</f>
        <v>780</v>
      </c>
      <c r="W37" s="16">
        <f>'POA — Monthly financial forecas'!W35+'POA — Monthly financial forecas'!W36</f>
        <v>852.2222222222222</v>
      </c>
      <c r="X37" s="16">
        <f>'POA — Monthly financial forecas'!X35+'POA — Monthly financial forecas'!X36</f>
        <v>925.5555555555555</v>
      </c>
      <c r="Y37" s="16">
        <f>'POA — Monthly financial forecas'!Y35+'POA — Monthly financial forecas'!Y36</f>
        <v>1000</v>
      </c>
      <c r="Z37" s="16">
        <f>'POA — Monthly financial forecas'!Z35+'POA — Monthly financial forecas'!Z36</f>
        <v>1067.1527777777778</v>
      </c>
      <c r="AA37" s="16">
        <f>'POA — Monthly financial forecas'!AA35+'POA — Monthly financial forecas'!AA36</f>
        <v>1135.277777777778</v>
      </c>
      <c r="AB37" s="16">
        <f>'POA — Monthly financial forecas'!AB35+'POA — Monthly financial forecas'!AB36</f>
        <v>1204.375</v>
      </c>
      <c r="AC37" s="16">
        <f>'POA — Monthly financial forecas'!AC35+'POA — Monthly financial forecas'!AC36</f>
        <v>1274.4444444444446</v>
      </c>
      <c r="AD37" s="16">
        <f>'POA — Monthly financial forecas'!AD35+'POA — Monthly financial forecas'!AD36</f>
        <v>1345.486111111111</v>
      </c>
      <c r="AE37" s="16">
        <f>'POA — Monthly financial forecas'!AE35+'POA — Monthly financial forecas'!AE36</f>
        <v>1417.5</v>
      </c>
      <c r="AF37" s="16">
        <f>'POA — Monthly financial forecas'!AF35+'POA — Monthly financial forecas'!AF36</f>
        <v>1472.847222222222</v>
      </c>
      <c r="AG37" s="16">
        <f>'POA — Monthly financial forecas'!AG35+'POA — Monthly financial forecas'!AG36</f>
        <v>1528.888888888889</v>
      </c>
      <c r="AH37" s="16">
        <f>'POA — Monthly financial forecas'!AH35+'POA — Monthly financial forecas'!AH36</f>
        <v>1585.625</v>
      </c>
      <c r="AI37" s="16">
        <f>'POA — Monthly financial forecas'!AI35+'POA — Monthly financial forecas'!AI36</f>
        <v>1643.0555555555554</v>
      </c>
      <c r="AJ37" s="16">
        <f>'POA — Monthly financial forecas'!AJ35+'POA — Monthly financial forecas'!AJ36</f>
        <v>1701.1805555555559</v>
      </c>
      <c r="AK37" s="16">
        <f>'POA — Monthly financial forecas'!AK35+'POA — Monthly financial forecas'!AK36</f>
        <v>1760</v>
      </c>
    </row>
    <row r="38">
      <c r="A38" t="inlineStr" s="9">
        <is>
          <t xml:space="preserve">Gross profit</t>
        </is>
      </c>
      <c r="B38" s="16">
        <f>'POA — Monthly financial forecas'!B27-'POA — Monthly financial forecas'!B37</f>
        <v>3513.791666666667</v>
      </c>
      <c r="C38" s="16">
        <f>'POA — Monthly financial forecas'!C27-'POA — Monthly financial forecas'!C37</f>
        <v>7069.166666666666</v>
      </c>
      <c r="D38" s="16">
        <f>'POA — Monthly financial forecas'!D27-'POA — Monthly financial forecas'!D37</f>
        <v>10666.125</v>
      </c>
      <c r="E38" s="16">
        <f>'POA — Monthly financial forecas'!E27-'POA — Monthly financial forecas'!E37</f>
        <v>14304.666666666668</v>
      </c>
      <c r="F38" s="16">
        <f>'POA — Monthly financial forecas'!F27-'POA — Monthly financial forecas'!F37</f>
        <v>17984.791666666664</v>
      </c>
      <c r="G38" s="16">
        <f>'POA — Monthly financial forecas'!G27-'POA — Monthly financial forecas'!G37</f>
        <v>21706.5</v>
      </c>
      <c r="H38" s="16">
        <f>'POA — Monthly financial forecas'!H27-'POA — Monthly financial forecas'!H37</f>
        <v>32243.884680134677</v>
      </c>
      <c r="I38" s="16">
        <f>'POA — Monthly financial forecas'!I27-'POA — Monthly financial forecas'!I37</f>
        <v>43328.99326599326</v>
      </c>
      <c r="J38" s="16">
        <f>'POA — Monthly financial forecas'!J27-'POA — Monthly financial forecas'!J37</f>
        <v>54961.82575757576</v>
      </c>
      <c r="K38" s="16">
        <f>'POA — Monthly financial forecas'!K27-'POA — Monthly financial forecas'!K37</f>
        <v>67142.38215488214</v>
      </c>
      <c r="L38" s="16">
        <f>'POA — Monthly financial forecas'!L27-'POA — Monthly financial forecas'!L37</f>
        <v>79870.66245791246</v>
      </c>
      <c r="M38" s="16">
        <f>'POA — Monthly financial forecas'!M27-'POA — Monthly financial forecas'!M37</f>
        <v>93146.66666666666</v>
      </c>
      <c r="N38" s="16">
        <f>'POA — Monthly financial forecas'!N27-'POA — Monthly financial forecas'!N37</f>
        <v>122353.7079124579</v>
      </c>
      <c r="O38" s="16">
        <f>'POA — Monthly financial forecas'!O27-'POA — Monthly financial forecas'!O37</f>
        <v>152630.15488215483</v>
      </c>
      <c r="P38" s="16">
        <f>'POA — Monthly financial forecas'!P27-'POA — Monthly financial forecas'!P37</f>
        <v>183976.00757575757</v>
      </c>
      <c r="Q38" s="16">
        <f>'POA — Monthly financial forecas'!Q27-'POA — Monthly financial forecas'!Q37</f>
        <v>216391.265993266</v>
      </c>
      <c r="R38" s="16">
        <f>'POA — Monthly financial forecas'!R27-'POA — Monthly financial forecas'!R37</f>
        <v>249875.93013468012</v>
      </c>
      <c r="S38" s="16">
        <f>'POA — Monthly financial forecas'!S27-'POA — Monthly financial forecas'!S37</f>
        <v>284430</v>
      </c>
      <c r="T38" s="16">
        <f>'POA — Monthly financial forecas'!T27-'POA — Monthly financial forecas'!T37</f>
        <v>318805.5555555556</v>
      </c>
      <c r="U38" s="16">
        <f>'POA — Monthly financial forecas'!U27-'POA — Monthly financial forecas'!U37</f>
        <v>353735.5555555555</v>
      </c>
      <c r="V38" s="16">
        <f>'POA — Monthly financial forecas'!V27-'POA — Monthly financial forecas'!V37</f>
        <v>389220</v>
      </c>
      <c r="W38" s="16">
        <f>'POA — Monthly financial forecas'!W27-'POA — Monthly financial forecas'!W37</f>
        <v>425258.8888888888</v>
      </c>
      <c r="X38" s="16">
        <f>'POA — Monthly financial forecas'!X27-'POA — Monthly financial forecas'!X37</f>
        <v>461852.2222222222</v>
      </c>
      <c r="Y38" s="16">
        <f>'POA — Monthly financial forecas'!Y27-'POA — Monthly financial forecas'!Y37</f>
        <v>499000</v>
      </c>
      <c r="Z38" s="16">
        <f>'POA — Monthly financial forecas'!Z27-'POA — Monthly financial forecas'!Z37</f>
        <v>532509.2361111111</v>
      </c>
      <c r="AA38" s="16">
        <f>'POA — Monthly financial forecas'!AA27-'POA — Monthly financial forecas'!AA37</f>
        <v>566503.6111111112</v>
      </c>
      <c r="AB38" s="16">
        <f>'POA — Monthly financial forecas'!AB27-'POA — Monthly financial forecas'!AB37</f>
        <v>600983.125</v>
      </c>
      <c r="AC38" s="16">
        <f>'POA — Monthly financial forecas'!AC27-'POA — Monthly financial forecas'!AC37</f>
        <v>635947.7777777778</v>
      </c>
      <c r="AD38" s="16">
        <f>'POA — Monthly financial forecas'!AD27-'POA — Monthly financial forecas'!AD37</f>
        <v>671397.5694444444</v>
      </c>
      <c r="AE38" s="16">
        <f>'POA — Monthly financial forecas'!AE27-'POA — Monthly financial forecas'!AE37</f>
        <v>707332.5</v>
      </c>
      <c r="AF38" s="16">
        <f>'POA — Monthly financial forecas'!AF27-'POA — Monthly financial forecas'!AF37</f>
        <v>734950.7638888888</v>
      </c>
      <c r="AG38" s="16">
        <f>'POA — Monthly financial forecas'!AG27-'POA — Monthly financial forecas'!AG37</f>
        <v>762915.5555555556</v>
      </c>
      <c r="AH38" s="16">
        <f>'POA — Monthly financial forecas'!AH27-'POA — Monthly financial forecas'!AH37</f>
        <v>791226.875</v>
      </c>
      <c r="AI38" s="16">
        <f>'POA — Monthly financial forecas'!AI27-'POA — Monthly financial forecas'!AI37</f>
        <v>819884.7222222222</v>
      </c>
      <c r="AJ38" s="16">
        <f>'POA — Monthly financial forecas'!AJ27-'POA — Monthly financial forecas'!AJ37</f>
        <v>848889.0972222224</v>
      </c>
      <c r="AK38" s="16">
        <f>'POA — Monthly financial forecas'!AK27-'POA — Monthly financial forecas'!AK37</f>
        <v>878240</v>
      </c>
    </row>
    <row r="39">
      <c r="A39" t="inlineStr" s="9">
        <is>
          <t xml:space="preserve">Gross margin</t>
        </is>
      </c>
      <c r="B39" s="14">
        <f>IFERROR('POA — Monthly financial forecas'!B38/'POA — Monthly financial forecas'!B27,"")</f>
        <v>0.998</v>
      </c>
      <c r="C39" s="14">
        <f>IFERROR('POA — Monthly financial forecas'!C38/'POA — Monthly financial forecas'!C27,"")</f>
        <v>0.998</v>
      </c>
      <c r="D39" s="14">
        <f>IFERROR('POA — Monthly financial forecas'!D38/'POA — Monthly financial forecas'!D27,"")</f>
        <v>0.998</v>
      </c>
      <c r="E39" s="14">
        <f>IFERROR('POA — Monthly financial forecas'!E38/'POA — Monthly financial forecas'!E27,"")</f>
        <v>0.998</v>
      </c>
      <c r="F39" s="14">
        <f>IFERROR('POA — Monthly financial forecas'!F38/'POA — Monthly financial forecas'!F27,"")</f>
        <v>0.9979999999999999</v>
      </c>
      <c r="G39" s="14">
        <f>IFERROR('POA — Monthly financial forecas'!G38/'POA — Monthly financial forecas'!G27,"")</f>
        <v>0.998</v>
      </c>
      <c r="H39" s="14">
        <f>IFERROR('POA — Monthly financial forecas'!H38/'POA — Monthly financial forecas'!H27,"")</f>
        <v>0.998</v>
      </c>
      <c r="I39" s="14">
        <f>IFERROR('POA — Monthly financial forecas'!I38/'POA — Monthly financial forecas'!I27,"")</f>
        <v>0.998</v>
      </c>
      <c r="J39" s="14">
        <f>IFERROR('POA — Monthly financial forecas'!J38/'POA — Monthly financial forecas'!J27,"")</f>
        <v>0.9980000000000001</v>
      </c>
      <c r="K39" s="14">
        <f>IFERROR('POA — Monthly financial forecas'!K38/'POA — Monthly financial forecas'!K27,"")</f>
        <v>0.998</v>
      </c>
      <c r="L39" s="14">
        <f>IFERROR('POA — Monthly financial forecas'!L38/'POA — Monthly financial forecas'!L27,"")</f>
        <v>0.998</v>
      </c>
      <c r="M39" s="14">
        <f>IFERROR('POA — Monthly financial forecas'!M38/'POA — Monthly financial forecas'!M27,"")</f>
        <v>0.998</v>
      </c>
      <c r="N39" s="14">
        <f>IFERROR('POA — Monthly financial forecas'!N38/'POA — Monthly financial forecas'!N27,"")</f>
        <v>0.998</v>
      </c>
      <c r="O39" s="14">
        <f>IFERROR('POA — Monthly financial forecas'!O38/'POA — Monthly financial forecas'!O27,"")</f>
        <v>0.9979999999999999</v>
      </c>
      <c r="P39" s="14">
        <f>IFERROR('POA — Monthly financial forecas'!P38/'POA — Monthly financial forecas'!P27,"")</f>
        <v>0.998</v>
      </c>
      <c r="Q39" s="14">
        <f>IFERROR('POA — Monthly financial forecas'!Q38/'POA — Monthly financial forecas'!Q27,"")</f>
        <v>0.9980000000000001</v>
      </c>
      <c r="R39" s="14">
        <f>IFERROR('POA — Monthly financial forecas'!R38/'POA — Monthly financial forecas'!R27,"")</f>
        <v>0.998</v>
      </c>
      <c r="S39" s="14">
        <f>IFERROR('POA — Monthly financial forecas'!S38/'POA — Monthly financial forecas'!S27,"")</f>
        <v>0.998</v>
      </c>
      <c r="T39" s="14">
        <f>IFERROR('POA — Monthly financial forecas'!T38/'POA — Monthly financial forecas'!T27,"")</f>
        <v>0.998</v>
      </c>
      <c r="U39" s="14">
        <f>IFERROR('POA — Monthly financial forecas'!U38/'POA — Monthly financial forecas'!U27,"")</f>
        <v>0.998</v>
      </c>
      <c r="V39" s="14">
        <f>IFERROR('POA — Monthly financial forecas'!V38/'POA — Monthly financial forecas'!V27,"")</f>
        <v>0.998</v>
      </c>
      <c r="W39" s="14">
        <f>IFERROR('POA — Monthly financial forecas'!W38/'POA — Monthly financial forecas'!W27,"")</f>
        <v>0.9979999999999999</v>
      </c>
      <c r="X39" s="14">
        <f>IFERROR('POA — Monthly financial forecas'!X38/'POA — Monthly financial forecas'!X27,"")</f>
        <v>0.998</v>
      </c>
      <c r="Y39" s="14">
        <f>IFERROR('POA — Monthly financial forecas'!Y38/'POA — Monthly financial forecas'!Y27,"")</f>
        <v>0.998</v>
      </c>
      <c r="Z39" s="14">
        <f>IFERROR('POA — Monthly financial forecas'!Z38/'POA — Monthly financial forecas'!Z27,"")</f>
        <v>0.998</v>
      </c>
      <c r="AA39" s="14">
        <f>IFERROR('POA — Monthly financial forecas'!AA38/'POA — Monthly financial forecas'!AA27,"")</f>
        <v>0.998</v>
      </c>
      <c r="AB39" s="14">
        <f>IFERROR('POA — Monthly financial forecas'!AB38/'POA — Monthly financial forecas'!AB27,"")</f>
        <v>0.998</v>
      </c>
      <c r="AC39" s="14">
        <f>IFERROR('POA — Monthly financial forecas'!AC38/'POA — Monthly financial forecas'!AC27,"")</f>
        <v>0.9979999999999999</v>
      </c>
      <c r="AD39" s="14">
        <f>IFERROR('POA — Monthly financial forecas'!AD38/'POA — Monthly financial forecas'!AD27,"")</f>
        <v>0.998</v>
      </c>
      <c r="AE39" s="14">
        <f>IFERROR('POA — Monthly financial forecas'!AE38/'POA — Monthly financial forecas'!AE27,"")</f>
        <v>0.998</v>
      </c>
      <c r="AF39" s="14">
        <f>IFERROR('POA — Monthly financial forecas'!AF38/'POA — Monthly financial forecas'!AF27,"")</f>
        <v>0.998</v>
      </c>
      <c r="AG39" s="14">
        <f>IFERROR('POA — Monthly financial forecas'!AG38/'POA — Monthly financial forecas'!AG27,"")</f>
        <v>0.998</v>
      </c>
      <c r="AH39" s="14">
        <f>IFERROR('POA — Monthly financial forecas'!AH38/'POA — Monthly financial forecas'!AH27,"")</f>
        <v>0.998</v>
      </c>
      <c r="AI39" s="14">
        <f>IFERROR('POA — Monthly financial forecas'!AI38/'POA — Monthly financial forecas'!AI27,"")</f>
        <v>0.9980000000000001</v>
      </c>
      <c r="AJ39" s="14">
        <f>IFERROR('POA — Monthly financial forecas'!AJ38/'POA — Monthly financial forecas'!AJ27,"")</f>
        <v>0.9980000000000001</v>
      </c>
      <c r="AK39" s="14">
        <f>IFERROR('POA — Monthly financial forecas'!AK38/'POA — Monthly financial forecas'!AK27,"")</f>
        <v>0.998</v>
      </c>
    </row>
    <row r="40">
      <c r="A40" t="inlineStr" s="9">
        <is>
          <t xml:space="preserve">Operating budget</t>
        </is>
      </c>
      <c r="B40" s="16">
        <f>IF('Model inputs'!B759="",0,'Model inputs'!B759)*'Model inputs'!AM60</f>
        <v>12083.333333333332</v>
      </c>
      <c r="C40" s="16">
        <f>IF('Model inputs'!B760="",0,'Model inputs'!B760)*'Model inputs'!AM60</f>
        <v>14166.666666666666</v>
      </c>
      <c r="D40" s="16">
        <f>IF('Model inputs'!B761="",0,'Model inputs'!B761)*'Model inputs'!AM60</f>
        <v>16250</v>
      </c>
      <c r="E40" s="16">
        <f>IF('Model inputs'!B762="",0,'Model inputs'!B762)*'Model inputs'!AM60</f>
        <v>18333.333333333332</v>
      </c>
      <c r="F40" s="16">
        <f>IF('Model inputs'!B763="",0,'Model inputs'!B763)*'Model inputs'!AM60</f>
        <v>20416.666666666664</v>
      </c>
      <c r="G40" s="16">
        <f>IF('Model inputs'!B764="",0,'Model inputs'!B764)*'Model inputs'!AM60</f>
        <v>22500</v>
      </c>
      <c r="H40" s="16">
        <f>IF('Model inputs'!B765="",0,'Model inputs'!B765)*'Model inputs'!AM60</f>
        <v>26716.666666666664</v>
      </c>
      <c r="I40" s="16">
        <f>IF('Model inputs'!B766="",0,'Model inputs'!B766)*'Model inputs'!AM60</f>
        <v>30933.333333333332</v>
      </c>
      <c r="J40" s="16">
        <f>IF('Model inputs'!B767="",0,'Model inputs'!B767)*'Model inputs'!AM60</f>
        <v>35150</v>
      </c>
      <c r="K40" s="16">
        <f>IF('Model inputs'!B768="",0,'Model inputs'!B768)*'Model inputs'!AM60</f>
        <v>39366.666666666664</v>
      </c>
      <c r="L40" s="16">
        <f>IF('Model inputs'!B769="",0,'Model inputs'!B769)*'Model inputs'!AM60</f>
        <v>43583.33333333333</v>
      </c>
      <c r="M40" s="16">
        <f>IF('Model inputs'!B770="",0,'Model inputs'!B770)*'Model inputs'!AM60</f>
        <v>47800</v>
      </c>
      <c r="N40" s="16">
        <f>IF('Model inputs'!B771="",0,'Model inputs'!B771)*'Model inputs'!AM60</f>
        <v>56200</v>
      </c>
      <c r="O40" s="16">
        <f>IF('Model inputs'!B772="",0,'Model inputs'!B772)*'Model inputs'!AM60</f>
        <v>64600</v>
      </c>
      <c r="P40" s="16">
        <f>IF('Model inputs'!B773="",0,'Model inputs'!B773)*'Model inputs'!AM60</f>
        <v>73000</v>
      </c>
      <c r="Q40" s="16">
        <f>IF('Model inputs'!B774="",0,'Model inputs'!B774)*'Model inputs'!AM60</f>
        <v>81400</v>
      </c>
      <c r="R40" s="16">
        <f>IF('Model inputs'!B775="",0,'Model inputs'!B775)*'Model inputs'!AM60</f>
        <v>89800</v>
      </c>
      <c r="S40" s="16">
        <f>IF('Model inputs'!B776="",0,'Model inputs'!B776)*'Model inputs'!AM60</f>
        <v>98200</v>
      </c>
      <c r="T40" s="16">
        <f>IF('Model inputs'!B777="",0,'Model inputs'!B777)*'Model inputs'!AM60</f>
        <v>105166.66666666667</v>
      </c>
      <c r="U40" s="16">
        <f>IF('Model inputs'!B778="",0,'Model inputs'!B778)*'Model inputs'!AM60</f>
        <v>112133.33333333333</v>
      </c>
      <c r="V40" s="16">
        <f>IF('Model inputs'!B779="",0,'Model inputs'!B779)*'Model inputs'!AM60</f>
        <v>119100</v>
      </c>
      <c r="W40" s="16">
        <f>IF('Model inputs'!B780="",0,'Model inputs'!B780)*'Model inputs'!AM60</f>
        <v>126066.66666666666</v>
      </c>
      <c r="X40" s="16">
        <f>IF('Model inputs'!B781="",0,'Model inputs'!B781)*'Model inputs'!AM60</f>
        <v>133033.3333333333</v>
      </c>
      <c r="Y40" s="16">
        <f>IF('Model inputs'!B782="",0,'Model inputs'!B782)*'Model inputs'!AM60</f>
        <v>140000</v>
      </c>
      <c r="Z40" s="16">
        <f>IF('Model inputs'!B783="",0,'Model inputs'!B783)*'Model inputs'!AM60</f>
        <v>145833.33333333334</v>
      </c>
      <c r="AA40" s="16">
        <f>IF('Model inputs'!B784="",0,'Model inputs'!B784)*'Model inputs'!AM60</f>
        <v>151666.66666666666</v>
      </c>
      <c r="AB40" s="16">
        <f>IF('Model inputs'!B785="",0,'Model inputs'!B785)*'Model inputs'!AM60</f>
        <v>157500</v>
      </c>
      <c r="AC40" s="16">
        <f>IF('Model inputs'!B786="",0,'Model inputs'!B786)*'Model inputs'!AM60</f>
        <v>163333.33333333334</v>
      </c>
      <c r="AD40" s="16">
        <f>IF('Model inputs'!B787="",0,'Model inputs'!B787)*'Model inputs'!AM60</f>
        <v>169166.66666666666</v>
      </c>
      <c r="AE40" s="16">
        <f>IF('Model inputs'!B788="",0,'Model inputs'!B788)*'Model inputs'!AM60</f>
        <v>175000</v>
      </c>
      <c r="AF40" s="16">
        <f>IF('Model inputs'!B789="",0,'Model inputs'!B789)*'Model inputs'!AM60</f>
        <v>180000</v>
      </c>
      <c r="AG40" s="16">
        <f>IF('Model inputs'!B790="",0,'Model inputs'!B790)*'Model inputs'!AM60</f>
        <v>185000</v>
      </c>
      <c r="AH40" s="16">
        <f>IF('Model inputs'!B791="",0,'Model inputs'!B791)*'Model inputs'!AM60</f>
        <v>190000</v>
      </c>
      <c r="AI40" s="16">
        <f>IF('Model inputs'!B792="",0,'Model inputs'!B792)*'Model inputs'!AM60</f>
        <v>195000</v>
      </c>
      <c r="AJ40" s="16">
        <f>IF('Model inputs'!B793="",0,'Model inputs'!B793)*'Model inputs'!AM60</f>
        <v>200000</v>
      </c>
      <c r="AK40" s="16">
        <f>IF('Model inputs'!B794="",0,'Model inputs'!B794)*'Model inputs'!AM60</f>
        <v>205000</v>
      </c>
    </row>
    <row r="41">
      <c r="A41" t="inlineStr" s="5">
        <is>
          <t xml:space="preserve">Operating expenses by category</t>
        </is>
      </c>
      <c r="B41" s="19">
        <f>SUM('POA — Monthly financial forecas'!B42,'POA — Monthly financial forecas'!B43,'POA — Monthly financial forecas'!B44,'POA — Monthly financial forecas'!B45,'POA — Monthly financial forecas'!B46)</f>
        <v>12083.333333333332</v>
      </c>
      <c r="C41" s="19">
        <f>SUM('POA — Monthly financial forecas'!C42,'POA — Monthly financial forecas'!C43,'POA — Monthly financial forecas'!C44,'POA — Monthly financial forecas'!C45,'POA — Monthly financial forecas'!C46)</f>
        <v>14166.666666666668</v>
      </c>
      <c r="D41" s="19">
        <f>SUM('POA — Monthly financial forecas'!D42,'POA — Monthly financial forecas'!D43,'POA — Monthly financial forecas'!D44,'POA — Monthly financial forecas'!D45,'POA — Monthly financial forecas'!D46)</f>
        <v>16250</v>
      </c>
      <c r="E41" s="19">
        <f>SUM('POA — Monthly financial forecas'!E42,'POA — Monthly financial forecas'!E43,'POA — Monthly financial forecas'!E44,'POA — Monthly financial forecas'!E45,'POA — Monthly financial forecas'!E46)</f>
        <v>18333.333333333332</v>
      </c>
      <c r="F41" s="19">
        <f>SUM('POA — Monthly financial forecas'!F42,'POA — Monthly financial forecas'!F43,'POA — Monthly financial forecas'!F44,'POA — Monthly financial forecas'!F45,'POA — Monthly financial forecas'!F46)</f>
        <v>20416.666666666664</v>
      </c>
      <c r="G41" s="19">
        <f>SUM('POA — Monthly financial forecas'!G42,'POA — Monthly financial forecas'!G43,'POA — Monthly financial forecas'!G44,'POA — Monthly financial forecas'!G45,'POA — Monthly financial forecas'!G46)</f>
        <v>22500</v>
      </c>
      <c r="H41" s="19">
        <f>SUM('POA — Monthly financial forecas'!H42,'POA — Monthly financial forecas'!H43,'POA — Monthly financial forecas'!H44,'POA — Monthly financial forecas'!H45,'POA — Monthly financial forecas'!H46)</f>
        <v>26716.666666666664</v>
      </c>
      <c r="I41" s="19">
        <f>SUM('POA — Monthly financial forecas'!I42,'POA — Monthly financial forecas'!I43,'POA — Monthly financial forecas'!I44,'POA — Monthly financial forecas'!I45,'POA — Monthly financial forecas'!I46)</f>
        <v>30933.333333333336</v>
      </c>
      <c r="J41" s="19">
        <f>SUM('POA — Monthly financial forecas'!J42,'POA — Monthly financial forecas'!J43,'POA — Monthly financial forecas'!J44,'POA — Monthly financial forecas'!J45,'POA — Monthly financial forecas'!J46)</f>
        <v>35150</v>
      </c>
      <c r="K41" s="19">
        <f>SUM('POA — Monthly financial forecas'!K42,'POA — Monthly financial forecas'!K43,'POA — Monthly financial forecas'!K44,'POA — Monthly financial forecas'!K45,'POA — Monthly financial forecas'!K46)</f>
        <v>39366.666666666664</v>
      </c>
      <c r="L41" s="19">
        <f>SUM('POA — Monthly financial forecas'!L42,'POA — Monthly financial forecas'!L43,'POA — Monthly financial forecas'!L44,'POA — Monthly financial forecas'!L45,'POA — Monthly financial forecas'!L46)</f>
        <v>43583.33333333333</v>
      </c>
      <c r="M41" s="19">
        <f>SUM('POA — Monthly financial forecas'!M42,'POA — Monthly financial forecas'!M43,'POA — Monthly financial forecas'!M44,'POA — Monthly financial forecas'!M45,'POA — Monthly financial forecas'!M46)</f>
        <v>47800</v>
      </c>
      <c r="N41" s="19">
        <f>SUM('POA — Monthly financial forecas'!N42,'POA — Monthly financial forecas'!N43,'POA — Monthly financial forecas'!N44,'POA — Monthly financial forecas'!N45,'POA — Monthly financial forecas'!N46)</f>
        <v>56200</v>
      </c>
      <c r="O41" s="19">
        <f>SUM('POA — Monthly financial forecas'!O42,'POA — Monthly financial forecas'!O43,'POA — Monthly financial forecas'!O44,'POA — Monthly financial forecas'!O45,'POA — Monthly financial forecas'!O46)</f>
        <v>64600</v>
      </c>
      <c r="P41" s="19">
        <f>SUM('POA — Monthly financial forecas'!P42,'POA — Monthly financial forecas'!P43,'POA — Monthly financial forecas'!P44,'POA — Monthly financial forecas'!P45,'POA — Monthly financial forecas'!P46)</f>
        <v>73000</v>
      </c>
      <c r="Q41" s="19">
        <f>SUM('POA — Monthly financial forecas'!Q42,'POA — Monthly financial forecas'!Q43,'POA — Monthly financial forecas'!Q44,'POA — Monthly financial forecas'!Q45,'POA — Monthly financial forecas'!Q46)</f>
        <v>81400</v>
      </c>
      <c r="R41" s="19">
        <f>SUM('POA — Monthly financial forecas'!R42,'POA — Monthly financial forecas'!R43,'POA — Monthly financial forecas'!R44,'POA — Monthly financial forecas'!R45,'POA — Monthly financial forecas'!R46)</f>
        <v>89800</v>
      </c>
      <c r="S41" s="19">
        <f>SUM('POA — Monthly financial forecas'!S42,'POA — Monthly financial forecas'!S43,'POA — Monthly financial forecas'!S44,'POA — Monthly financial forecas'!S45,'POA — Monthly financial forecas'!S46)</f>
        <v>98200</v>
      </c>
      <c r="T41" s="19">
        <f>SUM('POA — Monthly financial forecas'!T42,'POA — Monthly financial forecas'!T43,'POA — Monthly financial forecas'!T44,'POA — Monthly financial forecas'!T45,'POA — Monthly financial forecas'!T46)</f>
        <v>105166.66666666667</v>
      </c>
      <c r="U41" s="19">
        <f>SUM('POA — Monthly financial forecas'!U42,'POA — Monthly financial forecas'!U43,'POA — Monthly financial forecas'!U44,'POA — Monthly financial forecas'!U45,'POA — Monthly financial forecas'!U46)</f>
        <v>112133.33333333334</v>
      </c>
      <c r="V41" s="19">
        <f>SUM('POA — Monthly financial forecas'!V42,'POA — Monthly financial forecas'!V43,'POA — Monthly financial forecas'!V44,'POA — Monthly financial forecas'!V45,'POA — Monthly financial forecas'!V46)</f>
        <v>119100</v>
      </c>
      <c r="W41" s="19">
        <f>SUM('POA — Monthly financial forecas'!W42,'POA — Monthly financial forecas'!W43,'POA — Monthly financial forecas'!W44,'POA — Monthly financial forecas'!W45,'POA — Monthly financial forecas'!W46)</f>
        <v>126066.66666666666</v>
      </c>
      <c r="X41" s="19">
        <f>SUM('POA — Monthly financial forecas'!X42,'POA — Monthly financial forecas'!X43,'POA — Monthly financial forecas'!X44,'POA — Monthly financial forecas'!X45,'POA — Monthly financial forecas'!X46)</f>
        <v>133033.3333333333</v>
      </c>
      <c r="Y41" s="19">
        <f>SUM('POA — Monthly financial forecas'!Y42,'POA — Monthly financial forecas'!Y43,'POA — Monthly financial forecas'!Y44,'POA — Monthly financial forecas'!Y45,'POA — Monthly financial forecas'!Y46)</f>
        <v>140000</v>
      </c>
      <c r="Z41" s="19">
        <f>SUM('POA — Monthly financial forecas'!Z42,'POA — Monthly financial forecas'!Z43,'POA — Monthly financial forecas'!Z44,'POA — Monthly financial forecas'!Z45,'POA — Monthly financial forecas'!Z46)</f>
        <v>145833.33333333334</v>
      </c>
      <c r="AA41" s="19">
        <f>SUM('POA — Monthly financial forecas'!AA42,'POA — Monthly financial forecas'!AA43,'POA — Monthly financial forecas'!AA44,'POA — Monthly financial forecas'!AA45,'POA — Monthly financial forecas'!AA46)</f>
        <v>151666.66666666666</v>
      </c>
      <c r="AB41" s="19">
        <f>SUM('POA — Monthly financial forecas'!AB42,'POA — Monthly financial forecas'!AB43,'POA — Monthly financial forecas'!AB44,'POA — Monthly financial forecas'!AB45,'POA — Monthly financial forecas'!AB46)</f>
        <v>157500</v>
      </c>
      <c r="AC41" s="19">
        <f>SUM('POA — Monthly financial forecas'!AC42,'POA — Monthly financial forecas'!AC43,'POA — Monthly financial forecas'!AC44,'POA — Monthly financial forecas'!AC45,'POA — Monthly financial forecas'!AC46)</f>
        <v>163333.33333333334</v>
      </c>
      <c r="AD41" s="19">
        <f>SUM('POA — Monthly financial forecas'!AD42,'POA — Monthly financial forecas'!AD43,'POA — Monthly financial forecas'!AD44,'POA — Monthly financial forecas'!AD45,'POA — Monthly financial forecas'!AD46)</f>
        <v>169166.66666666666</v>
      </c>
      <c r="AE41" s="19">
        <f>SUM('POA — Monthly financial forecas'!AE42,'POA — Monthly financial forecas'!AE43,'POA — Monthly financial forecas'!AE44,'POA — Monthly financial forecas'!AE45,'POA — Monthly financial forecas'!AE46)</f>
        <v>175000</v>
      </c>
      <c r="AF41" s="19">
        <f>SUM('POA — Monthly financial forecas'!AF42,'POA — Monthly financial forecas'!AF43,'POA — Monthly financial forecas'!AF44,'POA — Monthly financial forecas'!AF45,'POA — Monthly financial forecas'!AF46)</f>
        <v>180000</v>
      </c>
      <c r="AG41" s="19">
        <f>SUM('POA — Monthly financial forecas'!AG42,'POA — Monthly financial forecas'!AG43,'POA — Monthly financial forecas'!AG44,'POA — Monthly financial forecas'!AG45,'POA — Monthly financial forecas'!AG46)</f>
        <v>185000</v>
      </c>
      <c r="AH41" s="19">
        <f>SUM('POA — Monthly financial forecas'!AH42,'POA — Monthly financial forecas'!AH43,'POA — Monthly financial forecas'!AH44,'POA — Monthly financial forecas'!AH45,'POA — Monthly financial forecas'!AH46)</f>
        <v>190000</v>
      </c>
      <c r="AI41" s="19">
        <f>SUM('POA — Monthly financial forecas'!AI42,'POA — Monthly financial forecas'!AI43,'POA — Monthly financial forecas'!AI44,'POA — Monthly financial forecas'!AI45,'POA — Monthly financial forecas'!AI46)</f>
        <v>195000</v>
      </c>
      <c r="AJ41" s="19">
        <f>SUM('POA — Monthly financial forecas'!AJ42,'POA — Monthly financial forecas'!AJ43,'POA — Monthly financial forecas'!AJ44,'POA — Monthly financial forecas'!AJ45,'POA — Monthly financial forecas'!AJ46)</f>
        <v>200000</v>
      </c>
      <c r="AK41" s="19">
        <f>SUM('POA — Monthly financial forecas'!AK42,'POA — Monthly financial forecas'!AK43,'POA — Monthly financial forecas'!AK44,'POA — Monthly financial forecas'!AK45,'POA — Monthly financial forecas'!AK46)</f>
        <v>205000</v>
      </c>
    </row>
    <row r="42" outlineLevel="1">
      <c r="A42" t="inlineStr" s="18">
        <is>
          <t xml:space="preserve">General and administrative</t>
        </is>
      </c>
      <c r="B42" s="16">
        <f>'POA — Monthly financial forecas'!B40*'Model inputs'!AM48</f>
        <v>604.1666666666666</v>
      </c>
      <c r="C42" s="16">
        <f>'POA — Monthly financial forecas'!C40*'Model inputs'!AM48</f>
        <v>708.3333333333334</v>
      </c>
      <c r="D42" s="16">
        <f>'POA — Monthly financial forecas'!D40*'Model inputs'!AM48</f>
        <v>812.5</v>
      </c>
      <c r="E42" s="16">
        <f>'POA — Monthly financial forecas'!E40*'Model inputs'!AM48</f>
        <v>916.6666666666666</v>
      </c>
      <c r="F42" s="16">
        <f>'POA — Monthly financial forecas'!F40*'Model inputs'!AM48</f>
        <v>1020.8333333333333</v>
      </c>
      <c r="G42" s="16">
        <f>'POA — Monthly financial forecas'!G40*'Model inputs'!AM48</f>
        <v>1125</v>
      </c>
      <c r="H42" s="16">
        <f>'POA — Monthly financial forecas'!H40*'Model inputs'!AM48</f>
        <v>1335.8333333333333</v>
      </c>
      <c r="I42" s="16">
        <f>'POA — Monthly financial forecas'!I40*'Model inputs'!AM48</f>
        <v>1546.6666666666667</v>
      </c>
      <c r="J42" s="16">
        <f>'POA — Monthly financial forecas'!J40*'Model inputs'!AM48</f>
        <v>1757.5</v>
      </c>
      <c r="K42" s="16">
        <f>'POA — Monthly financial forecas'!K40*'Model inputs'!AM48</f>
        <v>1968.3333333333333</v>
      </c>
      <c r="L42" s="16">
        <f>'POA — Monthly financial forecas'!L40*'Model inputs'!AM48</f>
        <v>2179.1666666666665</v>
      </c>
      <c r="M42" s="16">
        <f>'POA — Monthly financial forecas'!M40*'Model inputs'!AM48</f>
        <v>2390</v>
      </c>
      <c r="N42" s="16">
        <f>'POA — Monthly financial forecas'!N40*'Model inputs'!AM48</f>
        <v>2810</v>
      </c>
      <c r="O42" s="16">
        <f>'POA — Monthly financial forecas'!O40*'Model inputs'!AM48</f>
        <v>3230</v>
      </c>
      <c r="P42" s="16">
        <f>'POA — Monthly financial forecas'!P40*'Model inputs'!AM48</f>
        <v>3650</v>
      </c>
      <c r="Q42" s="16">
        <f>'POA — Monthly financial forecas'!Q40*'Model inputs'!AM48</f>
        <v>4070</v>
      </c>
      <c r="R42" s="16">
        <f>'POA — Monthly financial forecas'!R40*'Model inputs'!AM48</f>
        <v>4490</v>
      </c>
      <c r="S42" s="16">
        <f>'POA — Monthly financial forecas'!S40*'Model inputs'!AM48</f>
        <v>4910</v>
      </c>
      <c r="T42" s="16">
        <f>'POA — Monthly financial forecas'!T40*'Model inputs'!AM48</f>
        <v>5258.333333333334</v>
      </c>
      <c r="U42" s="16">
        <f>'POA — Monthly financial forecas'!U40*'Model inputs'!AM48</f>
        <v>5606.666666666667</v>
      </c>
      <c r="V42" s="16">
        <f>'POA — Monthly financial forecas'!V40*'Model inputs'!AM48</f>
        <v>5955</v>
      </c>
      <c r="W42" s="16">
        <f>'POA — Monthly financial forecas'!W40*'Model inputs'!AM48</f>
        <v>6303.333333333333</v>
      </c>
      <c r="X42" s="16">
        <f>'POA — Monthly financial forecas'!X40*'Model inputs'!AM48</f>
        <v>6651.666666666666</v>
      </c>
      <c r="Y42" s="16">
        <f>'POA — Monthly financial forecas'!Y40*'Model inputs'!AM48</f>
        <v>7000</v>
      </c>
      <c r="Z42" s="16">
        <f>'POA — Monthly financial forecas'!Z40*'Model inputs'!AM48</f>
        <v>7291.666666666668</v>
      </c>
      <c r="AA42" s="16">
        <f>'POA — Monthly financial forecas'!AA40*'Model inputs'!AM48</f>
        <v>7583.333333333333</v>
      </c>
      <c r="AB42" s="16">
        <f>'POA — Monthly financial forecas'!AB40*'Model inputs'!AM48</f>
        <v>7875</v>
      </c>
      <c r="AC42" s="16">
        <f>'POA — Monthly financial forecas'!AC40*'Model inputs'!AM48</f>
        <v>8166.666666666668</v>
      </c>
      <c r="AD42" s="16">
        <f>'POA — Monthly financial forecas'!AD40*'Model inputs'!AM48</f>
        <v>8458.333333333334</v>
      </c>
      <c r="AE42" s="16">
        <f>'POA — Monthly financial forecas'!AE40*'Model inputs'!AM48</f>
        <v>8750</v>
      </c>
      <c r="AF42" s="16">
        <f>'POA — Monthly financial forecas'!AF40*'Model inputs'!AM48</f>
        <v>9000</v>
      </c>
      <c r="AG42" s="16">
        <f>'POA — Monthly financial forecas'!AG40*'Model inputs'!AM48</f>
        <v>9250</v>
      </c>
      <c r="AH42" s="16">
        <f>'POA — Monthly financial forecas'!AH40*'Model inputs'!AM48</f>
        <v>9500</v>
      </c>
      <c r="AI42" s="16">
        <f>'POA — Monthly financial forecas'!AI40*'Model inputs'!AM48</f>
        <v>9750</v>
      </c>
      <c r="AJ42" s="16">
        <f>'POA — Monthly financial forecas'!AJ40*'Model inputs'!AM48</f>
        <v>10000</v>
      </c>
      <c r="AK42" s="16">
        <f>'POA — Monthly financial forecas'!AK40*'Model inputs'!AM48</f>
        <v>10250</v>
      </c>
    </row>
    <row r="43" outlineLevel="1">
      <c r="A43" t="inlineStr" s="18">
        <is>
          <t xml:space="preserve">Legal security and insurance</t>
        </is>
      </c>
      <c r="B43" s="16">
        <f>'POA — Monthly financial forecas'!B40*'Model inputs'!AM49</f>
        <v>1208.3333333333333</v>
      </c>
      <c r="C43" s="16">
        <f>'POA — Monthly financial forecas'!C40*'Model inputs'!AM49</f>
        <v>1416.6666666666667</v>
      </c>
      <c r="D43" s="16">
        <f>'POA — Monthly financial forecas'!D40*'Model inputs'!AM49</f>
        <v>1625</v>
      </c>
      <c r="E43" s="16">
        <f>'POA — Monthly financial forecas'!E40*'Model inputs'!AM49</f>
        <v>1833.3333333333333</v>
      </c>
      <c r="F43" s="16">
        <f>'POA — Monthly financial forecas'!F40*'Model inputs'!AM49</f>
        <v>2041.6666666666665</v>
      </c>
      <c r="G43" s="16">
        <f>'POA — Monthly financial forecas'!G40*'Model inputs'!AM49</f>
        <v>2250</v>
      </c>
      <c r="H43" s="16">
        <f>'POA — Monthly financial forecas'!H40*'Model inputs'!AM49</f>
        <v>2671.6666666666665</v>
      </c>
      <c r="I43" s="16">
        <f>'POA — Monthly financial forecas'!I40*'Model inputs'!AM49</f>
        <v>3093.3333333333335</v>
      </c>
      <c r="J43" s="16">
        <f>'POA — Monthly financial forecas'!J40*'Model inputs'!AM49</f>
        <v>3515</v>
      </c>
      <c r="K43" s="16">
        <f>'POA — Monthly financial forecas'!K40*'Model inputs'!AM49</f>
        <v>3936.6666666666665</v>
      </c>
      <c r="L43" s="16">
        <f>'POA — Monthly financial forecas'!L40*'Model inputs'!AM49</f>
        <v>4358.333333333333</v>
      </c>
      <c r="M43" s="16">
        <f>'POA — Monthly financial forecas'!M40*'Model inputs'!AM49</f>
        <v>4780</v>
      </c>
      <c r="N43" s="16">
        <f>'POA — Monthly financial forecas'!N40*'Model inputs'!AM49</f>
        <v>5620</v>
      </c>
      <c r="O43" s="16">
        <f>'POA — Monthly financial forecas'!O40*'Model inputs'!AM49</f>
        <v>6460</v>
      </c>
      <c r="P43" s="16">
        <f>'POA — Monthly financial forecas'!P40*'Model inputs'!AM49</f>
        <v>7300</v>
      </c>
      <c r="Q43" s="16">
        <f>'POA — Monthly financial forecas'!Q40*'Model inputs'!AM49</f>
        <v>8140</v>
      </c>
      <c r="R43" s="16">
        <f>'POA — Monthly financial forecas'!R40*'Model inputs'!AM49</f>
        <v>8980</v>
      </c>
      <c r="S43" s="16">
        <f>'POA — Monthly financial forecas'!S40*'Model inputs'!AM49</f>
        <v>9820</v>
      </c>
      <c r="T43" s="16">
        <f>'POA — Monthly financial forecas'!T40*'Model inputs'!AM49</f>
        <v>10516.666666666668</v>
      </c>
      <c r="U43" s="16">
        <f>'POA — Monthly financial forecas'!U40*'Model inputs'!AM49</f>
        <v>11213.333333333334</v>
      </c>
      <c r="V43" s="16">
        <f>'POA — Monthly financial forecas'!V40*'Model inputs'!AM49</f>
        <v>11910</v>
      </c>
      <c r="W43" s="16">
        <f>'POA — Monthly financial forecas'!W40*'Model inputs'!AM49</f>
        <v>12606.666666666666</v>
      </c>
      <c r="X43" s="16">
        <f>'POA — Monthly financial forecas'!X40*'Model inputs'!AM49</f>
        <v>13303.333333333332</v>
      </c>
      <c r="Y43" s="16">
        <f>'POA — Monthly financial forecas'!Y40*'Model inputs'!AM49</f>
        <v>14000</v>
      </c>
      <c r="Z43" s="16">
        <f>'POA — Monthly financial forecas'!Z40*'Model inputs'!AM49</f>
        <v>14583.333333333336</v>
      </c>
      <c r="AA43" s="16">
        <f>'POA — Monthly financial forecas'!AA40*'Model inputs'!AM49</f>
        <v>15166.666666666666</v>
      </c>
      <c r="AB43" s="16">
        <f>'POA — Monthly financial forecas'!AB40*'Model inputs'!AM49</f>
        <v>15750</v>
      </c>
      <c r="AC43" s="16">
        <f>'POA — Monthly financial forecas'!AC40*'Model inputs'!AM49</f>
        <v>16333.333333333336</v>
      </c>
      <c r="AD43" s="16">
        <f>'POA — Monthly financial forecas'!AD40*'Model inputs'!AM49</f>
        <v>16916.666666666668</v>
      </c>
      <c r="AE43" s="16">
        <f>'POA — Monthly financial forecas'!AE40*'Model inputs'!AM49</f>
        <v>17500</v>
      </c>
      <c r="AF43" s="16">
        <f>'POA — Monthly financial forecas'!AF40*'Model inputs'!AM49</f>
        <v>18000</v>
      </c>
      <c r="AG43" s="16">
        <f>'POA — Monthly financial forecas'!AG40*'Model inputs'!AM49</f>
        <v>18500</v>
      </c>
      <c r="AH43" s="16">
        <f>'POA — Monthly financial forecas'!AH40*'Model inputs'!AM49</f>
        <v>19000</v>
      </c>
      <c r="AI43" s="16">
        <f>'POA — Monthly financial forecas'!AI40*'Model inputs'!AM49</f>
        <v>19500</v>
      </c>
      <c r="AJ43" s="16">
        <f>'POA — Monthly financial forecas'!AJ40*'Model inputs'!AM49</f>
        <v>20000</v>
      </c>
      <c r="AK43" s="16">
        <f>'POA — Monthly financial forecas'!AK40*'Model inputs'!AM49</f>
        <v>20500</v>
      </c>
    </row>
    <row r="44" outlineLevel="1">
      <c r="A44" t="inlineStr" s="18">
        <is>
          <t xml:space="preserve">Payroll and benefits</t>
        </is>
      </c>
      <c r="B44" s="16">
        <f>'POA — Monthly financial forecas'!B40*'Model inputs'!AM50</f>
        <v>7854.166666666666</v>
      </c>
      <c r="C44" s="16">
        <f>'POA — Monthly financial forecas'!C40*'Model inputs'!AM50</f>
        <v>9208.333333333334</v>
      </c>
      <c r="D44" s="16">
        <f>'POA — Monthly financial forecas'!D40*'Model inputs'!AM50</f>
        <v>10562.5</v>
      </c>
      <c r="E44" s="16">
        <f>'POA — Monthly financial forecas'!E40*'Model inputs'!AM50</f>
        <v>11916.666666666666</v>
      </c>
      <c r="F44" s="16">
        <f>'POA — Monthly financial forecas'!F40*'Model inputs'!AM50</f>
        <v>13270.833333333332</v>
      </c>
      <c r="G44" s="16">
        <f>'POA — Monthly financial forecas'!G40*'Model inputs'!AM50</f>
        <v>14625</v>
      </c>
      <c r="H44" s="16">
        <f>'POA — Monthly financial forecas'!H40*'Model inputs'!AM50</f>
        <v>17365.833333333332</v>
      </c>
      <c r="I44" s="16">
        <f>'POA — Monthly financial forecas'!I40*'Model inputs'!AM50</f>
        <v>20106.666666666668</v>
      </c>
      <c r="J44" s="16">
        <f>'POA — Monthly financial forecas'!J40*'Model inputs'!AM50</f>
        <v>22847.5</v>
      </c>
      <c r="K44" s="16">
        <f>'POA — Monthly financial forecas'!K40*'Model inputs'!AM50</f>
        <v>25588.333333333332</v>
      </c>
      <c r="L44" s="16">
        <f>'POA — Monthly financial forecas'!L40*'Model inputs'!AM50</f>
        <v>28329.166666666664</v>
      </c>
      <c r="M44" s="16">
        <f>'POA — Monthly financial forecas'!M40*'Model inputs'!AM50</f>
        <v>31070</v>
      </c>
      <c r="N44" s="16">
        <f>'POA — Monthly financial forecas'!N40*'Model inputs'!AM50</f>
        <v>36530</v>
      </c>
      <c r="O44" s="16">
        <f>'POA — Monthly financial forecas'!O40*'Model inputs'!AM50</f>
        <v>41990</v>
      </c>
      <c r="P44" s="16">
        <f>'POA — Monthly financial forecas'!P40*'Model inputs'!AM50</f>
        <v>47450</v>
      </c>
      <c r="Q44" s="16">
        <f>'POA — Monthly financial forecas'!Q40*'Model inputs'!AM50</f>
        <v>52910</v>
      </c>
      <c r="R44" s="16">
        <f>'POA — Monthly financial forecas'!R40*'Model inputs'!AM50</f>
        <v>58370</v>
      </c>
      <c r="S44" s="16">
        <f>'POA — Monthly financial forecas'!S40*'Model inputs'!AM50</f>
        <v>63830</v>
      </c>
      <c r="T44" s="16">
        <f>'POA — Monthly financial forecas'!T40*'Model inputs'!AM50</f>
        <v>68358.33333333334</v>
      </c>
      <c r="U44" s="16">
        <f>'POA — Monthly financial forecas'!U40*'Model inputs'!AM50</f>
        <v>72886.66666666667</v>
      </c>
      <c r="V44" s="16">
        <f>'POA — Monthly financial forecas'!V40*'Model inputs'!AM50</f>
        <v>77415</v>
      </c>
      <c r="W44" s="16">
        <f>'POA — Monthly financial forecas'!W40*'Model inputs'!AM50</f>
        <v>81943.33333333333</v>
      </c>
      <c r="X44" s="16">
        <f>'POA — Monthly financial forecas'!X40*'Model inputs'!AM50</f>
        <v>86471.66666666666</v>
      </c>
      <c r="Y44" s="16">
        <f>'POA — Monthly financial forecas'!Y40*'Model inputs'!AM50</f>
        <v>91000</v>
      </c>
      <c r="Z44" s="16">
        <f>'POA — Monthly financial forecas'!Z40*'Model inputs'!AM50</f>
        <v>94791.66666666667</v>
      </c>
      <c r="AA44" s="16">
        <f>'POA — Monthly financial forecas'!AA40*'Model inputs'!AM50</f>
        <v>98583.33333333333</v>
      </c>
      <c r="AB44" s="16">
        <f>'POA — Monthly financial forecas'!AB40*'Model inputs'!AM50</f>
        <v>102375</v>
      </c>
      <c r="AC44" s="16">
        <f>'POA — Monthly financial forecas'!AC40*'Model inputs'!AM50</f>
        <v>106166.66666666667</v>
      </c>
      <c r="AD44" s="16">
        <f>'POA — Monthly financial forecas'!AD40*'Model inputs'!AM50</f>
        <v>109958.33333333333</v>
      </c>
      <c r="AE44" s="16">
        <f>'POA — Monthly financial forecas'!AE40*'Model inputs'!AM50</f>
        <v>113750</v>
      </c>
      <c r="AF44" s="16">
        <f>'POA — Monthly financial forecas'!AF40*'Model inputs'!AM50</f>
        <v>117000</v>
      </c>
      <c r="AG44" s="16">
        <f>'POA — Monthly financial forecas'!AG40*'Model inputs'!AM50</f>
        <v>120250</v>
      </c>
      <c r="AH44" s="16">
        <f>'POA — Monthly financial forecas'!AH40*'Model inputs'!AM50</f>
        <v>123500</v>
      </c>
      <c r="AI44" s="16">
        <f>'POA — Monthly financial forecas'!AI40*'Model inputs'!AM50</f>
        <v>126750</v>
      </c>
      <c r="AJ44" s="16">
        <f>'POA — Monthly financial forecas'!AJ40*'Model inputs'!AM50</f>
        <v>130000</v>
      </c>
      <c r="AK44" s="16">
        <f>'POA — Monthly financial forecas'!AK40*'Model inputs'!AM50</f>
        <v>133250</v>
      </c>
    </row>
    <row r="45" outlineLevel="1">
      <c r="A45" t="inlineStr" s="18">
        <is>
          <t xml:space="preserve">Product and infrastructure overhead</t>
        </is>
      </c>
      <c r="B45" s="16">
        <f>'POA — Monthly financial forecas'!B40*'Model inputs'!AM51</f>
        <v>1449.9999999999998</v>
      </c>
      <c r="C45" s="16">
        <f>'POA — Monthly financial forecas'!C40*'Model inputs'!AM51</f>
        <v>1699.9999999999998</v>
      </c>
      <c r="D45" s="16">
        <f>'POA — Monthly financial forecas'!D40*'Model inputs'!AM51</f>
        <v>1950</v>
      </c>
      <c r="E45" s="16">
        <f>'POA — Monthly financial forecas'!E40*'Model inputs'!AM51</f>
        <v>2200</v>
      </c>
      <c r="F45" s="16">
        <f>'POA — Monthly financial forecas'!F40*'Model inputs'!AM51</f>
        <v>2449.9999999999995</v>
      </c>
      <c r="G45" s="16">
        <f>'POA — Monthly financial forecas'!G40*'Model inputs'!AM51</f>
        <v>2700</v>
      </c>
      <c r="H45" s="16">
        <f>'POA — Monthly financial forecas'!H40*'Model inputs'!AM51</f>
        <v>3205.9999999999995</v>
      </c>
      <c r="I45" s="16">
        <f>'POA — Monthly financial forecas'!I40*'Model inputs'!AM51</f>
        <v>3711.9999999999995</v>
      </c>
      <c r="J45" s="16">
        <f>'POA — Monthly financial forecas'!J40*'Model inputs'!AM51</f>
        <v>4218</v>
      </c>
      <c r="K45" s="16">
        <f>'POA — Monthly financial forecas'!K40*'Model inputs'!AM51</f>
        <v>4723.999999999999</v>
      </c>
      <c r="L45" s="16">
        <f>'POA — Monthly financial forecas'!L40*'Model inputs'!AM51</f>
        <v>5229.999999999999</v>
      </c>
      <c r="M45" s="16">
        <f>'POA — Monthly financial forecas'!M40*'Model inputs'!AM51</f>
        <v>5736</v>
      </c>
      <c r="N45" s="16">
        <f>'POA — Monthly financial forecas'!N40*'Model inputs'!AM51</f>
        <v>6744</v>
      </c>
      <c r="O45" s="16">
        <f>'POA — Monthly financial forecas'!O40*'Model inputs'!AM51</f>
        <v>7752</v>
      </c>
      <c r="P45" s="16">
        <f>'POA — Monthly financial forecas'!P40*'Model inputs'!AM51</f>
        <v>8760</v>
      </c>
      <c r="Q45" s="16">
        <f>'POA — Monthly financial forecas'!Q40*'Model inputs'!AM51</f>
        <v>9768</v>
      </c>
      <c r="R45" s="16">
        <f>'POA — Monthly financial forecas'!R40*'Model inputs'!AM51</f>
        <v>10776</v>
      </c>
      <c r="S45" s="16">
        <f>'POA — Monthly financial forecas'!S40*'Model inputs'!AM51</f>
        <v>11784</v>
      </c>
      <c r="T45" s="16">
        <f>'POA — Monthly financial forecas'!T40*'Model inputs'!AM51</f>
        <v>12620</v>
      </c>
      <c r="U45" s="16">
        <f>'POA — Monthly financial forecas'!U40*'Model inputs'!AM51</f>
        <v>13455.999999999998</v>
      </c>
      <c r="V45" s="16">
        <f>'POA — Monthly financial forecas'!V40*'Model inputs'!AM51</f>
        <v>14292</v>
      </c>
      <c r="W45" s="16">
        <f>'POA — Monthly financial forecas'!W40*'Model inputs'!AM51</f>
        <v>15127.999999999998</v>
      </c>
      <c r="X45" s="16">
        <f>'POA — Monthly financial forecas'!X40*'Model inputs'!AM51</f>
        <v>15963.999999999996</v>
      </c>
      <c r="Y45" s="16">
        <f>'POA — Monthly financial forecas'!Y40*'Model inputs'!AM51</f>
        <v>16800</v>
      </c>
      <c r="Z45" s="16">
        <f>'POA — Monthly financial forecas'!Z40*'Model inputs'!AM51</f>
        <v>17500</v>
      </c>
      <c r="AA45" s="16">
        <f>'POA — Monthly financial forecas'!AA40*'Model inputs'!AM51</f>
        <v>18199.999999999996</v>
      </c>
      <c r="AB45" s="16">
        <f>'POA — Monthly financial forecas'!AB40*'Model inputs'!AM51</f>
        <v>18900</v>
      </c>
      <c r="AC45" s="16">
        <f>'POA — Monthly financial forecas'!AC40*'Model inputs'!AM51</f>
        <v>19600</v>
      </c>
      <c r="AD45" s="16">
        <f>'POA — Monthly financial forecas'!AD40*'Model inputs'!AM51</f>
        <v>20299.999999999996</v>
      </c>
      <c r="AE45" s="16">
        <f>'POA — Monthly financial forecas'!AE40*'Model inputs'!AM51</f>
        <v>21000</v>
      </c>
      <c r="AF45" s="16">
        <f>'POA — Monthly financial forecas'!AF40*'Model inputs'!AM51</f>
        <v>21600</v>
      </c>
      <c r="AG45" s="16">
        <f>'POA — Monthly financial forecas'!AG40*'Model inputs'!AM51</f>
        <v>22200</v>
      </c>
      <c r="AH45" s="16">
        <f>'POA — Monthly financial forecas'!AH40*'Model inputs'!AM51</f>
        <v>22800</v>
      </c>
      <c r="AI45" s="16">
        <f>'POA — Monthly financial forecas'!AI40*'Model inputs'!AM51</f>
        <v>23400</v>
      </c>
      <c r="AJ45" s="16">
        <f>'POA — Monthly financial forecas'!AJ40*'Model inputs'!AM51</f>
        <v>24000</v>
      </c>
      <c r="AK45" s="16">
        <f>'POA — Monthly financial forecas'!AK40*'Model inputs'!AM51</f>
        <v>24600</v>
      </c>
    </row>
    <row r="46" outlineLevel="1">
      <c r="A46" t="inlineStr" s="18">
        <is>
          <t xml:space="preserve">Sales and marketing overhead</t>
        </is>
      </c>
      <c r="B46" s="16">
        <f>'POA — Monthly financial forecas'!B40*'Model inputs'!AM52</f>
        <v>966.6666666666666</v>
      </c>
      <c r="C46" s="16">
        <f>'POA — Monthly financial forecas'!C40*'Model inputs'!AM52</f>
        <v>1133.3333333333333</v>
      </c>
      <c r="D46" s="16">
        <f>'POA — Monthly financial forecas'!D40*'Model inputs'!AM52</f>
        <v>1300</v>
      </c>
      <c r="E46" s="16">
        <f>'POA — Monthly financial forecas'!E40*'Model inputs'!AM52</f>
        <v>1466.6666666666665</v>
      </c>
      <c r="F46" s="16">
        <f>'POA — Monthly financial forecas'!F40*'Model inputs'!AM52</f>
        <v>1633.3333333333333</v>
      </c>
      <c r="G46" s="16">
        <f>'POA — Monthly financial forecas'!G40*'Model inputs'!AM52</f>
        <v>1800</v>
      </c>
      <c r="H46" s="16">
        <f>'POA — Monthly financial forecas'!H40*'Model inputs'!AM52</f>
        <v>2137.333333333333</v>
      </c>
      <c r="I46" s="16">
        <f>'POA — Monthly financial forecas'!I40*'Model inputs'!AM52</f>
        <v>2474.6666666666665</v>
      </c>
      <c r="J46" s="16">
        <f>'POA — Monthly financial forecas'!J40*'Model inputs'!AM52</f>
        <v>2812</v>
      </c>
      <c r="K46" s="16">
        <f>'POA — Monthly financial forecas'!K40*'Model inputs'!AM52</f>
        <v>3149.333333333333</v>
      </c>
      <c r="L46" s="16">
        <f>'POA — Monthly financial forecas'!L40*'Model inputs'!AM52</f>
        <v>3486.6666666666665</v>
      </c>
      <c r="M46" s="16">
        <f>'POA — Monthly financial forecas'!M40*'Model inputs'!AM52</f>
        <v>3824</v>
      </c>
      <c r="N46" s="16">
        <f>'POA — Monthly financial forecas'!N40*'Model inputs'!AM52</f>
        <v>4496</v>
      </c>
      <c r="O46" s="16">
        <f>'POA — Monthly financial forecas'!O40*'Model inputs'!AM52</f>
        <v>5168</v>
      </c>
      <c r="P46" s="16">
        <f>'POA — Monthly financial forecas'!P40*'Model inputs'!AM52</f>
        <v>5840</v>
      </c>
      <c r="Q46" s="16">
        <f>'POA — Monthly financial forecas'!Q40*'Model inputs'!AM52</f>
        <v>6512</v>
      </c>
      <c r="R46" s="16">
        <f>'POA — Monthly financial forecas'!R40*'Model inputs'!AM52</f>
        <v>7184</v>
      </c>
      <c r="S46" s="16">
        <f>'POA — Monthly financial forecas'!S40*'Model inputs'!AM52</f>
        <v>7856</v>
      </c>
      <c r="T46" s="16">
        <f>'POA — Monthly financial forecas'!T40*'Model inputs'!AM52</f>
        <v>8413.333333333334</v>
      </c>
      <c r="U46" s="16">
        <f>'POA — Monthly financial forecas'!U40*'Model inputs'!AM52</f>
        <v>8970.666666666666</v>
      </c>
      <c r="V46" s="16">
        <f>'POA — Monthly financial forecas'!V40*'Model inputs'!AM52</f>
        <v>9528</v>
      </c>
      <c r="W46" s="16">
        <f>'POA — Monthly financial forecas'!W40*'Model inputs'!AM52</f>
        <v>10085.333333333332</v>
      </c>
      <c r="X46" s="16">
        <f>'POA — Monthly financial forecas'!X40*'Model inputs'!AM52</f>
        <v>10642.666666666666</v>
      </c>
      <c r="Y46" s="16">
        <f>'POA — Monthly financial forecas'!Y40*'Model inputs'!AM52</f>
        <v>11200</v>
      </c>
      <c r="Z46" s="16">
        <f>'POA — Monthly financial forecas'!Z40*'Model inputs'!AM52</f>
        <v>11666.666666666668</v>
      </c>
      <c r="AA46" s="16">
        <f>'POA — Monthly financial forecas'!AA40*'Model inputs'!AM52</f>
        <v>12133.333333333332</v>
      </c>
      <c r="AB46" s="16">
        <f>'POA — Monthly financial forecas'!AB40*'Model inputs'!AM52</f>
        <v>12600</v>
      </c>
      <c r="AC46" s="16">
        <f>'POA — Monthly financial forecas'!AC40*'Model inputs'!AM52</f>
        <v>13066.666666666668</v>
      </c>
      <c r="AD46" s="16">
        <f>'POA — Monthly financial forecas'!AD40*'Model inputs'!AM52</f>
        <v>13533.333333333332</v>
      </c>
      <c r="AE46" s="16">
        <f>'POA — Monthly financial forecas'!AE40*'Model inputs'!AM52</f>
        <v>14000</v>
      </c>
      <c r="AF46" s="16">
        <f>'POA — Monthly financial forecas'!AF40*'Model inputs'!AM52</f>
        <v>14400</v>
      </c>
      <c r="AG46" s="16">
        <f>'POA — Monthly financial forecas'!AG40*'Model inputs'!AM52</f>
        <v>14800</v>
      </c>
      <c r="AH46" s="16">
        <f>'POA — Monthly financial forecas'!AH40*'Model inputs'!AM52</f>
        <v>15200</v>
      </c>
      <c r="AI46" s="16">
        <f>'POA — Monthly financial forecas'!AI40*'Model inputs'!AM52</f>
        <v>15600</v>
      </c>
      <c r="AJ46" s="16">
        <f>'POA — Monthly financial forecas'!AJ40*'Model inputs'!AM52</f>
        <v>16000</v>
      </c>
      <c r="AK46" s="16">
        <f>'POA — Monthly financial forecas'!AK40*'Model inputs'!AM52</f>
        <v>16400</v>
      </c>
    </row>
    <row r="47">
      <c r="A47" t="inlineStr" s="9">
        <is>
          <t xml:space="preserve">Customer acquisition spend</t>
        </is>
      </c>
      <c r="B47" s="16">
        <f>'POA — Monthly financial forecas'!B11*'Model inputs'!AM11*'Model inputs'!AM10</f>
        <v>9200</v>
      </c>
      <c r="C47" s="16">
        <f>'POA — Monthly financial forecas'!C11*'Model inputs'!AM11*'Model inputs'!AM10</f>
        <v>9419.047619047618</v>
      </c>
      <c r="D47" s="16">
        <f>'POA — Monthly financial forecas'!D11*'Model inputs'!AM11*'Model inputs'!AM10</f>
        <v>9638.095238095239</v>
      </c>
      <c r="E47" s="16">
        <f>'POA — Monthly financial forecas'!E11*'Model inputs'!AM11*'Model inputs'!AM10</f>
        <v>9857.142857142857</v>
      </c>
      <c r="F47" s="16">
        <f>'POA — Monthly financial forecas'!F11*'Model inputs'!AM11*'Model inputs'!AM10</f>
        <v>10076.190476190477</v>
      </c>
      <c r="G47" s="16">
        <f>'POA — Monthly financial forecas'!G11*'Model inputs'!AM11*'Model inputs'!AM10</f>
        <v>10295.238095238095</v>
      </c>
      <c r="H47" s="16">
        <f>'POA — Monthly financial forecas'!H11*'Model inputs'!AM11*'Model inputs'!AM10</f>
        <v>25847.619047619042</v>
      </c>
      <c r="I47" s="16">
        <f>'POA — Monthly financial forecas'!I11*'Model inputs'!AM11*'Model inputs'!AM10</f>
        <v>26431.746031746028</v>
      </c>
      <c r="J47" s="16">
        <f>'POA — Monthly financial forecas'!J11*'Model inputs'!AM11*'Model inputs'!AM10</f>
        <v>27015.873015873025</v>
      </c>
      <c r="K47" s="16">
        <f>'POA — Monthly financial forecas'!K11*'Model inputs'!AM11*'Model inputs'!AM10</f>
        <v>27599.999999999978</v>
      </c>
      <c r="L47" s="16">
        <f>'POA — Monthly financial forecas'!L11*'Model inputs'!AM11*'Model inputs'!AM10</f>
        <v>28184.126984126993</v>
      </c>
      <c r="M47" s="16">
        <f>'POA — Monthly financial forecas'!M11*'Model inputs'!AM11*'Model inputs'!AM10</f>
        <v>28768.25396825398</v>
      </c>
      <c r="N47" s="16">
        <f>'POA — Monthly financial forecas'!N11*'Model inputs'!AM11*'Model inputs'!AM10</f>
        <v>63085.714285714275</v>
      </c>
      <c r="O47" s="16">
        <f>'POA — Monthly financial forecas'!O11*'Model inputs'!AM11*'Model inputs'!AM10</f>
        <v>64473.015873015866</v>
      </c>
      <c r="P47" s="16">
        <f>'POA — Monthly financial forecas'!P11*'Model inputs'!AM11*'Model inputs'!AM10</f>
        <v>65860.31746031748</v>
      </c>
      <c r="Q47" s="16">
        <f>'POA — Monthly financial forecas'!Q11*'Model inputs'!AM11*'Model inputs'!AM10</f>
        <v>67247.61904761901</v>
      </c>
      <c r="R47" s="16">
        <f>'POA — Monthly financial forecas'!R11*'Model inputs'!AM11*'Model inputs'!AM10</f>
        <v>68634.92063492065</v>
      </c>
      <c r="S47" s="16">
        <f>'POA — Monthly financial forecas'!S11*'Model inputs'!AM11*'Model inputs'!AM10</f>
        <v>70022.22222222225</v>
      </c>
      <c r="T47" s="16">
        <f>'POA — Monthly financial forecas'!T11*'Model inputs'!AM11*'Model inputs'!AM10</f>
        <v>74476.19047619052</v>
      </c>
      <c r="U47" s="16">
        <f>'POA — Monthly financial forecas'!U11*'Model inputs'!AM11*'Model inputs'!AM10</f>
        <v>75936.50793650784</v>
      </c>
      <c r="V47" s="16">
        <f>'POA — Monthly financial forecas'!V11*'Model inputs'!AM11*'Model inputs'!AM10</f>
        <v>77396.82539682543</v>
      </c>
      <c r="W47" s="16">
        <f>'POA — Monthly financial forecas'!W11*'Model inputs'!AM11*'Model inputs'!AM10</f>
        <v>78857.14285714277</v>
      </c>
      <c r="X47" s="16">
        <f>'POA — Monthly financial forecas'!X11*'Model inputs'!AM11*'Model inputs'!AM10</f>
        <v>80317.46031746035</v>
      </c>
      <c r="Y47" s="16">
        <f>'POA — Monthly financial forecas'!Y11*'Model inputs'!AM11*'Model inputs'!AM10</f>
        <v>81777.77777777781</v>
      </c>
      <c r="Z47" s="16">
        <f>'POA — Monthly financial forecas'!Z11*'Model inputs'!AM11*'Model inputs'!AM10</f>
        <v>75571.42857142854</v>
      </c>
      <c r="AA47" s="16">
        <f>'POA — Monthly financial forecas'!AA11*'Model inputs'!AM11*'Model inputs'!AM10</f>
        <v>76849.20634920643</v>
      </c>
      <c r="AB47" s="16">
        <f>'POA — Monthly financial forecas'!AB11*'Model inputs'!AM11*'Model inputs'!AM10</f>
        <v>78126.98412698408</v>
      </c>
      <c r="AC47" s="16">
        <f>'POA — Monthly financial forecas'!AC11*'Model inputs'!AM11*'Model inputs'!AM10</f>
        <v>79404.76190476186</v>
      </c>
      <c r="AD47" s="16">
        <f>'POA — Monthly financial forecas'!AD11*'Model inputs'!AM11*'Model inputs'!AM10</f>
        <v>80682.53968253965</v>
      </c>
      <c r="AE47" s="16">
        <f>'POA — Monthly financial forecas'!AE11*'Model inputs'!AM11*'Model inputs'!AM10</f>
        <v>81960.31746031756</v>
      </c>
      <c r="AF47" s="16">
        <f>'POA — Monthly financial forecas'!AF11*'Model inputs'!AM11*'Model inputs'!AM10</f>
        <v>67904.7619047618</v>
      </c>
      <c r="AG47" s="16">
        <f>'POA — Monthly financial forecas'!AG11*'Model inputs'!AM11*'Model inputs'!AM10</f>
        <v>68817.46031746049</v>
      </c>
      <c r="AH47" s="16">
        <f>'POA — Monthly financial forecas'!AH11*'Model inputs'!AM11*'Model inputs'!AM10</f>
        <v>69730.15873015864</v>
      </c>
      <c r="AI47" s="16">
        <f>'POA — Monthly financial forecas'!AI11*'Model inputs'!AM11*'Model inputs'!AM10</f>
        <v>70642.85714285706</v>
      </c>
      <c r="AJ47" s="16">
        <f>'POA — Monthly financial forecas'!AJ11*'Model inputs'!AM11*'Model inputs'!AM10</f>
        <v>71555.55555555572</v>
      </c>
      <c r="AK47" s="16">
        <f>'POA — Monthly financial forecas'!AK11*'Model inputs'!AM11*'Model inputs'!AM10</f>
        <v>72468.25396825388</v>
      </c>
    </row>
    <row r="48">
      <c r="A48" t="inlineStr" s="9">
        <is>
          <t xml:space="preserve">Total operating expenses</t>
        </is>
      </c>
      <c r="B48" s="16">
        <f>'POA — Monthly financial forecas'!B41+'POA — Monthly financial forecas'!B47</f>
        <v>21283.333333333332</v>
      </c>
      <c r="C48" s="16">
        <f>'POA — Monthly financial forecas'!C41+'POA — Monthly financial forecas'!C47</f>
        <v>23585.714285714286</v>
      </c>
      <c r="D48" s="16">
        <f>'POA — Monthly financial forecas'!D41+'POA — Monthly financial forecas'!D47</f>
        <v>25888.095238095237</v>
      </c>
      <c r="E48" s="16">
        <f>'POA — Monthly financial forecas'!E41+'POA — Monthly financial forecas'!E47</f>
        <v>28190.47619047619</v>
      </c>
      <c r="F48" s="16">
        <f>'POA — Monthly financial forecas'!F41+'POA — Monthly financial forecas'!F47</f>
        <v>30492.85714285714</v>
      </c>
      <c r="G48" s="16">
        <f>'POA — Monthly financial forecas'!G41+'POA — Monthly financial forecas'!G47</f>
        <v>32795.23809523809</v>
      </c>
      <c r="H48" s="16">
        <f>'POA — Monthly financial forecas'!H41+'POA — Monthly financial forecas'!H47</f>
        <v>52564.28571428571</v>
      </c>
      <c r="I48" s="16">
        <f>'POA — Monthly financial forecas'!I41+'POA — Monthly financial forecas'!I47</f>
        <v>57365.079365079364</v>
      </c>
      <c r="J48" s="16">
        <f>'POA — Monthly financial forecas'!J41+'POA — Monthly financial forecas'!J47</f>
        <v>62165.873015873025</v>
      </c>
      <c r="K48" s="16">
        <f>'POA — Monthly financial forecas'!K41+'POA — Monthly financial forecas'!K47</f>
        <v>66966.66666666664</v>
      </c>
      <c r="L48" s="16">
        <f>'POA — Monthly financial forecas'!L41+'POA — Monthly financial forecas'!L47</f>
        <v>71767.46031746033</v>
      </c>
      <c r="M48" s="16">
        <f>'POA — Monthly financial forecas'!M41+'POA — Monthly financial forecas'!M47</f>
        <v>76568.25396825398</v>
      </c>
      <c r="N48" s="16">
        <f>'POA — Monthly financial forecas'!N41+'POA — Monthly financial forecas'!N47</f>
        <v>119285.71428571428</v>
      </c>
      <c r="O48" s="16">
        <f>'POA — Monthly financial forecas'!O41+'POA — Monthly financial forecas'!O47</f>
        <v>129073.01587301586</v>
      </c>
      <c r="P48" s="16">
        <f>'POA — Monthly financial forecas'!P41+'POA — Monthly financial forecas'!P47</f>
        <v>138860.31746031748</v>
      </c>
      <c r="Q48" s="16">
        <f>'POA — Monthly financial forecas'!Q41+'POA — Monthly financial forecas'!Q47</f>
        <v>148647.619047619</v>
      </c>
      <c r="R48" s="16">
        <f>'POA — Monthly financial forecas'!R41+'POA — Monthly financial forecas'!R47</f>
        <v>158434.92063492065</v>
      </c>
      <c r="S48" s="16">
        <f>'POA — Monthly financial forecas'!S41+'POA — Monthly financial forecas'!S47</f>
        <v>168222.22222222225</v>
      </c>
      <c r="T48" s="16">
        <f>'POA — Monthly financial forecas'!T41+'POA — Monthly financial forecas'!T47</f>
        <v>179642.8571428572</v>
      </c>
      <c r="U48" s="16">
        <f>'POA — Monthly financial forecas'!U41+'POA — Monthly financial forecas'!U47</f>
        <v>188069.84126984118</v>
      </c>
      <c r="V48" s="16">
        <f>'POA — Monthly financial forecas'!V41+'POA — Monthly financial forecas'!V47</f>
        <v>196496.82539682544</v>
      </c>
      <c r="W48" s="16">
        <f>'POA — Monthly financial forecas'!W41+'POA — Monthly financial forecas'!W47</f>
        <v>204923.8095238094</v>
      </c>
      <c r="X48" s="16">
        <f>'POA — Monthly financial forecas'!X41+'POA — Monthly financial forecas'!X47</f>
        <v>213350.79365079367</v>
      </c>
      <c r="Y48" s="16">
        <f>'POA — Monthly financial forecas'!Y41+'POA — Monthly financial forecas'!Y47</f>
        <v>221777.7777777778</v>
      </c>
      <c r="Z48" s="16">
        <f>'POA — Monthly financial forecas'!Z41+'POA — Monthly financial forecas'!Z47</f>
        <v>221404.7619047619</v>
      </c>
      <c r="AA48" s="16">
        <f>'POA — Monthly financial forecas'!AA41+'POA — Monthly financial forecas'!AA47</f>
        <v>228515.87301587308</v>
      </c>
      <c r="AB48" s="16">
        <f>'POA — Monthly financial forecas'!AB41+'POA — Monthly financial forecas'!AB47</f>
        <v>235626.98412698408</v>
      </c>
      <c r="AC48" s="16">
        <f>'POA — Monthly financial forecas'!AC41+'POA — Monthly financial forecas'!AC47</f>
        <v>242738.0952380952</v>
      </c>
      <c r="AD48" s="16">
        <f>'POA — Monthly financial forecas'!AD41+'POA — Monthly financial forecas'!AD47</f>
        <v>249849.2063492063</v>
      </c>
      <c r="AE48" s="16">
        <f>'POA — Monthly financial forecas'!AE41+'POA — Monthly financial forecas'!AE47</f>
        <v>256960.31746031757</v>
      </c>
      <c r="AF48" s="16">
        <f>'POA — Monthly financial forecas'!AF41+'POA — Monthly financial forecas'!AF47</f>
        <v>247904.7619047618</v>
      </c>
      <c r="AG48" s="16">
        <f>'POA — Monthly financial forecas'!AG41+'POA — Monthly financial forecas'!AG47</f>
        <v>253817.46031746047</v>
      </c>
      <c r="AH48" s="16">
        <f>'POA — Monthly financial forecas'!AH41+'POA — Monthly financial forecas'!AH47</f>
        <v>259730.15873015864</v>
      </c>
      <c r="AI48" s="16">
        <f>'POA — Monthly financial forecas'!AI41+'POA — Monthly financial forecas'!AI47</f>
        <v>265642.85714285704</v>
      </c>
      <c r="AJ48" s="16">
        <f>'POA — Monthly financial forecas'!AJ41+'POA — Monthly financial forecas'!AJ47</f>
        <v>271555.55555555574</v>
      </c>
      <c r="AK48" s="16">
        <f>'POA — Monthly financial forecas'!AK41+'POA — Monthly financial forecas'!AK47</f>
        <v>277468.25396825385</v>
      </c>
    </row>
    <row r="49">
      <c r="A49" t="inlineStr" s="9">
        <is>
          <t xml:space="preserve">EBITDA</t>
        </is>
      </c>
      <c r="B49" s="16">
        <f>'POA — Monthly financial forecas'!B38-'POA — Monthly financial forecas'!B48</f>
        <v>-17769.541666666664</v>
      </c>
      <c r="C49" s="16">
        <f>'POA — Monthly financial forecas'!C38-'POA — Monthly financial forecas'!C48</f>
        <v>-16516.54761904762</v>
      </c>
      <c r="D49" s="16">
        <f>'POA — Monthly financial forecas'!D38-'POA — Monthly financial forecas'!D48</f>
        <v>-15221.970238095237</v>
      </c>
      <c r="E49" s="16">
        <f>'POA — Monthly financial forecas'!E38-'POA — Monthly financial forecas'!E48</f>
        <v>-13885.809523809523</v>
      </c>
      <c r="F49" s="16">
        <f>'POA — Monthly financial forecas'!F38-'POA — Monthly financial forecas'!F48</f>
        <v>-12508.065476190477</v>
      </c>
      <c r="G49" s="16">
        <f>'POA — Monthly financial forecas'!G38-'POA — Monthly financial forecas'!G48</f>
        <v>-11088.738095238092</v>
      </c>
      <c r="H49" s="16">
        <f>'POA — Monthly financial forecas'!H38-'POA — Monthly financial forecas'!H48</f>
        <v>-20320.401034151033</v>
      </c>
      <c r="I49" s="16">
        <f>'POA — Monthly financial forecas'!I38-'POA — Monthly financial forecas'!I48</f>
        <v>-14036.086099086104</v>
      </c>
      <c r="J49" s="16">
        <f>'POA — Monthly financial forecas'!J38-'POA — Monthly financial forecas'!J48</f>
        <v>-7204.047258297265</v>
      </c>
      <c r="K49" s="16">
        <f>'POA — Monthly financial forecas'!K38-'POA — Monthly financial forecas'!K48</f>
        <v>175.71548821550095</v>
      </c>
      <c r="L49" s="16">
        <f>'POA — Monthly financial forecas'!L38-'POA — Monthly financial forecas'!L48</f>
        <v>8103.2021404521365</v>
      </c>
      <c r="M49" s="16">
        <f>'POA — Monthly financial forecas'!M38-'POA — Monthly financial forecas'!M48</f>
        <v>16578.412698412678</v>
      </c>
      <c r="N49" s="16">
        <f>'POA — Monthly financial forecas'!N38-'POA — Monthly financial forecas'!N48</f>
        <v>3067.993626743628</v>
      </c>
      <c r="O49" s="16">
        <f>'POA — Monthly financial forecas'!O38-'POA — Monthly financial forecas'!O48</f>
        <v>23557.139009138977</v>
      </c>
      <c r="P49" s="16">
        <f>'POA — Monthly financial forecas'!P38-'POA — Monthly financial forecas'!P48</f>
        <v>45115.690115440084</v>
      </c>
      <c r="Q49" s="16">
        <f>'POA — Monthly financial forecas'!Q38-'POA — Monthly financial forecas'!Q48</f>
        <v>67743.646945647</v>
      </c>
      <c r="R49" s="16">
        <f>'POA — Monthly financial forecas'!R38-'POA — Monthly financial forecas'!R48</f>
        <v>91441.00949975947</v>
      </c>
      <c r="S49" s="16">
        <f>'POA — Monthly financial forecas'!S38-'POA — Monthly financial forecas'!S48</f>
        <v>116207.77777777775</v>
      </c>
      <c r="T49" s="16">
        <f>'POA — Monthly financial forecas'!T38-'POA — Monthly financial forecas'!T48</f>
        <v>139162.69841269843</v>
      </c>
      <c r="U49" s="16">
        <f>'POA — Monthly financial forecas'!U38-'POA — Monthly financial forecas'!U48</f>
        <v>165665.71428571432</v>
      </c>
      <c r="V49" s="16">
        <f>'POA — Monthly financial forecas'!V38-'POA — Monthly financial forecas'!V48</f>
        <v>192723.17460317456</v>
      </c>
      <c r="W49" s="16">
        <f>'POA — Monthly financial forecas'!W38-'POA — Monthly financial forecas'!W48</f>
        <v>220335.0793650794</v>
      </c>
      <c r="X49" s="16">
        <f>'POA — Monthly financial forecas'!X38-'POA — Monthly financial forecas'!X48</f>
        <v>248501.42857142852</v>
      </c>
      <c r="Y49" s="16">
        <f>'POA — Monthly financial forecas'!Y38-'POA — Monthly financial forecas'!Y48</f>
        <v>277222.2222222222</v>
      </c>
      <c r="Z49" s="16">
        <f>'POA — Monthly financial forecas'!Z38-'POA — Monthly financial forecas'!Z48</f>
        <v>311104.47420634923</v>
      </c>
      <c r="AA49" s="16">
        <f>'POA — Monthly financial forecas'!AA38-'POA — Monthly financial forecas'!AA48</f>
        <v>337987.73809523816</v>
      </c>
      <c r="AB49" s="16">
        <f>'POA — Monthly financial forecas'!AB38-'POA — Monthly financial forecas'!AB48</f>
        <v>365356.1408730159</v>
      </c>
      <c r="AC49" s="16">
        <f>'POA — Monthly financial forecas'!AC38-'POA — Monthly financial forecas'!AC48</f>
        <v>393209.68253968254</v>
      </c>
      <c r="AD49" s="16">
        <f>'POA — Monthly financial forecas'!AD38-'POA — Monthly financial forecas'!AD48</f>
        <v>421548.3630952381</v>
      </c>
      <c r="AE49" s="16">
        <f>'POA — Monthly financial forecas'!AE38-'POA — Monthly financial forecas'!AE48</f>
        <v>450372.1825396824</v>
      </c>
      <c r="AF49" s="16">
        <f>'POA — Monthly financial forecas'!AF38-'POA — Monthly financial forecas'!AF48</f>
        <v>487046.001984127</v>
      </c>
      <c r="AG49" s="16">
        <f>'POA — Monthly financial forecas'!AG38-'POA — Monthly financial forecas'!AG48</f>
        <v>509098.09523809515</v>
      </c>
      <c r="AH49" s="16">
        <f>'POA — Monthly financial forecas'!AH38-'POA — Monthly financial forecas'!AH48</f>
        <v>531496.7162698414</v>
      </c>
      <c r="AI49" s="16">
        <f>'POA — Monthly financial forecas'!AI38-'POA — Monthly financial forecas'!AI48</f>
        <v>554241.8650793652</v>
      </c>
      <c r="AJ49" s="16">
        <f>'POA — Monthly financial forecas'!AJ38-'POA — Monthly financial forecas'!AJ48</f>
        <v>577333.5416666666</v>
      </c>
      <c r="AK49" s="16">
        <f>'POA — Monthly financial forecas'!AK38-'POA — Monthly financial forecas'!AK48</f>
        <v>600771.7460317462</v>
      </c>
    </row>
    <row r="50">
      <c r="A50" t="inlineStr" s="9">
        <is>
          <t xml:space="preserve">Cash taxes</t>
        </is>
      </c>
      <c r="B50" s="16">
        <f>MAX('POA — Monthly financial forecas'!B49,0)*'Model inputs'!AM12</f>
        <v>0</v>
      </c>
      <c r="C50" s="16">
        <f>MAX('POA — Monthly financial forecas'!C49,0)*'Model inputs'!AM12</f>
        <v>0</v>
      </c>
      <c r="D50" s="16">
        <f>MAX('POA — Monthly financial forecas'!D49,0)*'Model inputs'!AM12</f>
        <v>0</v>
      </c>
      <c r="E50" s="16">
        <f>MAX('POA — Monthly financial forecas'!E49,0)*'Model inputs'!AM12</f>
        <v>0</v>
      </c>
      <c r="F50" s="16">
        <f>MAX('POA — Monthly financial forecas'!F49,0)*'Model inputs'!AM12</f>
        <v>0</v>
      </c>
      <c r="G50" s="16">
        <f>MAX('POA — Monthly financial forecas'!G49,0)*'Model inputs'!AM12</f>
        <v>0</v>
      </c>
      <c r="H50" s="16">
        <f>MAX('POA — Monthly financial forecas'!H49,0)*'Model inputs'!AM12</f>
        <v>0</v>
      </c>
      <c r="I50" s="16">
        <f>MAX('POA — Monthly financial forecas'!I49,0)*'Model inputs'!AM12</f>
        <v>0</v>
      </c>
      <c r="J50" s="16">
        <f>MAX('POA — Monthly financial forecas'!J49,0)*'Model inputs'!AM12</f>
        <v>0</v>
      </c>
      <c r="K50" s="16">
        <f>MAX('POA — Monthly financial forecas'!K49,0)*'Model inputs'!AM12</f>
        <v>0</v>
      </c>
      <c r="L50" s="16">
        <f>MAX('POA — Monthly financial forecas'!L49,0)*'Model inputs'!AM12</f>
        <v>0</v>
      </c>
      <c r="M50" s="16">
        <f>MAX('POA — Monthly financial forecas'!M49,0)*'Model inputs'!AM12</f>
        <v>0</v>
      </c>
      <c r="N50" s="16">
        <f>MAX('POA — Monthly financial forecas'!N49,0)*'Model inputs'!AM12</f>
        <v>0</v>
      </c>
      <c r="O50" s="16">
        <f>MAX('POA — Monthly financial forecas'!O49,0)*'Model inputs'!AM12</f>
        <v>0</v>
      </c>
      <c r="P50" s="16">
        <f>MAX('POA — Monthly financial forecas'!P49,0)*'Model inputs'!AM12</f>
        <v>0</v>
      </c>
      <c r="Q50" s="16">
        <f>MAX('POA — Monthly financial forecas'!Q49,0)*'Model inputs'!AM12</f>
        <v>0</v>
      </c>
      <c r="R50" s="16">
        <f>MAX('POA — Monthly financial forecas'!R49,0)*'Model inputs'!AM12</f>
        <v>0</v>
      </c>
      <c r="S50" s="16">
        <f>MAX('POA — Monthly financial forecas'!S49,0)*'Model inputs'!AM12</f>
        <v>0</v>
      </c>
      <c r="T50" s="16">
        <f>MAX('POA — Monthly financial forecas'!T49,0)*'Model inputs'!AM12</f>
        <v>0</v>
      </c>
      <c r="U50" s="16">
        <f>MAX('POA — Monthly financial forecas'!U49,0)*'Model inputs'!AM12</f>
        <v>0</v>
      </c>
      <c r="V50" s="16">
        <f>MAX('POA — Monthly financial forecas'!V49,0)*'Model inputs'!AM12</f>
        <v>0</v>
      </c>
      <c r="W50" s="16">
        <f>MAX('POA — Monthly financial forecas'!W49,0)*'Model inputs'!AM12</f>
        <v>0</v>
      </c>
      <c r="X50" s="16">
        <f>MAX('POA — Monthly financial forecas'!X49,0)*'Model inputs'!AM12</f>
        <v>0</v>
      </c>
      <c r="Y50" s="16">
        <f>MAX('POA — Monthly financial forecas'!Y49,0)*'Model inputs'!AM12</f>
        <v>0</v>
      </c>
      <c r="Z50" s="16">
        <f>MAX('POA — Monthly financial forecas'!Z49,0)*'Model inputs'!AM12</f>
        <v>0</v>
      </c>
      <c r="AA50" s="16">
        <f>MAX('POA — Monthly financial forecas'!AA49,0)*'Model inputs'!AM12</f>
        <v>0</v>
      </c>
      <c r="AB50" s="16">
        <f>MAX('POA — Monthly financial forecas'!AB49,0)*'Model inputs'!AM12</f>
        <v>0</v>
      </c>
      <c r="AC50" s="16">
        <f>MAX('POA — Monthly financial forecas'!AC49,0)*'Model inputs'!AM12</f>
        <v>0</v>
      </c>
      <c r="AD50" s="16">
        <f>MAX('POA — Monthly financial forecas'!AD49,0)*'Model inputs'!AM12</f>
        <v>0</v>
      </c>
      <c r="AE50" s="16">
        <f>MAX('POA — Monthly financial forecas'!AE49,0)*'Model inputs'!AM12</f>
        <v>0</v>
      </c>
      <c r="AF50" s="16">
        <f>MAX('POA — Monthly financial forecas'!AF49,0)*'Model inputs'!AM12</f>
        <v>0</v>
      </c>
      <c r="AG50" s="16">
        <f>MAX('POA — Monthly financial forecas'!AG49,0)*'Model inputs'!AM12</f>
        <v>0</v>
      </c>
      <c r="AH50" s="16">
        <f>MAX('POA — Monthly financial forecas'!AH49,0)*'Model inputs'!AM12</f>
        <v>0</v>
      </c>
      <c r="AI50" s="16">
        <f>MAX('POA — Monthly financial forecas'!AI49,0)*'Model inputs'!AM12</f>
        <v>0</v>
      </c>
      <c r="AJ50" s="16">
        <f>MAX('POA — Monthly financial forecas'!AJ49,0)*'Model inputs'!AM12</f>
        <v>0</v>
      </c>
      <c r="AK50" s="16">
        <f>MAX('POA — Monthly financial forecas'!AK49,0)*'Model inputs'!AM12</f>
        <v>0</v>
      </c>
    </row>
    <row r="51">
      <c r="A51" t="inlineStr" s="9">
        <is>
          <t xml:space="preserve">Capital expenditure</t>
        </is>
      </c>
      <c r="B51" s="16">
        <f>IF('Model inputs'!AM41="","",'Model inputs'!AM41)</f>
        <v>0</v>
      </c>
      <c r="C51" s="16">
        <f>IF('Model inputs'!AM41="","",'Model inputs'!AM41)</f>
        <v>0</v>
      </c>
      <c r="D51" s="16">
        <f>IF('Model inputs'!AM41="","",'Model inputs'!AM41)</f>
        <v>0</v>
      </c>
      <c r="E51" s="16">
        <f>IF('Model inputs'!AM41="","",'Model inputs'!AM41)</f>
        <v>0</v>
      </c>
      <c r="F51" s="16">
        <f>IF('Model inputs'!AM41="","",'Model inputs'!AM41)</f>
        <v>0</v>
      </c>
      <c r="G51" s="16">
        <f>IF('Model inputs'!AM41="","",'Model inputs'!AM41)</f>
        <v>0</v>
      </c>
      <c r="H51" s="16">
        <f>IF('Model inputs'!AM41="","",'Model inputs'!AM41)</f>
        <v>0</v>
      </c>
      <c r="I51" s="16">
        <f>IF('Model inputs'!AM41="","",'Model inputs'!AM41)</f>
        <v>0</v>
      </c>
      <c r="J51" s="16">
        <f>IF('Model inputs'!AM41="","",'Model inputs'!AM41)</f>
        <v>0</v>
      </c>
      <c r="K51" s="16">
        <f>IF('Model inputs'!AM41="","",'Model inputs'!AM41)</f>
        <v>0</v>
      </c>
      <c r="L51" s="16">
        <f>IF('Model inputs'!AM41="","",'Model inputs'!AM41)</f>
        <v>0</v>
      </c>
      <c r="M51" s="16">
        <f>IF('Model inputs'!AM41="","",'Model inputs'!AM41)</f>
        <v>0</v>
      </c>
      <c r="N51" s="16">
        <f>IF('Model inputs'!AM41="","",'Model inputs'!AM41)</f>
        <v>0</v>
      </c>
      <c r="O51" s="16">
        <f>IF('Model inputs'!AM41="","",'Model inputs'!AM41)</f>
        <v>0</v>
      </c>
      <c r="P51" s="16">
        <f>IF('Model inputs'!AM41="","",'Model inputs'!AM41)</f>
        <v>0</v>
      </c>
      <c r="Q51" s="16">
        <f>IF('Model inputs'!AM41="","",'Model inputs'!AM41)</f>
        <v>0</v>
      </c>
      <c r="R51" s="16">
        <f>IF('Model inputs'!AM41="","",'Model inputs'!AM41)</f>
        <v>0</v>
      </c>
      <c r="S51" s="16">
        <f>IF('Model inputs'!AM41="","",'Model inputs'!AM41)</f>
        <v>0</v>
      </c>
      <c r="T51" s="16">
        <f>IF('Model inputs'!AM41="","",'Model inputs'!AM41)</f>
        <v>0</v>
      </c>
      <c r="U51" s="16">
        <f>IF('Model inputs'!AM41="","",'Model inputs'!AM41)</f>
        <v>0</v>
      </c>
      <c r="V51" s="16">
        <f>IF('Model inputs'!AM41="","",'Model inputs'!AM41)</f>
        <v>0</v>
      </c>
      <c r="W51" s="16">
        <f>IF('Model inputs'!AM41="","",'Model inputs'!AM41)</f>
        <v>0</v>
      </c>
      <c r="X51" s="16">
        <f>IF('Model inputs'!AM41="","",'Model inputs'!AM41)</f>
        <v>0</v>
      </c>
      <c r="Y51" s="16">
        <f>IF('Model inputs'!AM41="","",'Model inputs'!AM41)</f>
        <v>0</v>
      </c>
      <c r="Z51" s="16">
        <f>IF('Model inputs'!AM41="","",'Model inputs'!AM41)</f>
        <v>0</v>
      </c>
      <c r="AA51" s="16">
        <f>IF('Model inputs'!AM41="","",'Model inputs'!AM41)</f>
        <v>0</v>
      </c>
      <c r="AB51" s="16">
        <f>IF('Model inputs'!AM41="","",'Model inputs'!AM41)</f>
        <v>0</v>
      </c>
      <c r="AC51" s="16">
        <f>IF('Model inputs'!AM41="","",'Model inputs'!AM41)</f>
        <v>0</v>
      </c>
      <c r="AD51" s="16">
        <f>IF('Model inputs'!AM41="","",'Model inputs'!AM41)</f>
        <v>0</v>
      </c>
      <c r="AE51" s="16">
        <f>IF('Model inputs'!AM41="","",'Model inputs'!AM41)</f>
        <v>0</v>
      </c>
      <c r="AF51" s="16">
        <f>IF('Model inputs'!AM41="","",'Model inputs'!AM41)</f>
        <v>0</v>
      </c>
      <c r="AG51" s="16">
        <f>IF('Model inputs'!AM41="","",'Model inputs'!AM41)</f>
        <v>0</v>
      </c>
      <c r="AH51" s="16">
        <f>IF('Model inputs'!AM41="","",'Model inputs'!AM41)</f>
        <v>0</v>
      </c>
      <c r="AI51" s="16">
        <f>IF('Model inputs'!AM41="","",'Model inputs'!AM41)</f>
        <v>0</v>
      </c>
      <c r="AJ51" s="16">
        <f>IF('Model inputs'!AM41="","",'Model inputs'!AM41)</f>
        <v>0</v>
      </c>
      <c r="AK51" s="16">
        <f>IF('Model inputs'!AM41="","",'Model inputs'!AM41)</f>
        <v>0</v>
      </c>
    </row>
    <row r="52">
      <c r="A52" t="inlineStr" s="9">
        <is>
          <t xml:space="preserve">Financing inflow</t>
        </is>
      </c>
      <c r="B52" s="16">
        <f>IF('Model inputs'!AM42="","",'Model inputs'!AM42)</f>
        <v>0</v>
      </c>
      <c r="C52" s="16">
        <f>IF('Model inputs'!AM42="","",'Model inputs'!AM42)</f>
        <v>0</v>
      </c>
      <c r="D52" s="16">
        <f>IF('Model inputs'!AM42="","",'Model inputs'!AM42)</f>
        <v>0</v>
      </c>
      <c r="E52" s="16">
        <f>IF('Model inputs'!AM42="","",'Model inputs'!AM42)</f>
        <v>0</v>
      </c>
      <c r="F52" s="16">
        <f>IF('Model inputs'!AM42="","",'Model inputs'!AM42)</f>
        <v>0</v>
      </c>
      <c r="G52" s="16">
        <f>IF('Model inputs'!AM42="","",'Model inputs'!AM42)</f>
        <v>0</v>
      </c>
      <c r="H52" s="16">
        <f>IF('Model inputs'!AM42="","",'Model inputs'!AM42)</f>
        <v>0</v>
      </c>
      <c r="I52" s="16">
        <f>IF('Model inputs'!AM42="","",'Model inputs'!AM42)</f>
        <v>0</v>
      </c>
      <c r="J52" s="16">
        <f>IF('Model inputs'!AM42="","",'Model inputs'!AM42)</f>
        <v>0</v>
      </c>
      <c r="K52" s="16">
        <f>IF('Model inputs'!AM42="","",'Model inputs'!AM42)</f>
        <v>0</v>
      </c>
      <c r="L52" s="16">
        <f>IF('Model inputs'!AM42="","",'Model inputs'!AM42)</f>
        <v>0</v>
      </c>
      <c r="M52" s="16">
        <f>IF('Model inputs'!AM42="","",'Model inputs'!AM42)</f>
        <v>0</v>
      </c>
      <c r="N52" s="16">
        <f>IF('Model inputs'!AM42="","",'Model inputs'!AM42)</f>
        <v>0</v>
      </c>
      <c r="O52" s="16">
        <f>IF('Model inputs'!AM42="","",'Model inputs'!AM42)</f>
        <v>0</v>
      </c>
      <c r="P52" s="16">
        <f>IF('Model inputs'!AM42="","",'Model inputs'!AM42)</f>
        <v>0</v>
      </c>
      <c r="Q52" s="16">
        <f>IF('Model inputs'!AM42="","",'Model inputs'!AM42)</f>
        <v>0</v>
      </c>
      <c r="R52" s="16">
        <f>IF('Model inputs'!AM42="","",'Model inputs'!AM42)</f>
        <v>0</v>
      </c>
      <c r="S52" s="16">
        <f>IF('Model inputs'!AM42="","",'Model inputs'!AM42)</f>
        <v>0</v>
      </c>
      <c r="T52" s="16">
        <f>IF('Model inputs'!AM42="","",'Model inputs'!AM42)</f>
        <v>0</v>
      </c>
      <c r="U52" s="16">
        <f>IF('Model inputs'!AM42="","",'Model inputs'!AM42)</f>
        <v>0</v>
      </c>
      <c r="V52" s="16">
        <f>IF('Model inputs'!AM42="","",'Model inputs'!AM42)</f>
        <v>0</v>
      </c>
      <c r="W52" s="16">
        <f>IF('Model inputs'!AM42="","",'Model inputs'!AM42)</f>
        <v>0</v>
      </c>
      <c r="X52" s="16">
        <f>IF('Model inputs'!AM42="","",'Model inputs'!AM42)</f>
        <v>0</v>
      </c>
      <c r="Y52" s="16">
        <f>IF('Model inputs'!AM42="","",'Model inputs'!AM42)</f>
        <v>0</v>
      </c>
      <c r="Z52" s="16">
        <f>IF('Model inputs'!AM42="","",'Model inputs'!AM42)</f>
        <v>0</v>
      </c>
      <c r="AA52" s="16">
        <f>IF('Model inputs'!AM42="","",'Model inputs'!AM42)</f>
        <v>0</v>
      </c>
      <c r="AB52" s="16">
        <f>IF('Model inputs'!AM42="","",'Model inputs'!AM42)</f>
        <v>0</v>
      </c>
      <c r="AC52" s="16">
        <f>IF('Model inputs'!AM42="","",'Model inputs'!AM42)</f>
        <v>0</v>
      </c>
      <c r="AD52" s="16">
        <f>IF('Model inputs'!AM42="","",'Model inputs'!AM42)</f>
        <v>0</v>
      </c>
      <c r="AE52" s="16">
        <f>IF('Model inputs'!AM42="","",'Model inputs'!AM42)</f>
        <v>0</v>
      </c>
      <c r="AF52" s="16">
        <f>IF('Model inputs'!AM42="","",'Model inputs'!AM42)</f>
        <v>0</v>
      </c>
      <c r="AG52" s="16">
        <f>IF('Model inputs'!AM42="","",'Model inputs'!AM42)</f>
        <v>0</v>
      </c>
      <c r="AH52" s="16">
        <f>IF('Model inputs'!AM42="","",'Model inputs'!AM42)</f>
        <v>0</v>
      </c>
      <c r="AI52" s="16">
        <f>IF('Model inputs'!AM42="","",'Model inputs'!AM42)</f>
        <v>0</v>
      </c>
      <c r="AJ52" s="16">
        <f>IF('Model inputs'!AM42="","",'Model inputs'!AM42)</f>
        <v>0</v>
      </c>
      <c r="AK52" s="16">
        <f>IF('Model inputs'!AM42="","",'Model inputs'!AM42)</f>
        <v>0</v>
      </c>
    </row>
    <row r="53">
      <c r="A53" t="inlineStr" s="9">
        <is>
          <t xml:space="preserve">Cash collections</t>
        </is>
      </c>
      <c r="B53" s="16">
        <f>IF('Model inputs'!B832=0,"",SUM('Model inputs'!B795,'Model inputs'!B796,'Model inputs'!B797,'Model inputs'!B798,'Model inputs'!B799,'Model inputs'!B800,'Model inputs'!B801,'Model inputs'!B802,'Model inputs'!B803,'Model inputs'!B804,'Model inputs'!B805,'Model inputs'!B806,'Model inputs'!B807,'Model inputs'!B808,'Model inputs'!B809,'Model inputs'!B810,'Model inputs'!B811,'Model inputs'!B812,'Model inputs'!B813,'Model inputs'!B814,'Model inputs'!B815,'Model inputs'!B816,'Model inputs'!B817,'Model inputs'!B818,'Model inputs'!B819,'Model inputs'!B820,'Model inputs'!B821,'Model inputs'!B822,'Model inputs'!B823,'Model inputs'!B824,'Model inputs'!B825,'Model inputs'!B826,'Model inputs'!B827,'Model inputs'!B828,'Model inputs'!B829,'Model inputs'!B830,'Model inputs'!B831))</f>
        <v>3520.8333333333335</v>
      </c>
      <c r="C53" s="16">
        <f>IF('Model inputs'!B870=0,"",SUM('Model inputs'!B833,'Model inputs'!B834,'Model inputs'!B835,'Model inputs'!B836,'Model inputs'!B837,'Model inputs'!B838,'Model inputs'!B839,'Model inputs'!B840,'Model inputs'!B841,'Model inputs'!B842,'Model inputs'!B843,'Model inputs'!B844,'Model inputs'!B845,'Model inputs'!B846,'Model inputs'!B847,'Model inputs'!B848,'Model inputs'!B849,'Model inputs'!B850,'Model inputs'!B851,'Model inputs'!B852,'Model inputs'!B853,'Model inputs'!B854,'Model inputs'!B855,'Model inputs'!B856,'Model inputs'!B857,'Model inputs'!B858,'Model inputs'!B859,'Model inputs'!B860,'Model inputs'!B861,'Model inputs'!B862,'Model inputs'!B863,'Model inputs'!B864,'Model inputs'!B865,'Model inputs'!B866,'Model inputs'!B867,'Model inputs'!B868,'Model inputs'!B869))</f>
        <v>7083.333333333333</v>
      </c>
      <c r="D53" s="16">
        <f>IF('Model inputs'!B908=0,"",SUM('Model inputs'!B871,'Model inputs'!B872,'Model inputs'!B873,'Model inputs'!B874,'Model inputs'!B875,'Model inputs'!B876,'Model inputs'!B877,'Model inputs'!B878,'Model inputs'!B879,'Model inputs'!B880,'Model inputs'!B881,'Model inputs'!B882,'Model inputs'!B883,'Model inputs'!B884,'Model inputs'!B885,'Model inputs'!B886,'Model inputs'!B887,'Model inputs'!B888,'Model inputs'!B889,'Model inputs'!B890,'Model inputs'!B891,'Model inputs'!B892,'Model inputs'!B893,'Model inputs'!B894,'Model inputs'!B895,'Model inputs'!B896,'Model inputs'!B897,'Model inputs'!B898,'Model inputs'!B899,'Model inputs'!B900,'Model inputs'!B901,'Model inputs'!B902,'Model inputs'!B903,'Model inputs'!B904,'Model inputs'!B905,'Model inputs'!B906,'Model inputs'!B907))</f>
        <v>10687.5</v>
      </c>
      <c r="E53" s="16">
        <f>IF('Model inputs'!B946=0,"",SUM('Model inputs'!B909,'Model inputs'!B910,'Model inputs'!B911,'Model inputs'!B912,'Model inputs'!B913,'Model inputs'!B914,'Model inputs'!B915,'Model inputs'!B916,'Model inputs'!B917,'Model inputs'!B918,'Model inputs'!B919,'Model inputs'!B920,'Model inputs'!B921,'Model inputs'!B922,'Model inputs'!B923,'Model inputs'!B924,'Model inputs'!B925,'Model inputs'!B926,'Model inputs'!B927,'Model inputs'!B928,'Model inputs'!B929,'Model inputs'!B930,'Model inputs'!B931,'Model inputs'!B932,'Model inputs'!B933,'Model inputs'!B934,'Model inputs'!B935,'Model inputs'!B936,'Model inputs'!B937,'Model inputs'!B938,'Model inputs'!B939,'Model inputs'!B940,'Model inputs'!B941,'Model inputs'!B942,'Model inputs'!B943,'Model inputs'!B944,'Model inputs'!B945))</f>
        <v>14333.333333333334</v>
      </c>
      <c r="F53" s="16">
        <f>IF('Model inputs'!B984=0,"",SUM('Model inputs'!B947,'Model inputs'!B948,'Model inputs'!B949,'Model inputs'!B950,'Model inputs'!B951,'Model inputs'!B952,'Model inputs'!B953,'Model inputs'!B954,'Model inputs'!B955,'Model inputs'!B956,'Model inputs'!B957,'Model inputs'!B958,'Model inputs'!B959,'Model inputs'!B960,'Model inputs'!B961,'Model inputs'!B962,'Model inputs'!B963,'Model inputs'!B964,'Model inputs'!B965,'Model inputs'!B966,'Model inputs'!B967,'Model inputs'!B968,'Model inputs'!B969,'Model inputs'!B970,'Model inputs'!B971,'Model inputs'!B972,'Model inputs'!B973,'Model inputs'!B974,'Model inputs'!B975,'Model inputs'!B976,'Model inputs'!B977,'Model inputs'!B978,'Model inputs'!B979,'Model inputs'!B980,'Model inputs'!B981,'Model inputs'!B982,'Model inputs'!B983))</f>
        <v>18020.833333333332</v>
      </c>
      <c r="G53" s="16">
        <f>IF('Model inputs'!B1022=0,"",SUM('Model inputs'!B985,'Model inputs'!B986,'Model inputs'!B987,'Model inputs'!B988,'Model inputs'!B989,'Model inputs'!B990,'Model inputs'!B991,'Model inputs'!B992,'Model inputs'!B993,'Model inputs'!B994,'Model inputs'!B995,'Model inputs'!B996,'Model inputs'!B997,'Model inputs'!B998,'Model inputs'!B999,'Model inputs'!B1000,'Model inputs'!B1001,'Model inputs'!B1002,'Model inputs'!B1003,'Model inputs'!B1004,'Model inputs'!B1005,'Model inputs'!B1006,'Model inputs'!B1007,'Model inputs'!B1008,'Model inputs'!B1009,'Model inputs'!B1010,'Model inputs'!B1011,'Model inputs'!B1012,'Model inputs'!B1013,'Model inputs'!B1014,'Model inputs'!B1015,'Model inputs'!B1016,'Model inputs'!B1017,'Model inputs'!B1018,'Model inputs'!B1019,'Model inputs'!B1020,'Model inputs'!B1021))</f>
        <v>21750</v>
      </c>
      <c r="H53" s="16">
        <f>IF('Model inputs'!B1060=0,"",SUM('Model inputs'!B1023,'Model inputs'!B1024,'Model inputs'!B1025,'Model inputs'!B1026,'Model inputs'!B1027,'Model inputs'!B1028,'Model inputs'!B1029,'Model inputs'!B1030,'Model inputs'!B1031,'Model inputs'!B1032,'Model inputs'!B1033,'Model inputs'!B1034,'Model inputs'!B1035,'Model inputs'!B1036,'Model inputs'!B1037,'Model inputs'!B1038,'Model inputs'!B1039,'Model inputs'!B1040,'Model inputs'!B1041,'Model inputs'!B1042,'Model inputs'!B1043,'Model inputs'!B1044,'Model inputs'!B1045,'Model inputs'!B1046,'Model inputs'!B1047,'Model inputs'!B1048,'Model inputs'!B1049,'Model inputs'!B1050,'Model inputs'!B1051,'Model inputs'!B1052,'Model inputs'!B1053,'Model inputs'!B1054,'Model inputs'!B1055,'Model inputs'!B1056,'Model inputs'!B1057,'Model inputs'!B1058,'Model inputs'!B1059))</f>
        <v>32308.50168350168</v>
      </c>
      <c r="I53" s="16">
        <f>IF('Model inputs'!B1098=0,"",SUM('Model inputs'!B1061,'Model inputs'!B1062,'Model inputs'!B1063,'Model inputs'!B1064,'Model inputs'!B1065,'Model inputs'!B1066,'Model inputs'!B1067,'Model inputs'!B1068,'Model inputs'!B1069,'Model inputs'!B1070,'Model inputs'!B1071,'Model inputs'!B1072,'Model inputs'!B1073,'Model inputs'!B1074,'Model inputs'!B1075,'Model inputs'!B1076,'Model inputs'!B1077,'Model inputs'!B1078,'Model inputs'!B1079,'Model inputs'!B1080,'Model inputs'!B1081,'Model inputs'!B1082,'Model inputs'!B1083,'Model inputs'!B1084,'Model inputs'!B1085,'Model inputs'!B1086,'Model inputs'!B1087,'Model inputs'!B1088,'Model inputs'!B1089,'Model inputs'!B1090,'Model inputs'!B1091,'Model inputs'!B1092,'Model inputs'!B1093,'Model inputs'!B1094,'Model inputs'!B1095,'Model inputs'!B1096,'Model inputs'!B1097))</f>
        <v>43415.82491582491</v>
      </c>
      <c r="J53" s="16">
        <f>IF('Model inputs'!B1136=0,"",SUM('Model inputs'!B1099,'Model inputs'!B1100,'Model inputs'!B1101,'Model inputs'!B1102,'Model inputs'!B1103,'Model inputs'!B1104,'Model inputs'!B1105,'Model inputs'!B1106,'Model inputs'!B1107,'Model inputs'!B1108,'Model inputs'!B1109,'Model inputs'!B1110,'Model inputs'!B1111,'Model inputs'!B1112,'Model inputs'!B1113,'Model inputs'!B1114,'Model inputs'!B1115,'Model inputs'!B1116,'Model inputs'!B1117,'Model inputs'!B1118,'Model inputs'!B1119,'Model inputs'!B1120,'Model inputs'!B1121,'Model inputs'!B1122,'Model inputs'!B1123,'Model inputs'!B1124,'Model inputs'!B1125,'Model inputs'!B1126,'Model inputs'!B1127,'Model inputs'!B1128,'Model inputs'!B1129,'Model inputs'!B1130,'Model inputs'!B1131,'Model inputs'!B1132,'Model inputs'!B1133,'Model inputs'!B1134,'Model inputs'!B1135))</f>
        <v>55071.969696969696</v>
      </c>
      <c r="K53" s="16">
        <f>IF('Model inputs'!B1174=0,"",SUM('Model inputs'!B1137,'Model inputs'!B1138,'Model inputs'!B1139,'Model inputs'!B1140,'Model inputs'!B1141,'Model inputs'!B1142,'Model inputs'!B1143,'Model inputs'!B1144,'Model inputs'!B1145,'Model inputs'!B1146,'Model inputs'!B1147,'Model inputs'!B1148,'Model inputs'!B1149,'Model inputs'!B1150,'Model inputs'!B1151,'Model inputs'!B1152,'Model inputs'!B1153,'Model inputs'!B1154,'Model inputs'!B1155,'Model inputs'!B1156,'Model inputs'!B1157,'Model inputs'!B1158,'Model inputs'!B1159,'Model inputs'!B1160,'Model inputs'!B1161,'Model inputs'!B1162,'Model inputs'!B1163,'Model inputs'!B1164,'Model inputs'!B1165,'Model inputs'!B1166,'Model inputs'!B1167,'Model inputs'!B1168,'Model inputs'!B1169,'Model inputs'!B1170,'Model inputs'!B1171,'Model inputs'!B1172,'Model inputs'!B1173))</f>
        <v>67276.93602693602</v>
      </c>
      <c r="L53" s="16">
        <f>IF('Model inputs'!B1212=0,"",SUM('Model inputs'!B1175,'Model inputs'!B1176,'Model inputs'!B1177,'Model inputs'!B1178,'Model inputs'!B1179,'Model inputs'!B1180,'Model inputs'!B1181,'Model inputs'!B1182,'Model inputs'!B1183,'Model inputs'!B1184,'Model inputs'!B1185,'Model inputs'!B1186,'Model inputs'!B1187,'Model inputs'!B1188,'Model inputs'!B1189,'Model inputs'!B1190,'Model inputs'!B1191,'Model inputs'!B1192,'Model inputs'!B1193,'Model inputs'!B1194,'Model inputs'!B1195,'Model inputs'!B1196,'Model inputs'!B1197,'Model inputs'!B1198,'Model inputs'!B1199,'Model inputs'!B1200,'Model inputs'!B1201,'Model inputs'!B1202,'Model inputs'!B1203,'Model inputs'!B1204,'Model inputs'!B1205,'Model inputs'!B1206,'Model inputs'!B1207,'Model inputs'!B1208,'Model inputs'!B1209,'Model inputs'!B1210,'Model inputs'!B1211))</f>
        <v>80030.7239057239</v>
      </c>
      <c r="M53" s="16">
        <f>IF('Model inputs'!B1250=0,"",SUM('Model inputs'!B1213,'Model inputs'!B1214,'Model inputs'!B1215,'Model inputs'!B1216,'Model inputs'!B1217,'Model inputs'!B1218,'Model inputs'!B1219,'Model inputs'!B1220,'Model inputs'!B1221,'Model inputs'!B1222,'Model inputs'!B1223,'Model inputs'!B1224,'Model inputs'!B1225,'Model inputs'!B1226,'Model inputs'!B1227,'Model inputs'!B1228,'Model inputs'!B1229,'Model inputs'!B1230,'Model inputs'!B1231,'Model inputs'!B1232,'Model inputs'!B1233,'Model inputs'!B1234,'Model inputs'!B1235,'Model inputs'!B1236,'Model inputs'!B1237,'Model inputs'!B1238,'Model inputs'!B1239,'Model inputs'!B1240,'Model inputs'!B1241,'Model inputs'!B1242,'Model inputs'!B1243,'Model inputs'!B1244,'Model inputs'!B1245,'Model inputs'!B1246,'Model inputs'!B1247,'Model inputs'!B1248,'Model inputs'!B1249))</f>
        <v>93333.33333333333</v>
      </c>
      <c r="N53" s="16">
        <f>IF('Model inputs'!B1288=0,"",SUM('Model inputs'!B1251,'Model inputs'!B1252,'Model inputs'!B1253,'Model inputs'!B1254,'Model inputs'!B1255,'Model inputs'!B1256,'Model inputs'!B1257,'Model inputs'!B1258,'Model inputs'!B1259,'Model inputs'!B1260,'Model inputs'!B1261,'Model inputs'!B1262,'Model inputs'!B1263,'Model inputs'!B1264,'Model inputs'!B1265,'Model inputs'!B1266,'Model inputs'!B1267,'Model inputs'!B1268,'Model inputs'!B1269,'Model inputs'!B1270,'Model inputs'!B1271,'Model inputs'!B1272,'Model inputs'!B1273,'Model inputs'!B1274,'Model inputs'!B1275,'Model inputs'!B1276,'Model inputs'!B1277,'Model inputs'!B1278,'Model inputs'!B1279,'Model inputs'!B1280,'Model inputs'!B1281,'Model inputs'!B1282,'Model inputs'!B1283,'Model inputs'!B1284,'Model inputs'!B1285,'Model inputs'!B1286,'Model inputs'!B1287))</f>
        <v>122598.90572390571</v>
      </c>
      <c r="O53" s="16">
        <f>IF('Model inputs'!B1326=0,"",SUM('Model inputs'!B1289,'Model inputs'!B1290,'Model inputs'!B1291,'Model inputs'!B1292,'Model inputs'!B1293,'Model inputs'!B1294,'Model inputs'!B1295,'Model inputs'!B1296,'Model inputs'!B1297,'Model inputs'!B1298,'Model inputs'!B1299,'Model inputs'!B1300,'Model inputs'!B1301,'Model inputs'!B1302,'Model inputs'!B1303,'Model inputs'!B1304,'Model inputs'!B1305,'Model inputs'!B1306,'Model inputs'!B1307,'Model inputs'!B1308,'Model inputs'!B1309,'Model inputs'!B1310,'Model inputs'!B1311,'Model inputs'!B1312,'Model inputs'!B1313,'Model inputs'!B1314,'Model inputs'!B1315,'Model inputs'!B1316,'Model inputs'!B1317,'Model inputs'!B1318,'Model inputs'!B1319,'Model inputs'!B1320,'Model inputs'!B1321,'Model inputs'!B1322,'Model inputs'!B1323,'Model inputs'!B1324,'Model inputs'!B1325))</f>
        <v>152936.0269360269</v>
      </c>
      <c r="P53" s="16">
        <f>IF('Model inputs'!B1364=0,"",SUM('Model inputs'!B1327,'Model inputs'!B1328,'Model inputs'!B1329,'Model inputs'!B1330,'Model inputs'!B1331,'Model inputs'!B1332,'Model inputs'!B1333,'Model inputs'!B1334,'Model inputs'!B1335,'Model inputs'!B1336,'Model inputs'!B1337,'Model inputs'!B1338,'Model inputs'!B1339,'Model inputs'!B1340,'Model inputs'!B1341,'Model inputs'!B1342,'Model inputs'!B1343,'Model inputs'!B1344,'Model inputs'!B1345,'Model inputs'!B1346,'Model inputs'!B1347,'Model inputs'!B1348,'Model inputs'!B1349,'Model inputs'!B1350,'Model inputs'!B1351,'Model inputs'!B1352,'Model inputs'!B1353,'Model inputs'!B1354,'Model inputs'!B1355,'Model inputs'!B1356,'Model inputs'!B1357,'Model inputs'!B1358,'Model inputs'!B1359,'Model inputs'!B1360,'Model inputs'!B1361,'Model inputs'!B1362,'Model inputs'!B1363))</f>
        <v>184344.69696969696</v>
      </c>
      <c r="Q53" s="16">
        <f>IF('Model inputs'!B1402=0,"",SUM('Model inputs'!B1365,'Model inputs'!B1366,'Model inputs'!B1367,'Model inputs'!B1368,'Model inputs'!B1369,'Model inputs'!B1370,'Model inputs'!B1371,'Model inputs'!B1372,'Model inputs'!B1373,'Model inputs'!B1374,'Model inputs'!B1375,'Model inputs'!B1376,'Model inputs'!B1377,'Model inputs'!B1378,'Model inputs'!B1379,'Model inputs'!B1380,'Model inputs'!B1381,'Model inputs'!B1382,'Model inputs'!B1383,'Model inputs'!B1384,'Model inputs'!B1385,'Model inputs'!B1386,'Model inputs'!B1387,'Model inputs'!B1388,'Model inputs'!B1389,'Model inputs'!B1390,'Model inputs'!B1391,'Model inputs'!B1392,'Model inputs'!B1393,'Model inputs'!B1394,'Model inputs'!B1395,'Model inputs'!B1396,'Model inputs'!B1397,'Model inputs'!B1398,'Model inputs'!B1399,'Model inputs'!B1400,'Model inputs'!B1401))</f>
        <v>216824.9158249158</v>
      </c>
      <c r="R53" s="16">
        <f>IF('Model inputs'!B1440=0,"",SUM('Model inputs'!B1403,'Model inputs'!B1404,'Model inputs'!B1405,'Model inputs'!B1406,'Model inputs'!B1407,'Model inputs'!B1408,'Model inputs'!B1409,'Model inputs'!B1410,'Model inputs'!B1411,'Model inputs'!B1412,'Model inputs'!B1413,'Model inputs'!B1414,'Model inputs'!B1415,'Model inputs'!B1416,'Model inputs'!B1417,'Model inputs'!B1418,'Model inputs'!B1419,'Model inputs'!B1420,'Model inputs'!B1421,'Model inputs'!B1422,'Model inputs'!B1423,'Model inputs'!B1424,'Model inputs'!B1425,'Model inputs'!B1426,'Model inputs'!B1427,'Model inputs'!B1428,'Model inputs'!B1429,'Model inputs'!B1430,'Model inputs'!B1431,'Model inputs'!B1432,'Model inputs'!B1433,'Model inputs'!B1434,'Model inputs'!B1435,'Model inputs'!B1436,'Model inputs'!B1437,'Model inputs'!B1438,'Model inputs'!B1439))</f>
        <v>250376.6835016835</v>
      </c>
      <c r="S53" s="16">
        <f>IF('Model inputs'!B1478=0,"",SUM('Model inputs'!B1441,'Model inputs'!B1442,'Model inputs'!B1443,'Model inputs'!B1444,'Model inputs'!B1445,'Model inputs'!B1446,'Model inputs'!B1447,'Model inputs'!B1448,'Model inputs'!B1449,'Model inputs'!B1450,'Model inputs'!B1451,'Model inputs'!B1452,'Model inputs'!B1453,'Model inputs'!B1454,'Model inputs'!B1455,'Model inputs'!B1456,'Model inputs'!B1457,'Model inputs'!B1458,'Model inputs'!B1459,'Model inputs'!B1460,'Model inputs'!B1461,'Model inputs'!B1462,'Model inputs'!B1463,'Model inputs'!B1464,'Model inputs'!B1465,'Model inputs'!B1466,'Model inputs'!B1467,'Model inputs'!B1468,'Model inputs'!B1469,'Model inputs'!B1470,'Model inputs'!B1471,'Model inputs'!B1472,'Model inputs'!B1473,'Model inputs'!B1474,'Model inputs'!B1475,'Model inputs'!B1476,'Model inputs'!B1477))</f>
        <v>285000</v>
      </c>
      <c r="T53" s="16">
        <f>IF('Model inputs'!B1516=0,"",SUM('Model inputs'!B1479,'Model inputs'!B1480,'Model inputs'!B1481,'Model inputs'!B1482,'Model inputs'!B1483,'Model inputs'!B1484,'Model inputs'!B1485,'Model inputs'!B1486,'Model inputs'!B1487,'Model inputs'!B1488,'Model inputs'!B1489,'Model inputs'!B1490,'Model inputs'!B1491,'Model inputs'!B1492,'Model inputs'!B1493,'Model inputs'!B1494,'Model inputs'!B1495,'Model inputs'!B1496,'Model inputs'!B1497,'Model inputs'!B1498,'Model inputs'!B1499,'Model inputs'!B1500,'Model inputs'!B1501,'Model inputs'!B1502,'Model inputs'!B1503,'Model inputs'!B1504,'Model inputs'!B1505,'Model inputs'!B1506,'Model inputs'!B1507,'Model inputs'!B1508,'Model inputs'!B1509,'Model inputs'!B1510,'Model inputs'!B1511,'Model inputs'!B1512,'Model inputs'!B1513,'Model inputs'!B1514,'Model inputs'!B1515))</f>
        <v>319444.4444444445</v>
      </c>
      <c r="U53" s="16">
        <f>IF('Model inputs'!B1554=0,"",SUM('Model inputs'!B1517,'Model inputs'!B1518,'Model inputs'!B1519,'Model inputs'!B1520,'Model inputs'!B1521,'Model inputs'!B1522,'Model inputs'!B1523,'Model inputs'!B1524,'Model inputs'!B1525,'Model inputs'!B1526,'Model inputs'!B1527,'Model inputs'!B1528,'Model inputs'!B1529,'Model inputs'!B1530,'Model inputs'!B1531,'Model inputs'!B1532,'Model inputs'!B1533,'Model inputs'!B1534,'Model inputs'!B1535,'Model inputs'!B1536,'Model inputs'!B1537,'Model inputs'!B1538,'Model inputs'!B1539,'Model inputs'!B1540,'Model inputs'!B1541,'Model inputs'!B1542,'Model inputs'!B1543,'Model inputs'!B1544,'Model inputs'!B1545,'Model inputs'!B1546,'Model inputs'!B1547,'Model inputs'!B1548,'Model inputs'!B1549,'Model inputs'!B1550,'Model inputs'!B1551,'Model inputs'!B1552,'Model inputs'!B1553))</f>
        <v>354444.4444444444</v>
      </c>
      <c r="V53" s="16">
        <f>IF('Model inputs'!B1592=0,"",SUM('Model inputs'!B1555,'Model inputs'!B1556,'Model inputs'!B1557,'Model inputs'!B1558,'Model inputs'!B1559,'Model inputs'!B1560,'Model inputs'!B1561,'Model inputs'!B1562,'Model inputs'!B1563,'Model inputs'!B1564,'Model inputs'!B1565,'Model inputs'!B1566,'Model inputs'!B1567,'Model inputs'!B1568,'Model inputs'!B1569,'Model inputs'!B1570,'Model inputs'!B1571,'Model inputs'!B1572,'Model inputs'!B1573,'Model inputs'!B1574,'Model inputs'!B1575,'Model inputs'!B1576,'Model inputs'!B1577,'Model inputs'!B1578,'Model inputs'!B1579,'Model inputs'!B1580,'Model inputs'!B1581,'Model inputs'!B1582,'Model inputs'!B1583,'Model inputs'!B1584,'Model inputs'!B1585,'Model inputs'!B1586,'Model inputs'!B1587,'Model inputs'!B1588,'Model inputs'!B1589,'Model inputs'!B1590,'Model inputs'!B1591))</f>
        <v>390000</v>
      </c>
      <c r="W53" s="16">
        <f>IF('Model inputs'!B1630=0,"",SUM('Model inputs'!B1593,'Model inputs'!B1594,'Model inputs'!B1595,'Model inputs'!B1596,'Model inputs'!B1597,'Model inputs'!B1598,'Model inputs'!B1599,'Model inputs'!B1600,'Model inputs'!B1601,'Model inputs'!B1602,'Model inputs'!B1603,'Model inputs'!B1604,'Model inputs'!B1605,'Model inputs'!B1606,'Model inputs'!B1607,'Model inputs'!B1608,'Model inputs'!B1609,'Model inputs'!B1610,'Model inputs'!B1611,'Model inputs'!B1612,'Model inputs'!B1613,'Model inputs'!B1614,'Model inputs'!B1615,'Model inputs'!B1616,'Model inputs'!B1617,'Model inputs'!B1618,'Model inputs'!B1619,'Model inputs'!B1620,'Model inputs'!B1621,'Model inputs'!B1622,'Model inputs'!B1623,'Model inputs'!B1624,'Model inputs'!B1625,'Model inputs'!B1626,'Model inputs'!B1627,'Model inputs'!B1628,'Model inputs'!B1629))</f>
        <v>426111.11111111107</v>
      </c>
      <c r="X53" s="16">
        <f>IF('Model inputs'!B1668=0,"",SUM('Model inputs'!B1631,'Model inputs'!B1632,'Model inputs'!B1633,'Model inputs'!B1634,'Model inputs'!B1635,'Model inputs'!B1636,'Model inputs'!B1637,'Model inputs'!B1638,'Model inputs'!B1639,'Model inputs'!B1640,'Model inputs'!B1641,'Model inputs'!B1642,'Model inputs'!B1643,'Model inputs'!B1644,'Model inputs'!B1645,'Model inputs'!B1646,'Model inputs'!B1647,'Model inputs'!B1648,'Model inputs'!B1649,'Model inputs'!B1650,'Model inputs'!B1651,'Model inputs'!B1652,'Model inputs'!B1653,'Model inputs'!B1654,'Model inputs'!B1655,'Model inputs'!B1656,'Model inputs'!B1657,'Model inputs'!B1658,'Model inputs'!B1659,'Model inputs'!B1660,'Model inputs'!B1661,'Model inputs'!B1662,'Model inputs'!B1663,'Model inputs'!B1664,'Model inputs'!B1665,'Model inputs'!B1666,'Model inputs'!B1667))</f>
        <v>462777.77777777775</v>
      </c>
      <c r="Y53" s="16">
        <f>IF('Model inputs'!B1706=0,"",SUM('Model inputs'!B1669,'Model inputs'!B1670,'Model inputs'!B1671,'Model inputs'!B1672,'Model inputs'!B1673,'Model inputs'!B1674,'Model inputs'!B1675,'Model inputs'!B1676,'Model inputs'!B1677,'Model inputs'!B1678,'Model inputs'!B1679,'Model inputs'!B1680,'Model inputs'!B1681,'Model inputs'!B1682,'Model inputs'!B1683,'Model inputs'!B1684,'Model inputs'!B1685,'Model inputs'!B1686,'Model inputs'!B1687,'Model inputs'!B1688,'Model inputs'!B1689,'Model inputs'!B1690,'Model inputs'!B1691,'Model inputs'!B1692,'Model inputs'!B1693,'Model inputs'!B1694,'Model inputs'!B1695,'Model inputs'!B1696,'Model inputs'!B1697,'Model inputs'!B1698,'Model inputs'!B1699,'Model inputs'!B1700,'Model inputs'!B1701,'Model inputs'!B1702,'Model inputs'!B1703,'Model inputs'!B1704,'Model inputs'!B1705))</f>
        <v>500000</v>
      </c>
      <c r="Z53" s="16">
        <f>IF('Model inputs'!B1744=0,"",SUM('Model inputs'!B1707,'Model inputs'!B1708,'Model inputs'!B1709,'Model inputs'!B1710,'Model inputs'!B1711,'Model inputs'!B1712,'Model inputs'!B1713,'Model inputs'!B1714,'Model inputs'!B1715,'Model inputs'!B1716,'Model inputs'!B1717,'Model inputs'!B1718,'Model inputs'!B1719,'Model inputs'!B1720,'Model inputs'!B1721,'Model inputs'!B1722,'Model inputs'!B1723,'Model inputs'!B1724,'Model inputs'!B1725,'Model inputs'!B1726,'Model inputs'!B1727,'Model inputs'!B1728,'Model inputs'!B1729,'Model inputs'!B1730,'Model inputs'!B1731,'Model inputs'!B1732,'Model inputs'!B1733,'Model inputs'!B1734,'Model inputs'!B1735,'Model inputs'!B1736,'Model inputs'!B1737,'Model inputs'!B1738,'Model inputs'!B1739,'Model inputs'!B1740,'Model inputs'!B1741,'Model inputs'!B1742,'Model inputs'!B1743))</f>
        <v>533576.3888888889</v>
      </c>
      <c r="AA53" s="16">
        <f>IF('Model inputs'!B1782=0,"",SUM('Model inputs'!B1745,'Model inputs'!B1746,'Model inputs'!B1747,'Model inputs'!B1748,'Model inputs'!B1749,'Model inputs'!B1750,'Model inputs'!B1751,'Model inputs'!B1752,'Model inputs'!B1753,'Model inputs'!B1754,'Model inputs'!B1755,'Model inputs'!B1756,'Model inputs'!B1757,'Model inputs'!B1758,'Model inputs'!B1759,'Model inputs'!B1760,'Model inputs'!B1761,'Model inputs'!B1762,'Model inputs'!B1763,'Model inputs'!B1764,'Model inputs'!B1765,'Model inputs'!B1766,'Model inputs'!B1767,'Model inputs'!B1768,'Model inputs'!B1769,'Model inputs'!B1770,'Model inputs'!B1771,'Model inputs'!B1772,'Model inputs'!B1773,'Model inputs'!B1774,'Model inputs'!B1775,'Model inputs'!B1776,'Model inputs'!B1777,'Model inputs'!B1778,'Model inputs'!B1779,'Model inputs'!B1780,'Model inputs'!B1781))</f>
        <v>567638.888888889</v>
      </c>
      <c r="AB53" s="16">
        <f>IF('Model inputs'!B1820=0,"",SUM('Model inputs'!B1783,'Model inputs'!B1784,'Model inputs'!B1785,'Model inputs'!B1786,'Model inputs'!B1787,'Model inputs'!B1788,'Model inputs'!B1789,'Model inputs'!B1790,'Model inputs'!B1791,'Model inputs'!B1792,'Model inputs'!B1793,'Model inputs'!B1794,'Model inputs'!B1795,'Model inputs'!B1796,'Model inputs'!B1797,'Model inputs'!B1798,'Model inputs'!B1799,'Model inputs'!B1800,'Model inputs'!B1801,'Model inputs'!B1802,'Model inputs'!B1803,'Model inputs'!B1804,'Model inputs'!B1805,'Model inputs'!B1806,'Model inputs'!B1807,'Model inputs'!B1808,'Model inputs'!B1809,'Model inputs'!B1810,'Model inputs'!B1811,'Model inputs'!B1812,'Model inputs'!B1813,'Model inputs'!B1814,'Model inputs'!B1815,'Model inputs'!B1816,'Model inputs'!B1817,'Model inputs'!B1818,'Model inputs'!B1819))</f>
        <v>602187.5</v>
      </c>
      <c r="AC53" s="16">
        <f>IF('Model inputs'!B1858=0,"",SUM('Model inputs'!B1821,'Model inputs'!B1822,'Model inputs'!B1823,'Model inputs'!B1824,'Model inputs'!B1825,'Model inputs'!B1826,'Model inputs'!B1827,'Model inputs'!B1828,'Model inputs'!B1829,'Model inputs'!B1830,'Model inputs'!B1831,'Model inputs'!B1832,'Model inputs'!B1833,'Model inputs'!B1834,'Model inputs'!B1835,'Model inputs'!B1836,'Model inputs'!B1837,'Model inputs'!B1838,'Model inputs'!B1839,'Model inputs'!B1840,'Model inputs'!B1841,'Model inputs'!B1842,'Model inputs'!B1843,'Model inputs'!B1844,'Model inputs'!B1845,'Model inputs'!B1846,'Model inputs'!B1847,'Model inputs'!B1848,'Model inputs'!B1849,'Model inputs'!B1850,'Model inputs'!B1851,'Model inputs'!B1852,'Model inputs'!B1853,'Model inputs'!B1854,'Model inputs'!B1855,'Model inputs'!B1856,'Model inputs'!B1857))</f>
        <v>637222.2222222222</v>
      </c>
      <c r="AD53" s="16">
        <f>IF('Model inputs'!B1896=0,"",SUM('Model inputs'!B1859,'Model inputs'!B1860,'Model inputs'!B1861,'Model inputs'!B1862,'Model inputs'!B1863,'Model inputs'!B1864,'Model inputs'!B1865,'Model inputs'!B1866,'Model inputs'!B1867,'Model inputs'!B1868,'Model inputs'!B1869,'Model inputs'!B1870,'Model inputs'!B1871,'Model inputs'!B1872,'Model inputs'!B1873,'Model inputs'!B1874,'Model inputs'!B1875,'Model inputs'!B1876,'Model inputs'!B1877,'Model inputs'!B1878,'Model inputs'!B1879,'Model inputs'!B1880,'Model inputs'!B1881,'Model inputs'!B1882,'Model inputs'!B1883,'Model inputs'!B1884,'Model inputs'!B1885,'Model inputs'!B1886,'Model inputs'!B1887,'Model inputs'!B1888,'Model inputs'!B1889,'Model inputs'!B1890,'Model inputs'!B1891,'Model inputs'!B1892,'Model inputs'!B1893,'Model inputs'!B1894,'Model inputs'!B1895))</f>
        <v>672743.0555555555</v>
      </c>
      <c r="AE53" s="16">
        <f>IF('Model inputs'!B1934=0,"",SUM('Model inputs'!B1897,'Model inputs'!B1898,'Model inputs'!B1899,'Model inputs'!B1900,'Model inputs'!B1901,'Model inputs'!B1902,'Model inputs'!B1903,'Model inputs'!B1904,'Model inputs'!B1905,'Model inputs'!B1906,'Model inputs'!B1907,'Model inputs'!B1908,'Model inputs'!B1909,'Model inputs'!B1910,'Model inputs'!B1911,'Model inputs'!B1912,'Model inputs'!B1913,'Model inputs'!B1914,'Model inputs'!B1915,'Model inputs'!B1916,'Model inputs'!B1917,'Model inputs'!B1918,'Model inputs'!B1919,'Model inputs'!B1920,'Model inputs'!B1921,'Model inputs'!B1922,'Model inputs'!B1923,'Model inputs'!B1924,'Model inputs'!B1925,'Model inputs'!B1926,'Model inputs'!B1927,'Model inputs'!B1928,'Model inputs'!B1929,'Model inputs'!B1930,'Model inputs'!B1931,'Model inputs'!B1932,'Model inputs'!B1933))</f>
        <v>708750</v>
      </c>
      <c r="AF53" s="16">
        <f>IF('Model inputs'!B1972=0,"",SUM('Model inputs'!B1935,'Model inputs'!B1936,'Model inputs'!B1937,'Model inputs'!B1938,'Model inputs'!B1939,'Model inputs'!B1940,'Model inputs'!B1941,'Model inputs'!B1942,'Model inputs'!B1943,'Model inputs'!B1944,'Model inputs'!B1945,'Model inputs'!B1946,'Model inputs'!B1947,'Model inputs'!B1948,'Model inputs'!B1949,'Model inputs'!B1950,'Model inputs'!B1951,'Model inputs'!B1952,'Model inputs'!B1953,'Model inputs'!B1954,'Model inputs'!B1955,'Model inputs'!B1956,'Model inputs'!B1957,'Model inputs'!B1958,'Model inputs'!B1959,'Model inputs'!B1960,'Model inputs'!B1961,'Model inputs'!B1962,'Model inputs'!B1963,'Model inputs'!B1964,'Model inputs'!B1965,'Model inputs'!B1966,'Model inputs'!B1967,'Model inputs'!B1968,'Model inputs'!B1969,'Model inputs'!B1970,'Model inputs'!B1971))</f>
        <v>736423.611111111</v>
      </c>
      <c r="AG53" s="16">
        <f>IF('Model inputs'!B2010=0,"",SUM('Model inputs'!B1973,'Model inputs'!B1974,'Model inputs'!B1975,'Model inputs'!B1976,'Model inputs'!B1977,'Model inputs'!B1978,'Model inputs'!B1979,'Model inputs'!B1980,'Model inputs'!B1981,'Model inputs'!B1982,'Model inputs'!B1983,'Model inputs'!B1984,'Model inputs'!B1985,'Model inputs'!B1986,'Model inputs'!B1987,'Model inputs'!B1988,'Model inputs'!B1989,'Model inputs'!B1990,'Model inputs'!B1991,'Model inputs'!B1992,'Model inputs'!B1993,'Model inputs'!B1994,'Model inputs'!B1995,'Model inputs'!B1996,'Model inputs'!B1997,'Model inputs'!B1998,'Model inputs'!B1999,'Model inputs'!B2000,'Model inputs'!B2001,'Model inputs'!B2002,'Model inputs'!B2003,'Model inputs'!B2004,'Model inputs'!B2005,'Model inputs'!B2006,'Model inputs'!B2007,'Model inputs'!B2008,'Model inputs'!B2009))</f>
        <v>764444.4444444445</v>
      </c>
      <c r="AH53" s="16">
        <f>IF('Model inputs'!B2048=0,"",SUM('Model inputs'!B2011,'Model inputs'!B2012,'Model inputs'!B2013,'Model inputs'!B2014,'Model inputs'!B2015,'Model inputs'!B2016,'Model inputs'!B2017,'Model inputs'!B2018,'Model inputs'!B2019,'Model inputs'!B2020,'Model inputs'!B2021,'Model inputs'!B2022,'Model inputs'!B2023,'Model inputs'!B2024,'Model inputs'!B2025,'Model inputs'!B2026,'Model inputs'!B2027,'Model inputs'!B2028,'Model inputs'!B2029,'Model inputs'!B2030,'Model inputs'!B2031,'Model inputs'!B2032,'Model inputs'!B2033,'Model inputs'!B2034,'Model inputs'!B2035,'Model inputs'!B2036,'Model inputs'!B2037,'Model inputs'!B2038,'Model inputs'!B2039,'Model inputs'!B2040,'Model inputs'!B2041,'Model inputs'!B2042,'Model inputs'!B2043,'Model inputs'!B2044,'Model inputs'!B2045,'Model inputs'!B2046,'Model inputs'!B2047))</f>
        <v>792812.5</v>
      </c>
      <c r="AI53" s="16">
        <f>IF('Model inputs'!B2086=0,"",SUM('Model inputs'!B2049,'Model inputs'!B2050,'Model inputs'!B2051,'Model inputs'!B2052,'Model inputs'!B2053,'Model inputs'!B2054,'Model inputs'!B2055,'Model inputs'!B2056,'Model inputs'!B2057,'Model inputs'!B2058,'Model inputs'!B2059,'Model inputs'!B2060,'Model inputs'!B2061,'Model inputs'!B2062,'Model inputs'!B2063,'Model inputs'!B2064,'Model inputs'!B2065,'Model inputs'!B2066,'Model inputs'!B2067,'Model inputs'!B2068,'Model inputs'!B2069,'Model inputs'!B2070,'Model inputs'!B2071,'Model inputs'!B2072,'Model inputs'!B2073,'Model inputs'!B2074,'Model inputs'!B2075,'Model inputs'!B2076,'Model inputs'!B2077,'Model inputs'!B2078,'Model inputs'!B2079,'Model inputs'!B2080,'Model inputs'!B2081,'Model inputs'!B2082,'Model inputs'!B2083,'Model inputs'!B2084,'Model inputs'!B2085))</f>
        <v>821527.7777777778</v>
      </c>
      <c r="AJ53" s="16">
        <f>IF('Model inputs'!B2124=0,"",SUM('Model inputs'!B2087,'Model inputs'!B2088,'Model inputs'!B2089,'Model inputs'!B2090,'Model inputs'!B2091,'Model inputs'!B2092,'Model inputs'!B2093,'Model inputs'!B2094,'Model inputs'!B2095,'Model inputs'!B2096,'Model inputs'!B2097,'Model inputs'!B2098,'Model inputs'!B2099,'Model inputs'!B2100,'Model inputs'!B2101,'Model inputs'!B2102,'Model inputs'!B2103,'Model inputs'!B2104,'Model inputs'!B2105,'Model inputs'!B2106,'Model inputs'!B2107,'Model inputs'!B2108,'Model inputs'!B2109,'Model inputs'!B2110,'Model inputs'!B2111,'Model inputs'!B2112,'Model inputs'!B2113,'Model inputs'!B2114,'Model inputs'!B2115,'Model inputs'!B2116,'Model inputs'!B2117,'Model inputs'!B2118,'Model inputs'!B2119,'Model inputs'!B2120,'Model inputs'!B2121,'Model inputs'!B2122,'Model inputs'!B2123))</f>
        <v>850590.2777777779</v>
      </c>
      <c r="AK53" s="16">
        <f>IF('Model inputs'!B2162=0,"",SUM('Model inputs'!B2125,'Model inputs'!B2126,'Model inputs'!B2127,'Model inputs'!B2128,'Model inputs'!B2129,'Model inputs'!B2130,'Model inputs'!B2131,'Model inputs'!B2132,'Model inputs'!B2133,'Model inputs'!B2134,'Model inputs'!B2135,'Model inputs'!B2136,'Model inputs'!B2137,'Model inputs'!B2138,'Model inputs'!B2139,'Model inputs'!B2140,'Model inputs'!B2141,'Model inputs'!B2142,'Model inputs'!B2143,'Model inputs'!B2144,'Model inputs'!B2145,'Model inputs'!B2146,'Model inputs'!B2147,'Model inputs'!B2148,'Model inputs'!B2149,'Model inputs'!B2150,'Model inputs'!B2151,'Model inputs'!B2152,'Model inputs'!B2153,'Model inputs'!B2154,'Model inputs'!B2155,'Model inputs'!B2156,'Model inputs'!B2157,'Model inputs'!B2158,'Model inputs'!B2159,'Model inputs'!B2160,'Model inputs'!B2161))</f>
        <v>880000</v>
      </c>
    </row>
    <row r="54">
      <c r="A54" t="inlineStr" s="9">
        <is>
          <t xml:space="preserve">Total cash outflow</t>
        </is>
      </c>
      <c r="B54" s="16">
        <f>'POA — Monthly financial forecas'!B37+'POA — Monthly financial forecas'!B48+'POA — Monthly financial forecas'!B50+'POA — Monthly financial forecas'!B51</f>
        <v>21290.375</v>
      </c>
      <c r="C54" s="16">
        <f>'POA — Monthly financial forecas'!C37+'POA — Monthly financial forecas'!C48+'POA — Monthly financial forecas'!C50+'POA — Monthly financial forecas'!C51</f>
        <v>23599.880952380954</v>
      </c>
      <c r="D54" s="16">
        <f>'POA — Monthly financial forecas'!D37+'POA — Monthly financial forecas'!D48+'POA — Monthly financial forecas'!D50+'POA — Monthly financial forecas'!D51</f>
        <v>25909.470238095237</v>
      </c>
      <c r="E54" s="16">
        <f>'POA — Monthly financial forecas'!E37+'POA — Monthly financial forecas'!E48+'POA — Monthly financial forecas'!E50+'POA — Monthly financial forecas'!E51</f>
        <v>28219.14285714286</v>
      </c>
      <c r="F54" s="16">
        <f>'POA — Monthly financial forecas'!F37+'POA — Monthly financial forecas'!F48+'POA — Monthly financial forecas'!F50+'POA — Monthly financial forecas'!F51</f>
        <v>30528.89880952381</v>
      </c>
      <c r="G54" s="16">
        <f>'POA — Monthly financial forecas'!G37+'POA — Monthly financial forecas'!G48+'POA — Monthly financial forecas'!G50+'POA — Monthly financial forecas'!G51</f>
        <v>32838.73809523809</v>
      </c>
      <c r="H54" s="16">
        <f>'POA — Monthly financial forecas'!H37+'POA — Monthly financial forecas'!H48+'POA — Monthly financial forecas'!H50+'POA — Monthly financial forecas'!H51</f>
        <v>52628.902717652716</v>
      </c>
      <c r="I54" s="16">
        <f>'POA — Monthly financial forecas'!I37+'POA — Monthly financial forecas'!I48+'POA — Monthly financial forecas'!I50+'POA — Monthly financial forecas'!I51</f>
        <v>57451.91101491101</v>
      </c>
      <c r="J54" s="16">
        <f>'POA — Monthly financial forecas'!J37+'POA — Monthly financial forecas'!J48+'POA — Monthly financial forecas'!J50+'POA — Monthly financial forecas'!J51</f>
        <v>62276.01695526696</v>
      </c>
      <c r="K54" s="16">
        <f>'POA — Monthly financial forecas'!K37+'POA — Monthly financial forecas'!K48+'POA — Monthly financial forecas'!K50+'POA — Monthly financial forecas'!K51</f>
        <v>67101.22053872052</v>
      </c>
      <c r="L54" s="16">
        <f>'POA — Monthly financial forecas'!L37+'POA — Monthly financial forecas'!L48+'POA — Monthly financial forecas'!L50+'POA — Monthly financial forecas'!L51</f>
        <v>71927.52176527177</v>
      </c>
      <c r="M54" s="16">
        <f>'POA — Monthly financial forecas'!M37+'POA — Monthly financial forecas'!M48+'POA — Monthly financial forecas'!M50+'POA — Monthly financial forecas'!M51</f>
        <v>76754.92063492065</v>
      </c>
      <c r="N54" s="16">
        <f>'POA — Monthly financial forecas'!N37+'POA — Monthly financial forecas'!N48+'POA — Monthly financial forecas'!N50+'POA — Monthly financial forecas'!N51</f>
        <v>119530.91209716209</v>
      </c>
      <c r="O54" s="16">
        <f>'POA — Monthly financial forecas'!O37+'POA — Monthly financial forecas'!O48+'POA — Monthly financial forecas'!O50+'POA — Monthly financial forecas'!O51</f>
        <v>129378.88792688791</v>
      </c>
      <c r="P54" s="16">
        <f>'POA — Monthly financial forecas'!P37+'POA — Monthly financial forecas'!P48+'POA — Monthly financial forecas'!P50+'POA — Monthly financial forecas'!P51</f>
        <v>139229.00685425688</v>
      </c>
      <c r="Q54" s="16">
        <f>'POA — Monthly financial forecas'!Q37+'POA — Monthly financial forecas'!Q48+'POA — Monthly financial forecas'!Q50+'POA — Monthly financial forecas'!Q51</f>
        <v>149081.2688792688</v>
      </c>
      <c r="R54" s="16">
        <f>'POA — Monthly financial forecas'!R37+'POA — Monthly financial forecas'!R48+'POA — Monthly financial forecas'!R50+'POA — Monthly financial forecas'!R51</f>
        <v>158935.67400192402</v>
      </c>
      <c r="S54" s="16">
        <f>'POA — Monthly financial forecas'!S37+'POA — Monthly financial forecas'!S48+'POA — Monthly financial forecas'!S50+'POA — Monthly financial forecas'!S51</f>
        <v>168792.22222222225</v>
      </c>
      <c r="T54" s="16">
        <f>'POA — Monthly financial forecas'!T37+'POA — Monthly financial forecas'!T48+'POA — Monthly financial forecas'!T50+'POA — Monthly financial forecas'!T51</f>
        <v>180281.74603174606</v>
      </c>
      <c r="U54" s="16">
        <f>'POA — Monthly financial forecas'!U37+'POA — Monthly financial forecas'!U48+'POA — Monthly financial forecas'!U50+'POA — Monthly financial forecas'!U51</f>
        <v>188778.73015873006</v>
      </c>
      <c r="V54" s="16">
        <f>'POA — Monthly financial forecas'!V37+'POA — Monthly financial forecas'!V48+'POA — Monthly financial forecas'!V50+'POA — Monthly financial forecas'!V51</f>
        <v>197276.82539682544</v>
      </c>
      <c r="W54" s="16">
        <f>'POA — Monthly financial forecas'!W37+'POA — Monthly financial forecas'!W48+'POA — Monthly financial forecas'!W50+'POA — Monthly financial forecas'!W51</f>
        <v>205776.03174603163</v>
      </c>
      <c r="X54" s="16">
        <f>'POA — Monthly financial forecas'!X37+'POA — Monthly financial forecas'!X48+'POA — Monthly financial forecas'!X50+'POA — Monthly financial forecas'!X51</f>
        <v>214276.34920634923</v>
      </c>
      <c r="Y54" s="16">
        <f>'POA — Monthly financial forecas'!Y37+'POA — Monthly financial forecas'!Y48+'POA — Monthly financial forecas'!Y50+'POA — Monthly financial forecas'!Y51</f>
        <v>222777.7777777778</v>
      </c>
      <c r="Z54" s="16">
        <f>'POA — Monthly financial forecas'!Z37+'POA — Monthly financial forecas'!Z48+'POA — Monthly financial forecas'!Z50+'POA — Monthly financial forecas'!Z51</f>
        <v>222471.91468253967</v>
      </c>
      <c r="AA54" s="16">
        <f>'POA — Monthly financial forecas'!AA37+'POA — Monthly financial forecas'!AA48+'POA — Monthly financial forecas'!AA50+'POA — Monthly financial forecas'!AA51</f>
        <v>229651.15079365086</v>
      </c>
      <c r="AB54" s="16">
        <f>'POA — Monthly financial forecas'!AB37+'POA — Monthly financial forecas'!AB48+'POA — Monthly financial forecas'!AB50+'POA — Monthly financial forecas'!AB51</f>
        <v>236831.35912698408</v>
      </c>
      <c r="AC54" s="16">
        <f>'POA — Monthly financial forecas'!AC37+'POA — Monthly financial forecas'!AC48+'POA — Monthly financial forecas'!AC50+'POA — Monthly financial forecas'!AC51</f>
        <v>244012.53968253965</v>
      </c>
      <c r="AD54" s="16">
        <f>'POA — Monthly financial forecas'!AD37+'POA — Monthly financial forecas'!AD48+'POA — Monthly financial forecas'!AD50+'POA — Monthly financial forecas'!AD51</f>
        <v>251194.69246031743</v>
      </c>
      <c r="AE54" s="16">
        <f>'POA — Monthly financial forecas'!AE37+'POA — Monthly financial forecas'!AE48+'POA — Monthly financial forecas'!AE50+'POA — Monthly financial forecas'!AE51</f>
        <v>258377.81746031757</v>
      </c>
      <c r="AF54" s="16">
        <f>'POA — Monthly financial forecas'!AF37+'POA — Monthly financial forecas'!AF48+'POA — Monthly financial forecas'!AF50+'POA — Monthly financial forecas'!AF51</f>
        <v>249377.60912698403</v>
      </c>
      <c r="AG54" s="16">
        <f>'POA — Monthly financial forecas'!AG37+'POA — Monthly financial forecas'!AG48+'POA — Monthly financial forecas'!AG50+'POA — Monthly financial forecas'!AG51</f>
        <v>255346.34920634935</v>
      </c>
      <c r="AH54" s="16">
        <f>'POA — Monthly financial forecas'!AH37+'POA — Monthly financial forecas'!AH48+'POA — Monthly financial forecas'!AH50+'POA — Monthly financial forecas'!AH51</f>
        <v>261315.78373015864</v>
      </c>
      <c r="AI54" s="16">
        <f>'POA — Monthly financial forecas'!AI37+'POA — Monthly financial forecas'!AI48+'POA — Monthly financial forecas'!AI50+'POA — Monthly financial forecas'!AI51</f>
        <v>267285.9126984126</v>
      </c>
      <c r="AJ54" s="16">
        <f>'POA — Monthly financial forecas'!AJ37+'POA — Monthly financial forecas'!AJ48+'POA — Monthly financial forecas'!AJ50+'POA — Monthly financial forecas'!AJ51</f>
        <v>273256.7361111113</v>
      </c>
      <c r="AK54" s="16">
        <f>'POA — Monthly financial forecas'!AK37+'POA — Monthly financial forecas'!AK48+'POA — Monthly financial forecas'!AK50+'POA — Monthly financial forecas'!AK51</f>
        <v>279228.25396825385</v>
      </c>
    </row>
    <row r="55">
      <c r="A55" t="inlineStr" s="9">
        <is>
          <t xml:space="preserve">Net cash flow</t>
        </is>
      </c>
      <c r="B55" s="16">
        <f>'POA — Monthly financial forecas'!B53-'POA — Monthly financial forecas'!B54+'POA — Monthly financial forecas'!B52</f>
        <v>-17769.541666666668</v>
      </c>
      <c r="C55" s="16">
        <f>'POA — Monthly financial forecas'!C53-'POA — Monthly financial forecas'!C54+'POA — Monthly financial forecas'!C52</f>
        <v>-16516.547619047622</v>
      </c>
      <c r="D55" s="16">
        <f>'POA — Monthly financial forecas'!D53-'POA — Monthly financial forecas'!D54+'POA — Monthly financial forecas'!D52</f>
        <v>-15221.970238095237</v>
      </c>
      <c r="E55" s="16">
        <f>'POA — Monthly financial forecas'!E53-'POA — Monthly financial forecas'!E54+'POA — Monthly financial forecas'!E52</f>
        <v>-13885.809523809525</v>
      </c>
      <c r="F55" s="16">
        <f>'POA — Monthly financial forecas'!F53-'POA — Monthly financial forecas'!F54+'POA — Monthly financial forecas'!F52</f>
        <v>-12508.065476190477</v>
      </c>
      <c r="G55" s="16">
        <f>'POA — Monthly financial forecas'!G53-'POA — Monthly financial forecas'!G54+'POA — Monthly financial forecas'!G52</f>
        <v>-11088.738095238092</v>
      </c>
      <c r="H55" s="16">
        <f>'POA — Monthly financial forecas'!H53-'POA — Monthly financial forecas'!H54+'POA — Monthly financial forecas'!H52</f>
        <v>-20320.401034151037</v>
      </c>
      <c r="I55" s="16">
        <f>'POA — Monthly financial forecas'!I53-'POA — Monthly financial forecas'!I54+'POA — Monthly financial forecas'!I52</f>
        <v>-14036.086099086104</v>
      </c>
      <c r="J55" s="16">
        <f>'POA — Monthly financial forecas'!J53-'POA — Monthly financial forecas'!J54+'POA — Monthly financial forecas'!J52</f>
        <v>-7204.047258297265</v>
      </c>
      <c r="K55" s="16">
        <f>'POA — Monthly financial forecas'!K53-'POA — Monthly financial forecas'!K54+'POA — Monthly financial forecas'!K52</f>
        <v>175.71548821550095</v>
      </c>
      <c r="L55" s="16">
        <f>'POA — Monthly financial forecas'!L53-'POA — Monthly financial forecas'!L54+'POA — Monthly financial forecas'!L52</f>
        <v>8103.2021404521365</v>
      </c>
      <c r="M55" s="16">
        <f>'POA — Monthly financial forecas'!M53-'POA — Monthly financial forecas'!M54+'POA — Monthly financial forecas'!M52</f>
        <v>16578.412698412678</v>
      </c>
      <c r="N55" s="16">
        <f>'POA — Monthly financial forecas'!N53-'POA — Monthly financial forecas'!N54+'POA — Monthly financial forecas'!N52</f>
        <v>3067.993626743628</v>
      </c>
      <c r="O55" s="16">
        <f>'POA — Monthly financial forecas'!O53-'POA — Monthly financial forecas'!O54+'POA — Monthly financial forecas'!O52</f>
        <v>23557.13900913899</v>
      </c>
      <c r="P55" s="16">
        <f>'POA — Monthly financial forecas'!P53-'POA — Monthly financial forecas'!P54+'POA — Monthly financial forecas'!P52</f>
        <v>45115.690115440084</v>
      </c>
      <c r="Q55" s="16">
        <f>'POA — Monthly financial forecas'!Q53-'POA — Monthly financial forecas'!Q54+'POA — Monthly financial forecas'!Q52</f>
        <v>67743.646945647</v>
      </c>
      <c r="R55" s="16">
        <f>'POA — Monthly financial forecas'!R53-'POA — Monthly financial forecas'!R54+'POA — Monthly financial forecas'!R52</f>
        <v>91441.00949975947</v>
      </c>
      <c r="S55" s="16">
        <f>'POA — Monthly financial forecas'!S53-'POA — Monthly financial forecas'!S54+'POA — Monthly financial forecas'!S52</f>
        <v>116207.77777777775</v>
      </c>
      <c r="T55" s="16">
        <f>'POA — Monthly financial forecas'!T53-'POA — Monthly financial forecas'!T54+'POA — Monthly financial forecas'!T52</f>
        <v>139162.69841269843</v>
      </c>
      <c r="U55" s="16">
        <f>'POA — Monthly financial forecas'!U53-'POA — Monthly financial forecas'!U54+'POA — Monthly financial forecas'!U52</f>
        <v>165665.71428571432</v>
      </c>
      <c r="V55" s="16">
        <f>'POA — Monthly financial forecas'!V53-'POA — Monthly financial forecas'!V54+'POA — Monthly financial forecas'!V52</f>
        <v>192723.17460317456</v>
      </c>
      <c r="W55" s="16">
        <f>'POA — Monthly financial forecas'!W53-'POA — Monthly financial forecas'!W54+'POA — Monthly financial forecas'!W52</f>
        <v>220335.07936507944</v>
      </c>
      <c r="X55" s="16">
        <f>'POA — Monthly financial forecas'!X53-'POA — Monthly financial forecas'!X54+'POA — Monthly financial forecas'!X52</f>
        <v>248501.42857142852</v>
      </c>
      <c r="Y55" s="16">
        <f>'POA — Monthly financial forecas'!Y53-'POA — Monthly financial forecas'!Y54+'POA — Monthly financial forecas'!Y52</f>
        <v>277222.2222222222</v>
      </c>
      <c r="Z55" s="16">
        <f>'POA — Monthly financial forecas'!Z53-'POA — Monthly financial forecas'!Z54+'POA — Monthly financial forecas'!Z52</f>
        <v>311104.47420634923</v>
      </c>
      <c r="AA55" s="16">
        <f>'POA — Monthly financial forecas'!AA53-'POA — Monthly financial forecas'!AA54+'POA — Monthly financial forecas'!AA52</f>
        <v>337987.7380952381</v>
      </c>
      <c r="AB55" s="16">
        <f>'POA — Monthly financial forecas'!AB53-'POA — Monthly financial forecas'!AB54+'POA — Monthly financial forecas'!AB52</f>
        <v>365356.1408730159</v>
      </c>
      <c r="AC55" s="16">
        <f>'POA — Monthly financial forecas'!AC53-'POA — Monthly financial forecas'!AC54+'POA — Monthly financial forecas'!AC52</f>
        <v>393209.6825396826</v>
      </c>
      <c r="AD55" s="16">
        <f>'POA — Monthly financial forecas'!AD53-'POA — Monthly financial forecas'!AD54+'POA — Monthly financial forecas'!AD52</f>
        <v>421548.3630952381</v>
      </c>
      <c r="AE55" s="16">
        <f>'POA — Monthly financial forecas'!AE53-'POA — Monthly financial forecas'!AE54+'POA — Monthly financial forecas'!AE52</f>
        <v>450372.1825396824</v>
      </c>
      <c r="AF55" s="16">
        <f>'POA — Monthly financial forecas'!AF53-'POA — Monthly financial forecas'!AF54+'POA — Monthly financial forecas'!AF52</f>
        <v>487046.001984127</v>
      </c>
      <c r="AG55" s="16">
        <f>'POA — Monthly financial forecas'!AG53-'POA — Monthly financial forecas'!AG54+'POA — Monthly financial forecas'!AG52</f>
        <v>509098.09523809515</v>
      </c>
      <c r="AH55" s="16">
        <f>'POA — Monthly financial forecas'!AH53-'POA — Monthly financial forecas'!AH54+'POA — Monthly financial forecas'!AH52</f>
        <v>531496.7162698414</v>
      </c>
      <c r="AI55" s="16">
        <f>'POA — Monthly financial forecas'!AI53-'POA — Monthly financial forecas'!AI54+'POA — Monthly financial forecas'!AI52</f>
        <v>554241.8650793652</v>
      </c>
      <c r="AJ55" s="16">
        <f>'POA — Monthly financial forecas'!AJ53-'POA — Monthly financial forecas'!AJ54+'POA — Monthly financial forecas'!AJ52</f>
        <v>577333.5416666665</v>
      </c>
      <c r="AK55" s="16">
        <f>'POA — Monthly financial forecas'!AK53-'POA — Monthly financial forecas'!AK54+'POA — Monthly financial forecas'!AK52</f>
        <v>600771.7460317462</v>
      </c>
    </row>
    <row r="56">
      <c r="A56" t="inlineStr" s="9">
        <is>
          <t xml:space="preserve">Net cash burn</t>
        </is>
      </c>
      <c r="B56" s="16">
        <f>MAX(-'POA — Monthly financial forecas'!B55,0)</f>
        <v>17769.541666666668</v>
      </c>
      <c r="C56" s="16">
        <f>MAX(-'POA — Monthly financial forecas'!C55,0)</f>
        <v>16516.547619047622</v>
      </c>
      <c r="D56" s="16">
        <f>MAX(-'POA — Monthly financial forecas'!D55,0)</f>
        <v>15221.970238095237</v>
      </c>
      <c r="E56" s="16">
        <f>MAX(-'POA — Monthly financial forecas'!E55,0)</f>
        <v>13885.809523809525</v>
      </c>
      <c r="F56" s="16">
        <f>MAX(-'POA — Monthly financial forecas'!F55,0)</f>
        <v>12508.065476190477</v>
      </c>
      <c r="G56" s="16">
        <f>MAX(-'POA — Monthly financial forecas'!G55,0)</f>
        <v>11088.738095238092</v>
      </c>
      <c r="H56" s="16">
        <f>MAX(-'POA — Monthly financial forecas'!H55,0)</f>
        <v>20320.401034151037</v>
      </c>
      <c r="I56" s="16">
        <f>MAX(-'POA — Monthly financial forecas'!I55,0)</f>
        <v>14036.086099086104</v>
      </c>
      <c r="J56" s="16">
        <f>MAX(-'POA — Monthly financial forecas'!J55,0)</f>
        <v>7204.047258297265</v>
      </c>
      <c r="K56" s="16">
        <f>MAX(-'POA — Monthly financial forecas'!K55,0)</f>
        <v>0</v>
      </c>
      <c r="L56" s="16">
        <f>MAX(-'POA — Monthly financial forecas'!L55,0)</f>
        <v>0</v>
      </c>
      <c r="M56" s="16">
        <f>MAX(-'POA — Monthly financial forecas'!M55,0)</f>
        <v>0</v>
      </c>
      <c r="N56" s="16">
        <f>MAX(-'POA — Monthly financial forecas'!N55,0)</f>
        <v>0</v>
      </c>
      <c r="O56" s="16">
        <f>MAX(-'POA — Monthly financial forecas'!O55,0)</f>
        <v>0</v>
      </c>
      <c r="P56" s="16">
        <f>MAX(-'POA — Monthly financial forecas'!P55,0)</f>
        <v>0</v>
      </c>
      <c r="Q56" s="16">
        <f>MAX(-'POA — Monthly financial forecas'!Q55,0)</f>
        <v>0</v>
      </c>
      <c r="R56" s="16">
        <f>MAX(-'POA — Monthly financial forecas'!R55,0)</f>
        <v>0</v>
      </c>
      <c r="S56" s="16">
        <f>MAX(-'POA — Monthly financial forecas'!S55,0)</f>
        <v>0</v>
      </c>
      <c r="T56" s="16">
        <f>MAX(-'POA — Monthly financial forecas'!T55,0)</f>
        <v>0</v>
      </c>
      <c r="U56" s="16">
        <f>MAX(-'POA — Monthly financial forecas'!U55,0)</f>
        <v>0</v>
      </c>
      <c r="V56" s="16">
        <f>MAX(-'POA — Monthly financial forecas'!V55,0)</f>
        <v>0</v>
      </c>
      <c r="W56" s="16">
        <f>MAX(-'POA — Monthly financial forecas'!W55,0)</f>
        <v>0</v>
      </c>
      <c r="X56" s="16">
        <f>MAX(-'POA — Monthly financial forecas'!X55,0)</f>
        <v>0</v>
      </c>
      <c r="Y56" s="16">
        <f>MAX(-'POA — Monthly financial forecas'!Y55,0)</f>
        <v>0</v>
      </c>
      <c r="Z56" s="16">
        <f>MAX(-'POA — Monthly financial forecas'!Z55,0)</f>
        <v>0</v>
      </c>
      <c r="AA56" s="16">
        <f>MAX(-'POA — Monthly financial forecas'!AA55,0)</f>
        <v>0</v>
      </c>
      <c r="AB56" s="16">
        <f>MAX(-'POA — Monthly financial forecas'!AB55,0)</f>
        <v>0</v>
      </c>
      <c r="AC56" s="16">
        <f>MAX(-'POA — Monthly financial forecas'!AC55,0)</f>
        <v>0</v>
      </c>
      <c r="AD56" s="16">
        <f>MAX(-'POA — Monthly financial forecas'!AD55,0)</f>
        <v>0</v>
      </c>
      <c r="AE56" s="16">
        <f>MAX(-'POA — Monthly financial forecas'!AE55,0)</f>
        <v>0</v>
      </c>
      <c r="AF56" s="16">
        <f>MAX(-'POA — Monthly financial forecas'!AF55,0)</f>
        <v>0</v>
      </c>
      <c r="AG56" s="16">
        <f>MAX(-'POA — Monthly financial forecas'!AG55,0)</f>
        <v>0</v>
      </c>
      <c r="AH56" s="16">
        <f>MAX(-'POA — Monthly financial forecas'!AH55,0)</f>
        <v>0</v>
      </c>
      <c r="AI56" s="16">
        <f>MAX(-'POA — Monthly financial forecas'!AI55,0)</f>
        <v>0</v>
      </c>
      <c r="AJ56" s="16">
        <f>MAX(-'POA — Monthly financial forecas'!AJ55,0)</f>
        <v>0</v>
      </c>
      <c r="AK56" s="16">
        <f>MAX(-'POA — Monthly financial forecas'!AK55,0)</f>
        <v>0</v>
      </c>
    </row>
    <row r="57">
      <c r="A57" t="inlineStr" s="9">
        <is>
          <t xml:space="preserve">Customer monthly gross profit</t>
        </is>
      </c>
      <c r="B57" s="16">
        <f>IFERROR('POA — Monthly financial forecas'!B38/'POA — Monthly financial forecas'!B7,0)</f>
        <v>3513.791666666667</v>
      </c>
      <c r="C57" s="16">
        <f>IFERROR('POA — Monthly financial forecas'!C38/'POA — Monthly financial forecas'!C7,0)</f>
        <v>3534.583333333333</v>
      </c>
      <c r="D57" s="16">
        <f>IFERROR('POA — Monthly financial forecas'!D38/'POA — Monthly financial forecas'!D7,0)</f>
        <v>3555.375</v>
      </c>
      <c r="E57" s="16">
        <f>IFERROR('POA — Monthly financial forecas'!E38/'POA — Monthly financial forecas'!E7,0)</f>
        <v>3576.166666666667</v>
      </c>
      <c r="F57" s="16">
        <f>IFERROR('POA — Monthly financial forecas'!F38/'POA — Monthly financial forecas'!F7,0)</f>
        <v>3596.958333333333</v>
      </c>
      <c r="G57" s="16">
        <f>IFERROR('POA — Monthly financial forecas'!G38/'POA — Monthly financial forecas'!G7,0)</f>
        <v>3617.75</v>
      </c>
      <c r="H57" s="16">
        <f>IFERROR('POA — Monthly financial forecas'!H38/'POA — Monthly financial forecas'!H7,0)</f>
        <v>3720.4482323232323</v>
      </c>
      <c r="I57" s="16">
        <f>IFERROR('POA — Monthly financial forecas'!I38/'POA — Monthly financial forecas'!I7,0)</f>
        <v>3823.1464646464647</v>
      </c>
      <c r="J57" s="16">
        <f>IFERROR('POA — Monthly financial forecas'!J38/'POA — Monthly financial forecas'!J7,0)</f>
        <v>3925.844696969697</v>
      </c>
      <c r="K57" s="16">
        <f>IFERROR('POA — Monthly financial forecas'!K38/'POA — Monthly financial forecas'!K7,0)</f>
        <v>4028.5429292929293</v>
      </c>
      <c r="L57" s="16">
        <f>IFERROR('POA — Monthly financial forecas'!L38/'POA — Monthly financial forecas'!L7,0)</f>
        <v>4131.241161616162</v>
      </c>
      <c r="M57" s="16">
        <f>IFERROR('POA — Monthly financial forecas'!M38/'POA — Monthly financial forecas'!M7,0)</f>
        <v>4233.939393939393</v>
      </c>
      <c r="N57" s="16">
        <f>IFERROR('POA — Monthly financial forecas'!N38/'POA — Monthly financial forecas'!N7,0)</f>
        <v>4318.366161616162</v>
      </c>
      <c r="O57" s="16">
        <f>IFERROR('POA — Monthly financial forecas'!O38/'POA — Monthly financial forecas'!O7,0)</f>
        <v>4402.792929292928</v>
      </c>
      <c r="P57" s="16">
        <f>IFERROR('POA — Monthly financial forecas'!P38/'POA — Monthly financial forecas'!P7,0)</f>
        <v>4487.219696969697</v>
      </c>
      <c r="Q57" s="16">
        <f>IFERROR('POA — Monthly financial forecas'!Q38/'POA — Monthly financial forecas'!Q7,0)</f>
        <v>4571.646464646465</v>
      </c>
      <c r="R57" s="16">
        <f>IFERROR('POA — Monthly financial forecas'!R38/'POA — Monthly financial forecas'!R7,0)</f>
        <v>4656.073232323232</v>
      </c>
      <c r="S57" s="16">
        <f>IFERROR('POA — Monthly financial forecas'!S38/'POA — Monthly financial forecas'!S7,0)</f>
        <v>4740.5</v>
      </c>
      <c r="T57" s="16">
        <f>IFERROR('POA — Monthly financial forecas'!T38/'POA — Monthly financial forecas'!T7,0)</f>
        <v>4782.083333333334</v>
      </c>
      <c r="U57" s="16">
        <f>IFERROR('POA — Monthly financial forecas'!U38/'POA — Monthly financial forecas'!U7,0)</f>
        <v>4823.666666666666</v>
      </c>
      <c r="V57" s="16">
        <f>IFERROR('POA — Monthly financial forecas'!V38/'POA — Monthly financial forecas'!V7,0)</f>
        <v>4865.25</v>
      </c>
      <c r="W57" s="16">
        <f>IFERROR('POA — Monthly financial forecas'!W38/'POA — Monthly financial forecas'!W7,0)</f>
        <v>4906.833333333333</v>
      </c>
      <c r="X57" s="16">
        <f>IFERROR('POA — Monthly financial forecas'!X38/'POA — Monthly financial forecas'!X7,0)</f>
        <v>4948.416666666667</v>
      </c>
      <c r="Y57" s="16">
        <f>IFERROR('POA — Monthly financial forecas'!Y38/'POA — Monthly financial forecas'!Y7,0)</f>
        <v>4990</v>
      </c>
      <c r="Z57" s="16">
        <f>IFERROR('POA — Monthly financial forecas'!Z38/'POA — Monthly financial forecas'!Z7,0)</f>
        <v>5031.583333333334</v>
      </c>
      <c r="AA57" s="16">
        <f>IFERROR('POA — Monthly financial forecas'!AA38/'POA — Monthly financial forecas'!AA7,0)</f>
        <v>5073.166666666668</v>
      </c>
      <c r="AB57" s="16">
        <f>IFERROR('POA — Monthly financial forecas'!AB38/'POA — Monthly financial forecas'!AB7,0)</f>
        <v>5114.75</v>
      </c>
      <c r="AC57" s="16">
        <f>IFERROR('POA — Monthly financial forecas'!AC38/'POA — Monthly financial forecas'!AC7,0)</f>
        <v>5156.333333333333</v>
      </c>
      <c r="AD57" s="16">
        <f>IFERROR('POA — Monthly financial forecas'!AD38/'POA — Monthly financial forecas'!AD7,0)</f>
        <v>5197.916666666667</v>
      </c>
      <c r="AE57" s="16">
        <f>IFERROR('POA — Monthly financial forecas'!AE38/'POA — Monthly financial forecas'!AE7,0)</f>
        <v>5239.5</v>
      </c>
      <c r="AF57" s="16">
        <f>IFERROR('POA — Monthly financial forecas'!AF38/'POA — Monthly financial forecas'!AF7,0)</f>
        <v>5281.083333333333</v>
      </c>
      <c r="AG57" s="16">
        <f>IFERROR('POA — Monthly financial forecas'!AG38/'POA — Monthly financial forecas'!AG7,0)</f>
        <v>5322.666666666667</v>
      </c>
      <c r="AH57" s="16">
        <f>IFERROR('POA — Monthly financial forecas'!AH38/'POA — Monthly financial forecas'!AH7,0)</f>
        <v>5364.25</v>
      </c>
      <c r="AI57" s="16">
        <f>IFERROR('POA — Monthly financial forecas'!AI38/'POA — Monthly financial forecas'!AI7,0)</f>
        <v>5405.833333333334</v>
      </c>
      <c r="AJ57" s="16">
        <f>IFERROR('POA — Monthly financial forecas'!AJ38/'POA — Monthly financial forecas'!AJ7,0)</f>
        <v>5447.416666666667</v>
      </c>
      <c r="AK57" s="16">
        <f>IFERROR('POA — Monthly financial forecas'!AK38/'POA — Monthly financial forecas'!AK7,0)</f>
        <v>5489</v>
      </c>
    </row>
    <row r="58">
      <c r="A58" t="inlineStr" s="9">
        <is>
          <t xml:space="preserve">Blended gross profit LTV</t>
        </is>
      </c>
      <c r="B58" s="16">
        <f>'POA — Monthly financial forecas'!B57*'Model inputs'!AM30*12</f>
        <v>147579.25</v>
      </c>
      <c r="C58" s="16">
        <f>'POA — Monthly financial forecas'!C57*'Model inputs'!AM30*12</f>
        <v>148452.5</v>
      </c>
      <c r="D58" s="16">
        <f>'POA — Monthly financial forecas'!D57*'Model inputs'!AM30*12</f>
        <v>149325.75</v>
      </c>
      <c r="E58" s="16">
        <f>'POA — Monthly financial forecas'!E57*'Model inputs'!AM30*12</f>
        <v>150199</v>
      </c>
      <c r="F58" s="16">
        <f>'POA — Monthly financial forecas'!F57*'Model inputs'!AM30*12</f>
        <v>151072.25</v>
      </c>
      <c r="G58" s="16">
        <f>'POA — Monthly financial forecas'!G57*'Model inputs'!AM30*12</f>
        <v>151945.5</v>
      </c>
      <c r="H58" s="16">
        <f>'POA — Monthly financial forecas'!H57*'Model inputs'!AM30*12</f>
        <v>156258.82575757575</v>
      </c>
      <c r="I58" s="16">
        <f>'POA — Monthly financial forecas'!I57*'Model inputs'!AM30*12</f>
        <v>160572.1515151515</v>
      </c>
      <c r="J58" s="16">
        <f>'POA — Monthly financial forecas'!J57*'Model inputs'!AM30*12</f>
        <v>164885.4772727273</v>
      </c>
      <c r="K58" s="16">
        <f>'POA — Monthly financial forecas'!K57*'Model inputs'!AM30*12</f>
        <v>169198.80303030304</v>
      </c>
      <c r="L58" s="16">
        <f>'POA — Monthly financial forecas'!L57*'Model inputs'!AM30*12</f>
        <v>173512.12878787878</v>
      </c>
      <c r="M58" s="16">
        <f>'POA — Monthly financial forecas'!M57*'Model inputs'!AM30*12</f>
        <v>177825.45454545453</v>
      </c>
      <c r="N58" s="16">
        <f>'POA — Monthly financial forecas'!N57*'Model inputs'!AM30*12</f>
        <v>181371.37878787878</v>
      </c>
      <c r="O58" s="16">
        <f>'POA — Monthly financial forecas'!O57*'Model inputs'!AM30*12</f>
        <v>184917.30303030298</v>
      </c>
      <c r="P58" s="16">
        <f>'POA — Monthly financial forecas'!P57*'Model inputs'!AM30*12</f>
        <v>188463.2272727273</v>
      </c>
      <c r="Q58" s="16">
        <f>'POA — Monthly financial forecas'!Q57*'Model inputs'!AM30*12</f>
        <v>192009.1515151515</v>
      </c>
      <c r="R58" s="16">
        <f>'POA — Monthly financial forecas'!R57*'Model inputs'!AM30*12</f>
        <v>195555.07575757575</v>
      </c>
      <c r="S58" s="16">
        <f>'POA — Monthly financial forecas'!S57*'Model inputs'!AM30*12</f>
        <v>199101</v>
      </c>
      <c r="T58" s="16">
        <f>'POA — Monthly financial forecas'!T57*'Model inputs'!AM30*12</f>
        <v>200847.5</v>
      </c>
      <c r="U58" s="16">
        <f>'POA — Monthly financial forecas'!U57*'Model inputs'!AM30*12</f>
        <v>202594</v>
      </c>
      <c r="V58" s="16">
        <f>'POA — Monthly financial forecas'!V57*'Model inputs'!AM30*12</f>
        <v>204340.5</v>
      </c>
      <c r="W58" s="16">
        <f>'POA — Monthly financial forecas'!W57*'Model inputs'!AM30*12</f>
        <v>206086.99999999997</v>
      </c>
      <c r="X58" s="16">
        <f>'POA — Monthly financial forecas'!X57*'Model inputs'!AM30*12</f>
        <v>207833.50000000003</v>
      </c>
      <c r="Y58" s="16">
        <f>'POA — Monthly financial forecas'!Y57*'Model inputs'!AM30*12</f>
        <v>209580</v>
      </c>
      <c r="Z58" s="16">
        <f>'POA — Monthly financial forecas'!Z57*'Model inputs'!AM30*12</f>
        <v>211326.5</v>
      </c>
      <c r="AA58" s="16">
        <f>'POA — Monthly financial forecas'!AA57*'Model inputs'!AM30*12</f>
        <v>213073.00000000003</v>
      </c>
      <c r="AB58" s="16">
        <f>'POA — Monthly financial forecas'!AB57*'Model inputs'!AM30*12</f>
        <v>214819.5</v>
      </c>
      <c r="AC58" s="16">
        <f>'POA — Monthly financial forecas'!AC57*'Model inputs'!AM30*12</f>
        <v>216565.99999999997</v>
      </c>
      <c r="AD58" s="16">
        <f>'POA — Monthly financial forecas'!AD57*'Model inputs'!AM30*12</f>
        <v>218312.50000000003</v>
      </c>
      <c r="AE58" s="16">
        <f>'POA — Monthly financial forecas'!AE57*'Model inputs'!AM30*12</f>
        <v>220059</v>
      </c>
      <c r="AF58" s="16">
        <f>'POA — Monthly financial forecas'!AF57*'Model inputs'!AM30*12</f>
        <v>221805.49999999997</v>
      </c>
      <c r="AG58" s="16">
        <f>'POA — Monthly financial forecas'!AG57*'Model inputs'!AM30*12</f>
        <v>223552.00000000003</v>
      </c>
      <c r="AH58" s="16">
        <f>'POA — Monthly financial forecas'!AH57*'Model inputs'!AM30*12</f>
        <v>225298.5</v>
      </c>
      <c r="AI58" s="16">
        <f>'POA — Monthly financial forecas'!AI57*'Model inputs'!AM30*12</f>
        <v>227045</v>
      </c>
      <c r="AJ58" s="16">
        <f>'POA — Monthly financial forecas'!AJ57*'Model inputs'!AM30*12</f>
        <v>228791.50000000003</v>
      </c>
      <c r="AK58" s="16">
        <f>'POA — Monthly financial forecas'!AK57*'Model inputs'!AM30*12</f>
        <v>230538</v>
      </c>
    </row>
    <row r="59">
      <c r="A59" t="inlineStr" s="9">
        <is>
          <t xml:space="preserve">Blended LTV CAC ratio</t>
        </is>
      </c>
      <c r="B59" s="20">
        <f>'POA — Monthly financial forecas'!B58/('Model inputs'!AM11*'Model inputs'!AM10)</f>
        <v>16.04122282608696</v>
      </c>
      <c r="C59" s="20">
        <f>'POA — Monthly financial forecas'!C58/('Model inputs'!AM11*'Model inputs'!AM10)</f>
        <v>16.136141304347827</v>
      </c>
      <c r="D59" s="20">
        <f>'POA — Monthly financial forecas'!D58/('Model inputs'!AM11*'Model inputs'!AM10)</f>
        <v>16.231059782608696</v>
      </c>
      <c r="E59" s="20">
        <f>'POA — Monthly financial forecas'!E58/('Model inputs'!AM11*'Model inputs'!AM10)</f>
        <v>16.325978260869565</v>
      </c>
      <c r="F59" s="20">
        <f>'POA — Monthly financial forecas'!F58/('Model inputs'!AM11*'Model inputs'!AM10)</f>
        <v>16.420896739130434</v>
      </c>
      <c r="G59" s="20">
        <f>'POA — Monthly financial forecas'!G58/('Model inputs'!AM11*'Model inputs'!AM10)</f>
        <v>16.515815217391303</v>
      </c>
      <c r="H59" s="20">
        <f>'POA — Monthly financial forecas'!H58/('Model inputs'!AM11*'Model inputs'!AM10)</f>
        <v>16.984654973649537</v>
      </c>
      <c r="I59" s="20">
        <f>'POA — Monthly financial forecas'!I58/('Model inputs'!AM11*'Model inputs'!AM10)</f>
        <v>17.45349472990777</v>
      </c>
      <c r="J59" s="20">
        <f>'POA — Monthly financial forecas'!J58/('Model inputs'!AM11*'Model inputs'!AM10)</f>
        <v>17.92233448616601</v>
      </c>
      <c r="K59" s="20">
        <f>'POA — Monthly financial forecas'!K58/('Model inputs'!AM11*'Model inputs'!AM10)</f>
        <v>18.391174242424242</v>
      </c>
      <c r="L59" s="20">
        <f>'POA — Monthly financial forecas'!L58/('Model inputs'!AM11*'Model inputs'!AM10)</f>
        <v>18.860013998682476</v>
      </c>
      <c r="M59" s="20">
        <f>'POA — Monthly financial forecas'!M58/('Model inputs'!AM11*'Model inputs'!AM10)</f>
        <v>19.32885375494071</v>
      </c>
      <c r="N59" s="20">
        <f>'POA — Monthly financial forecas'!N58/('Model inputs'!AM11*'Model inputs'!AM10)</f>
        <v>19.714280303030304</v>
      </c>
      <c r="O59" s="20">
        <f>'POA — Monthly financial forecas'!O58/('Model inputs'!AM11*'Model inputs'!AM10)</f>
        <v>20.09970685111989</v>
      </c>
      <c r="P59" s="20">
        <f>'POA — Monthly financial forecas'!P58/('Model inputs'!AM11*'Model inputs'!AM10)</f>
        <v>20.485133399209488</v>
      </c>
      <c r="Q59" s="20">
        <f>'POA — Monthly financial forecas'!Q58/('Model inputs'!AM11*'Model inputs'!AM10)</f>
        <v>20.870559947299075</v>
      </c>
      <c r="R59" s="20">
        <f>'POA — Monthly financial forecas'!R58/('Model inputs'!AM11*'Model inputs'!AM10)</f>
        <v>21.25598649538867</v>
      </c>
      <c r="S59" s="20">
        <f>'POA — Monthly financial forecas'!S58/('Model inputs'!AM11*'Model inputs'!AM10)</f>
        <v>21.64141304347826</v>
      </c>
      <c r="T59" s="20">
        <f>'POA — Monthly financial forecas'!T58/('Model inputs'!AM11*'Model inputs'!AM10)</f>
        <v>21.83125</v>
      </c>
      <c r="U59" s="20">
        <f>'POA — Monthly financial forecas'!U58/('Model inputs'!AM11*'Model inputs'!AM10)</f>
        <v>22.02108695652174</v>
      </c>
      <c r="V59" s="20">
        <f>'POA — Monthly financial forecas'!V58/('Model inputs'!AM11*'Model inputs'!AM10)</f>
        <v>22.210923913043477</v>
      </c>
      <c r="W59" s="20">
        <f>'POA — Monthly financial forecas'!W58/('Model inputs'!AM11*'Model inputs'!AM10)</f>
        <v>22.400760869565215</v>
      </c>
      <c r="X59" s="20">
        <f>'POA — Monthly financial forecas'!X58/('Model inputs'!AM11*'Model inputs'!AM10)</f>
        <v>22.59059782608696</v>
      </c>
      <c r="Y59" s="20">
        <f>'POA — Monthly financial forecas'!Y58/('Model inputs'!AM11*'Model inputs'!AM10)</f>
        <v>22.780434782608694</v>
      </c>
      <c r="Z59" s="20">
        <f>'POA — Monthly financial forecas'!Z58/('Model inputs'!AM11*'Model inputs'!AM10)</f>
        <v>22.970271739130435</v>
      </c>
      <c r="AA59" s="20">
        <f>'POA — Monthly financial forecas'!AA58/('Model inputs'!AM11*'Model inputs'!AM10)</f>
        <v>23.160108695652177</v>
      </c>
      <c r="AB59" s="20">
        <f>'POA — Monthly financial forecas'!AB58/('Model inputs'!AM11*'Model inputs'!AM10)</f>
        <v>23.34994565217391</v>
      </c>
      <c r="AC59" s="20">
        <f>'POA — Monthly financial forecas'!AC58/('Model inputs'!AM11*'Model inputs'!AM10)</f>
        <v>23.53978260869565</v>
      </c>
      <c r="AD59" s="20">
        <f>'POA — Monthly financial forecas'!AD58/('Model inputs'!AM11*'Model inputs'!AM10)</f>
        <v>23.729619565217394</v>
      </c>
      <c r="AE59" s="20">
        <f>'POA — Monthly financial forecas'!AE58/('Model inputs'!AM11*'Model inputs'!AM10)</f>
        <v>23.919456521739132</v>
      </c>
      <c r="AF59" s="20">
        <f>'POA — Monthly financial forecas'!AF58/('Model inputs'!AM11*'Model inputs'!AM10)</f>
        <v>24.109293478260867</v>
      </c>
      <c r="AG59" s="20">
        <f>'POA — Monthly financial forecas'!AG58/('Model inputs'!AM11*'Model inputs'!AM10)</f>
        <v>24.29913043478261</v>
      </c>
      <c r="AH59" s="20">
        <f>'POA — Monthly financial forecas'!AH58/('Model inputs'!AM11*'Model inputs'!AM10)</f>
        <v>24.48896739130435</v>
      </c>
      <c r="AI59" s="20">
        <f>'POA — Monthly financial forecas'!AI58/('Model inputs'!AM11*'Model inputs'!AM10)</f>
        <v>24.678804347826087</v>
      </c>
      <c r="AJ59" s="20">
        <f>'POA — Monthly financial forecas'!AJ58/('Model inputs'!AM11*'Model inputs'!AM10)</f>
        <v>24.86864130434783</v>
      </c>
      <c r="AK59" s="20">
        <f>'POA — Monthly financial forecas'!AK58/('Model inputs'!AM11*'Model inputs'!AM10)</f>
        <v>25.058478260869567</v>
      </c>
    </row>
    <row r="60">
      <c r="A60" t="inlineStr" s="9">
        <is>
          <t xml:space="preserve">Blended CAC payback months</t>
        </is>
      </c>
      <c r="B60" s="15">
        <f>('Model inputs'!AM11*'Model inputs'!AM10)/'POA — Monthly financial forecas'!B57</f>
        <v>2.618254259999288</v>
      </c>
      <c r="C60" s="15">
        <f>('Model inputs'!AM11*'Model inputs'!AM10)/'POA — Monthly financial forecas'!C57</f>
        <v>2.602852764352234</v>
      </c>
      <c r="D60" s="15">
        <f>('Model inputs'!AM11*'Model inputs'!AM10)/'POA — Monthly financial forecas'!D57</f>
        <v>2.5876314031571916</v>
      </c>
      <c r="E60" s="15">
        <f>('Model inputs'!AM11*'Model inputs'!AM10)/'POA — Monthly financial forecas'!E57</f>
        <v>2.5725870345341844</v>
      </c>
      <c r="F60" s="15">
        <f>('Model inputs'!AM11*'Model inputs'!AM10)/'POA — Monthly financial forecas'!F57</f>
        <v>2.55771658924786</v>
      </c>
      <c r="G60" s="15">
        <f>('Model inputs'!AM11*'Model inputs'!AM10)/'POA — Monthly financial forecas'!G57</f>
        <v>2.5430170686199984</v>
      </c>
      <c r="H60" s="15">
        <f>('Model inputs'!AM11*'Model inputs'!AM10)/'POA — Monthly financial forecas'!H57</f>
        <v>2.4728203231187185</v>
      </c>
      <c r="I60" s="15">
        <f>('Model inputs'!AM11*'Model inputs'!AM10)/'POA — Monthly financial forecas'!I57</f>
        <v>2.4063948595939406</v>
      </c>
      <c r="J60" s="15">
        <f>('Model inputs'!AM11*'Model inputs'!AM10)/'POA — Monthly financial forecas'!J57</f>
        <v>2.343444713210726</v>
      </c>
      <c r="K60" s="15">
        <f>('Model inputs'!AM11*'Model inputs'!AM10)/'POA — Monthly financial forecas'!K57</f>
        <v>2.2837040988451722</v>
      </c>
      <c r="L60" s="15">
        <f>('Model inputs'!AM11*'Model inputs'!AM10)/'POA — Monthly financial forecas'!L57</f>
        <v>2.2269336599078895</v>
      </c>
      <c r="M60" s="15">
        <f>('Model inputs'!AM11*'Model inputs'!AM10)/'POA — Monthly financial forecas'!M57</f>
        <v>2.172917263097624</v>
      </c>
      <c r="N60" s="15">
        <f>('Model inputs'!AM11*'Model inputs'!AM10)/'POA — Monthly financial forecas'!N57</f>
        <v>2.1304353673790533</v>
      </c>
      <c r="O60" s="15">
        <f>('Model inputs'!AM11*'Model inputs'!AM10)/'POA — Monthly financial forecas'!O57</f>
        <v>2.0895827143697816</v>
      </c>
      <c r="P60" s="15">
        <f>('Model inputs'!AM11*'Model inputs'!AM10)/'POA — Monthly financial forecas'!P57</f>
        <v>2.0502673417601844</v>
      </c>
      <c r="Q60" s="15">
        <f>('Model inputs'!AM11*'Model inputs'!AM10)/'POA — Monthly financial forecas'!Q57</f>
        <v>2.0124040804873253</v>
      </c>
      <c r="R60" s="15">
        <f>('Model inputs'!AM11*'Model inputs'!AM10)/'POA — Monthly financial forecas'!R57</f>
        <v>1.9759139388384346</v>
      </c>
      <c r="S60" s="15">
        <f>('Model inputs'!AM11*'Model inputs'!AM10)/'POA — Monthly financial forecas'!S57</f>
        <v>1.9407235523678936</v>
      </c>
      <c r="T60" s="15">
        <f>('Model inputs'!AM11*'Model inputs'!AM10)/'POA — Monthly financial forecas'!T57</f>
        <v>1.9238476953907813</v>
      </c>
      <c r="U60" s="15">
        <f>('Model inputs'!AM11*'Model inputs'!AM10)/'POA — Monthly financial forecas'!U57</f>
        <v>1.9072628014649993</v>
      </c>
      <c r="V60" s="15">
        <f>('Model inputs'!AM11*'Model inputs'!AM10)/'POA — Monthly financial forecas'!V57</f>
        <v>1.8909614099994863</v>
      </c>
      <c r="W60" s="15">
        <f>('Model inputs'!AM11*'Model inputs'!AM10)/'POA — Monthly financial forecas'!W57</f>
        <v>1.8749363133045753</v>
      </c>
      <c r="X60" s="15">
        <f>('Model inputs'!AM11*'Model inputs'!AM10)/'POA — Monthly financial forecas'!X57</f>
        <v>1.8591805459658812</v>
      </c>
      <c r="Y60" s="15">
        <f>('Model inputs'!AM11*'Model inputs'!AM10)/'POA — Monthly financial forecas'!Y57</f>
        <v>1.843687374749499</v>
      </c>
      <c r="Z60" s="15">
        <f>('Model inputs'!AM11*'Model inputs'!AM10)/'POA — Monthly financial forecas'!Z57</f>
        <v>1.8284502890077674</v>
      </c>
      <c r="AA60" s="15">
        <f>('Model inputs'!AM11*'Model inputs'!AM10)/'POA — Monthly financial forecas'!AA57</f>
        <v>1.8134629915568838</v>
      </c>
      <c r="AB60" s="15">
        <f>('Model inputs'!AM11*'Model inputs'!AM10)/'POA — Monthly financial forecas'!AB57</f>
        <v>1.7987193899995113</v>
      </c>
      <c r="AC60" s="15">
        <f>('Model inputs'!AM11*'Model inputs'!AM10)/'POA — Monthly financial forecas'!AC57</f>
        <v>1.7842135884672572</v>
      </c>
      <c r="AD60" s="15">
        <f>('Model inputs'!AM11*'Model inputs'!AM10)/'POA — Monthly financial forecas'!AD57</f>
        <v>1.769939879759519</v>
      </c>
      <c r="AE60" s="15">
        <f>('Model inputs'!AM11*'Model inputs'!AM10)/'POA — Monthly financial forecas'!AE57</f>
        <v>1.7558927378566658</v>
      </c>
      <c r="AF60" s="15">
        <f>('Model inputs'!AM11*'Model inputs'!AM10)/'POA — Monthly financial forecas'!AF57</f>
        <v>1.7420668107869284</v>
      </c>
      <c r="AG60" s="15">
        <f>('Model inputs'!AM11*'Model inputs'!AM10)/'POA — Monthly financial forecas'!AG57</f>
        <v>1.7284569138276553</v>
      </c>
      <c r="AH60" s="15">
        <f>('Model inputs'!AM11*'Model inputs'!AM10)/'POA — Monthly financial forecas'!AH57</f>
        <v>1.7150580230227899</v>
      </c>
      <c r="AI60" s="15">
        <f>('Model inputs'!AM11*'Model inputs'!AM10)/'POA — Monthly financial forecas'!AI57</f>
        <v>1.7018652689995373</v>
      </c>
      <c r="AJ60" s="15">
        <f>('Model inputs'!AM11*'Model inputs'!AM10)/'POA — Monthly financial forecas'!AJ57</f>
        <v>1.6888739310682432</v>
      </c>
      <c r="AK60" s="15">
        <f>('Model inputs'!AM11*'Model inputs'!AM10)/'POA — Monthly financial forecas'!AK57</f>
        <v>1.6760794315904537</v>
      </c>
    </row>
    <row r="61">
      <c r="A61" t="inlineStr" s="9">
        <is>
          <t xml:space="preserve">Accounts receivable</t>
        </is>
      </c>
      <c r="B61" s="16">
        <f>'Model inputs'!B6+'POA — Monthly financial forecas'!B27-'POA — Monthly financial forecas'!B53</f>
        <v>0</v>
      </c>
      <c r="C61" s="16">
        <f>'POA — Monthly financial forecas'!B61+'POA — Monthly financial forecas'!C27-'POA — Monthly financial forecas'!C53</f>
        <v>0</v>
      </c>
      <c r="D61" s="16">
        <f>'POA — Monthly financial forecas'!C61+'POA — Monthly financial forecas'!D27-'POA — Monthly financial forecas'!D53</f>
        <v>0</v>
      </c>
      <c r="E61" s="16">
        <f>'POA — Monthly financial forecas'!D61+'POA — Monthly financial forecas'!E27-'POA — Monthly financial forecas'!E53</f>
        <v>0</v>
      </c>
      <c r="F61" s="16">
        <f>'POA — Monthly financial forecas'!E61+'POA — Monthly financial forecas'!F27-'POA — Monthly financial forecas'!F53</f>
        <v>0</v>
      </c>
      <c r="G61" s="16">
        <f>'POA — Monthly financial forecas'!F61+'POA — Monthly financial forecas'!G27-'POA — Monthly financial forecas'!G53</f>
        <v>0</v>
      </c>
      <c r="H61" s="16">
        <f>'POA — Monthly financial forecas'!G61+'POA — Monthly financial forecas'!H27-'POA — Monthly financial forecas'!H53</f>
        <v>0</v>
      </c>
      <c r="I61" s="16">
        <f>'POA — Monthly financial forecas'!H61+'POA — Monthly financial forecas'!I27-'POA — Monthly financial forecas'!I53</f>
        <v>0</v>
      </c>
      <c r="J61" s="16">
        <f>'POA — Monthly financial forecas'!I61+'POA — Monthly financial forecas'!J27-'POA — Monthly financial forecas'!J53</f>
        <v>0</v>
      </c>
      <c r="K61" s="16">
        <f>'POA — Monthly financial forecas'!J61+'POA — Monthly financial forecas'!K27-'POA — Monthly financial forecas'!K53</f>
        <v>0</v>
      </c>
      <c r="L61" s="16">
        <f>'POA — Monthly financial forecas'!K61+'POA — Monthly financial forecas'!L27-'POA — Monthly financial forecas'!L53</f>
        <v>0</v>
      </c>
      <c r="M61" s="16">
        <f>'POA — Monthly financial forecas'!L61+'POA — Monthly financial forecas'!M27-'POA — Monthly financial forecas'!M53</f>
        <v>0</v>
      </c>
      <c r="N61" s="16">
        <f>'POA — Monthly financial forecas'!M61+'POA — Monthly financial forecas'!N27-'POA — Monthly financial forecas'!N53</f>
        <v>0</v>
      </c>
      <c r="O61" s="16">
        <f>'POA — Monthly financial forecas'!N61+'POA — Monthly financial forecas'!O27-'POA — Monthly financial forecas'!O53</f>
        <v>0</v>
      </c>
      <c r="P61" s="16">
        <f>'POA — Monthly financial forecas'!O61+'POA — Monthly financial forecas'!P27-'POA — Monthly financial forecas'!P53</f>
        <v>0</v>
      </c>
      <c r="Q61" s="16">
        <f>'POA — Monthly financial forecas'!P61+'POA — Monthly financial forecas'!Q27-'POA — Monthly financial forecas'!Q53</f>
        <v>0</v>
      </c>
      <c r="R61" s="16">
        <f>'POA — Monthly financial forecas'!Q61+'POA — Monthly financial forecas'!R27-'POA — Monthly financial forecas'!R53</f>
        <v>0</v>
      </c>
      <c r="S61" s="16">
        <f>'POA — Monthly financial forecas'!R61+'POA — Monthly financial forecas'!S27-'POA — Monthly financial forecas'!S53</f>
        <v>0</v>
      </c>
      <c r="T61" s="16">
        <f>'POA — Monthly financial forecas'!S61+'POA — Monthly financial forecas'!T27-'POA — Monthly financial forecas'!T53</f>
        <v>0</v>
      </c>
      <c r="U61" s="16">
        <f>'POA — Monthly financial forecas'!T61+'POA — Monthly financial forecas'!U27-'POA — Monthly financial forecas'!U53</f>
        <v>0</v>
      </c>
      <c r="V61" s="16">
        <f>'POA — Monthly financial forecas'!U61+'POA — Monthly financial forecas'!V27-'POA — Monthly financial forecas'!V53</f>
        <v>0</v>
      </c>
      <c r="W61" s="16">
        <f>'POA — Monthly financial forecas'!V61+'POA — Monthly financial forecas'!W27-'POA — Monthly financial forecas'!W53</f>
        <v>0</v>
      </c>
      <c r="X61" s="16">
        <f>'POA — Monthly financial forecas'!W61+'POA — Monthly financial forecas'!X27-'POA — Monthly financial forecas'!X53</f>
        <v>0</v>
      </c>
      <c r="Y61" s="16">
        <f>'POA — Monthly financial forecas'!X61+'POA — Monthly financial forecas'!Y27-'POA — Monthly financial forecas'!Y53</f>
        <v>0</v>
      </c>
      <c r="Z61" s="16">
        <f>'POA — Monthly financial forecas'!Y61+'POA — Monthly financial forecas'!Z27-'POA — Monthly financial forecas'!Z53</f>
        <v>0</v>
      </c>
      <c r="AA61" s="16">
        <f>'POA — Monthly financial forecas'!Z61+'POA — Monthly financial forecas'!AA27-'POA — Monthly financial forecas'!AA53</f>
        <v>0</v>
      </c>
      <c r="AB61" s="16">
        <f>'POA — Monthly financial forecas'!AA61+'POA — Monthly financial forecas'!AB27-'POA — Monthly financial forecas'!AB53</f>
        <v>0</v>
      </c>
      <c r="AC61" s="16">
        <f>'POA — Monthly financial forecas'!AB61+'POA — Monthly financial forecas'!AC27-'POA — Monthly financial forecas'!AC53</f>
        <v>0</v>
      </c>
      <c r="AD61" s="16">
        <f>'POA — Monthly financial forecas'!AC61+'POA — Monthly financial forecas'!AD27-'POA — Monthly financial forecas'!AD53</f>
        <v>0</v>
      </c>
      <c r="AE61" s="16">
        <f>'POA — Monthly financial forecas'!AD61+'POA — Monthly financial forecas'!AE27-'POA — Monthly financial forecas'!AE53</f>
        <v>0</v>
      </c>
      <c r="AF61" s="16">
        <f>'POA — Monthly financial forecas'!AE61+'POA — Monthly financial forecas'!AF27-'POA — Monthly financial forecas'!AF53</f>
        <v>0</v>
      </c>
      <c r="AG61" s="16">
        <f>'POA — Monthly financial forecas'!AF61+'POA — Monthly financial forecas'!AG27-'POA — Monthly financial forecas'!AG53</f>
        <v>0</v>
      </c>
      <c r="AH61" s="16">
        <f>'POA — Monthly financial forecas'!AG61+'POA — Monthly financial forecas'!AH27-'POA — Monthly financial forecas'!AH53</f>
        <v>0</v>
      </c>
      <c r="AI61" s="16">
        <f>'POA — Monthly financial forecas'!AH61+'POA — Monthly financial forecas'!AI27-'POA — Monthly financial forecas'!AI53</f>
        <v>0</v>
      </c>
      <c r="AJ61" s="16">
        <f>'POA — Monthly financial forecas'!AI61+'POA — Monthly financial forecas'!AJ27-'POA — Monthly financial forecas'!AJ53</f>
        <v>0</v>
      </c>
      <c r="AK61" s="16">
        <f>'POA — Monthly financial forecas'!AJ61+'POA — Monthly financial forecas'!AK27-'POA — Monthly financial forecas'!AK53</f>
        <v>0</v>
      </c>
    </row>
    <row r="62">
      <c r="A62" t="inlineStr" s="9">
        <is>
          <t xml:space="preserve">Opening cash</t>
        </is>
      </c>
      <c r="B62" s="16">
        <f>IF(IF(IF(ISERROR('POA — Monthly financial forecas'!B5=1),'POA — Monthly financial forecas'!B5=1,IF('POA — Monthly financial forecas'!B5="","",'POA — Monthly financial forecas'!B5=1))="",FALSE,IF(ISERROR('POA — Monthly financial forecas'!B5=1),'POA — Monthly financial forecas'!B5=1,IF('POA — Monthly financial forecas'!B5="","",'POA — Monthly financial forecas'!B5=1))),IF('Model inputs'!AM46="","",'Model inputs'!AM46),IF('Model inputs'!B34="","",'Model inputs'!B34))</f>
        <v>500000</v>
      </c>
      <c r="C62" s="16">
        <f>IF(IF(IF(ISERROR('POA — Monthly financial forecas'!C5=1),'POA — Monthly financial forecas'!C5=1,IF('POA — Monthly financial forecas'!C5="","",'POA — Monthly financial forecas'!C5=1))="",FALSE,IF(ISERROR('POA — Monthly financial forecas'!C5=1),'POA — Monthly financial forecas'!C5=1,IF('POA — Monthly financial forecas'!C5="","",'POA — Monthly financial forecas'!C5=1))),IF('Model inputs'!AM46="","",'Model inputs'!AM46),IF('POA — Monthly financial forecas'!B63="","",'POA — Monthly financial forecas'!B63))</f>
        <v>482230.4583333333</v>
      </c>
      <c r="D62" s="16">
        <f>IF(IF(IF(ISERROR('POA — Monthly financial forecas'!D5=1),'POA — Monthly financial forecas'!D5=1,IF('POA — Monthly financial forecas'!D5="","",'POA — Monthly financial forecas'!D5=1))="",FALSE,IF(ISERROR('POA — Monthly financial forecas'!D5=1),'POA — Monthly financial forecas'!D5=1,IF('POA — Monthly financial forecas'!D5="","",'POA — Monthly financial forecas'!D5=1))),IF('Model inputs'!AM46="","",'Model inputs'!AM46),IF('POA — Monthly financial forecas'!C63="","",'POA — Monthly financial forecas'!C63))</f>
        <v>465713.9107142857</v>
      </c>
      <c r="E62" s="16">
        <f>IF(IF(IF(ISERROR('POA — Monthly financial forecas'!E5=1),'POA — Monthly financial forecas'!E5=1,IF('POA — Monthly financial forecas'!E5="","",'POA — Monthly financial forecas'!E5=1))="",FALSE,IF(ISERROR('POA — Monthly financial forecas'!E5=1),'POA — Monthly financial forecas'!E5=1,IF('POA — Monthly financial forecas'!E5="","",'POA — Monthly financial forecas'!E5=1))),IF('Model inputs'!AM46="","",'Model inputs'!AM46),IF('POA — Monthly financial forecas'!D63="","",'POA — Monthly financial forecas'!D63))</f>
        <v>450491.9404761904</v>
      </c>
      <c r="F62" s="16">
        <f>IF(IF(IF(ISERROR('POA — Monthly financial forecas'!F5=1),'POA — Monthly financial forecas'!F5=1,IF('POA — Monthly financial forecas'!F5="","",'POA — Monthly financial forecas'!F5=1))="",FALSE,IF(ISERROR('POA — Monthly financial forecas'!F5=1),'POA — Monthly financial forecas'!F5=1,IF('POA — Monthly financial forecas'!F5="","",'POA — Monthly financial forecas'!F5=1))),IF('Model inputs'!AM46="","",'Model inputs'!AM46),IF('POA — Monthly financial forecas'!E63="","",'POA — Monthly financial forecas'!E63))</f>
        <v>436606.1309523809</v>
      </c>
      <c r="G62" s="16">
        <f>IF(IF(IF(ISERROR('POA — Monthly financial forecas'!G5=1),'POA — Monthly financial forecas'!G5=1,IF('POA — Monthly financial forecas'!G5="","",'POA — Monthly financial forecas'!G5=1))="",FALSE,IF(ISERROR('POA — Monthly financial forecas'!G5=1),'POA — Monthly financial forecas'!G5=1,IF('POA — Monthly financial forecas'!G5="","",'POA — Monthly financial forecas'!G5=1))),IF('Model inputs'!AM46="","",'Model inputs'!AM46),IF('POA — Monthly financial forecas'!F63="","",'POA — Monthly financial forecas'!F63))</f>
        <v>424098.0654761904</v>
      </c>
      <c r="H62" s="16">
        <f>IF(IF(IF(ISERROR('POA — Monthly financial forecas'!H5=1),'POA — Monthly financial forecas'!H5=1,IF('POA — Monthly financial forecas'!H5="","",'POA — Monthly financial forecas'!H5=1))="",FALSE,IF(ISERROR('POA — Monthly financial forecas'!H5=1),'POA — Monthly financial forecas'!H5=1,IF('POA — Monthly financial forecas'!H5="","",'POA — Monthly financial forecas'!H5=1))),IF('Model inputs'!AM46="","",'Model inputs'!AM46),IF('POA — Monthly financial forecas'!G63="","",'POA — Monthly financial forecas'!G63))</f>
        <v>413009.3273809523</v>
      </c>
      <c r="I62" s="16">
        <f>IF(IF(IF(ISERROR('POA — Monthly financial forecas'!I5=1),'POA — Monthly financial forecas'!I5=1,IF('POA — Monthly financial forecas'!I5="","",'POA — Monthly financial forecas'!I5=1))="",FALSE,IF(ISERROR('POA — Monthly financial forecas'!I5=1),'POA — Monthly financial forecas'!I5=1,IF('POA — Monthly financial forecas'!I5="","",'POA — Monthly financial forecas'!I5=1))),IF('Model inputs'!AM46="","",'Model inputs'!AM46),IF('POA — Monthly financial forecas'!H63="","",'POA — Monthly financial forecas'!H63))</f>
        <v>392688.9263468013</v>
      </c>
      <c r="J62" s="16">
        <f>IF(IF(IF(ISERROR('POA — Monthly financial forecas'!J5=1),'POA — Monthly financial forecas'!J5=1,IF('POA — Monthly financial forecas'!J5="","",'POA — Monthly financial forecas'!J5=1))="",FALSE,IF(ISERROR('POA — Monthly financial forecas'!J5=1),'POA — Monthly financial forecas'!J5=1,IF('POA — Monthly financial forecas'!J5="","",'POA — Monthly financial forecas'!J5=1))),IF('Model inputs'!AM46="","",'Model inputs'!AM46),IF('POA — Monthly financial forecas'!I63="","",'POA — Monthly financial forecas'!I63))</f>
        <v>378652.8402477152</v>
      </c>
      <c r="K62" s="16">
        <f>IF(IF(IF(ISERROR('POA — Monthly financial forecas'!K5=1),'POA — Monthly financial forecas'!K5=1,IF('POA — Monthly financial forecas'!K5="","",'POA — Monthly financial forecas'!K5=1))="",FALSE,IF(ISERROR('POA — Monthly financial forecas'!K5=1),'POA — Monthly financial forecas'!K5=1,IF('POA — Monthly financial forecas'!K5="","",'POA — Monthly financial forecas'!K5=1))),IF('Model inputs'!AM46="","",'Model inputs'!AM46),IF('POA — Monthly financial forecas'!J63="","",'POA — Monthly financial forecas'!J63))</f>
        <v>371448.7929894179</v>
      </c>
      <c r="L62" s="16">
        <f>IF(IF(IF(ISERROR('POA — Monthly financial forecas'!L5=1),'POA — Monthly financial forecas'!L5=1,IF('POA — Monthly financial forecas'!L5="","",'POA — Monthly financial forecas'!L5=1))="",FALSE,IF(ISERROR('POA — Monthly financial forecas'!L5=1),'POA — Monthly financial forecas'!L5=1,IF('POA — Monthly financial forecas'!L5="","",'POA — Monthly financial forecas'!L5=1))),IF('Model inputs'!AM46="","",'Model inputs'!AM46),IF('POA — Monthly financial forecas'!K63="","",'POA — Monthly financial forecas'!K63))</f>
        <v>371624.5084776334</v>
      </c>
      <c r="M62" s="16">
        <f>IF(IF(IF(ISERROR('POA — Monthly financial forecas'!M5=1),'POA — Monthly financial forecas'!M5=1,IF('POA — Monthly financial forecas'!M5="","",'POA — Monthly financial forecas'!M5=1))="",FALSE,IF(ISERROR('POA — Monthly financial forecas'!M5=1),'POA — Monthly financial forecas'!M5=1,IF('POA — Monthly financial forecas'!M5="","",'POA — Monthly financial forecas'!M5=1))),IF('Model inputs'!AM46="","",'Model inputs'!AM46),IF('POA — Monthly financial forecas'!L63="","",'POA — Monthly financial forecas'!L63))</f>
        <v>379727.7106180856</v>
      </c>
      <c r="N62" s="16">
        <f>IF(IF(IF(ISERROR('POA — Monthly financial forecas'!N5=1),'POA — Monthly financial forecas'!N5=1,IF('POA — Monthly financial forecas'!N5="","",'POA — Monthly financial forecas'!N5=1))="",FALSE,IF(ISERROR('POA — Monthly financial forecas'!N5=1),'POA — Monthly financial forecas'!N5=1,IF('POA — Monthly financial forecas'!N5="","",'POA — Monthly financial forecas'!N5=1))),IF('Model inputs'!AM46="","",'Model inputs'!AM46),IF('POA — Monthly financial forecas'!M63="","",'POA — Monthly financial forecas'!M63))</f>
        <v>396306.12331649824</v>
      </c>
      <c r="O62" s="16">
        <f>IF(IF(IF(ISERROR('POA — Monthly financial forecas'!O5=1),'POA — Monthly financial forecas'!O5=1,IF('POA — Monthly financial forecas'!O5="","",'POA — Monthly financial forecas'!O5=1))="",FALSE,IF(ISERROR('POA — Monthly financial forecas'!O5=1),'POA — Monthly financial forecas'!O5=1,IF('POA — Monthly financial forecas'!O5="","",'POA — Monthly financial forecas'!O5=1))),IF('Model inputs'!AM46="","",'Model inputs'!AM46),IF('POA — Monthly financial forecas'!N63="","",'POA — Monthly financial forecas'!N63))</f>
        <v>399374.11694324185</v>
      </c>
      <c r="P62" s="16">
        <f>IF(IF(IF(ISERROR('POA — Monthly financial forecas'!P5=1),'POA — Monthly financial forecas'!P5=1,IF('POA — Monthly financial forecas'!P5="","",'POA — Monthly financial forecas'!P5=1))="",FALSE,IF(ISERROR('POA — Monthly financial forecas'!P5=1),'POA — Monthly financial forecas'!P5=1,IF('POA — Monthly financial forecas'!P5="","",'POA — Monthly financial forecas'!P5=1))),IF('Model inputs'!AM46="","",'Model inputs'!AM46),IF('POA — Monthly financial forecas'!O63="","",'POA — Monthly financial forecas'!O63))</f>
        <v>422931.25595238083</v>
      </c>
      <c r="Q62" s="16">
        <f>IF(IF(IF(ISERROR('POA — Monthly financial forecas'!Q5=1),'POA — Monthly financial forecas'!Q5=1,IF('POA — Monthly financial forecas'!Q5="","",'POA — Monthly financial forecas'!Q5=1))="",FALSE,IF(ISERROR('POA — Monthly financial forecas'!Q5=1),'POA — Monthly financial forecas'!Q5=1,IF('POA — Monthly financial forecas'!Q5="","",'POA — Monthly financial forecas'!Q5=1))),IF('Model inputs'!AM46="","",'Model inputs'!AM46),IF('POA — Monthly financial forecas'!P63="","",'POA — Monthly financial forecas'!P63))</f>
        <v>468046.9460678209</v>
      </c>
      <c r="R62" s="16">
        <f>IF(IF(IF(ISERROR('POA — Monthly financial forecas'!R5=1),'POA — Monthly financial forecas'!R5=1,IF('POA — Monthly financial forecas'!R5="","",'POA — Monthly financial forecas'!R5=1))="",FALSE,IF(ISERROR('POA — Monthly financial forecas'!R5=1),'POA — Monthly financial forecas'!R5=1,IF('POA — Monthly financial forecas'!R5="","",'POA — Monthly financial forecas'!R5=1))),IF('Model inputs'!AM46="","",'Model inputs'!AM46),IF('POA — Monthly financial forecas'!Q63="","",'POA — Monthly financial forecas'!Q63))</f>
        <v>535790.5930134678</v>
      </c>
      <c r="S62" s="16">
        <f>IF(IF(IF(ISERROR('POA — Monthly financial forecas'!S5=1),'POA — Monthly financial forecas'!S5=1,IF('POA — Monthly financial forecas'!S5="","",'POA — Monthly financial forecas'!S5=1))="",FALSE,IF(ISERROR('POA — Monthly financial forecas'!S5=1),'POA — Monthly financial forecas'!S5=1,IF('POA — Monthly financial forecas'!S5="","",'POA — Monthly financial forecas'!S5=1))),IF('Model inputs'!AM46="","",'Model inputs'!AM46),IF('POA — Monthly financial forecas'!R63="","",'POA — Monthly financial forecas'!R63))</f>
        <v>627231.6025132274</v>
      </c>
      <c r="T62" s="16">
        <f>IF(IF(IF(ISERROR('POA — Monthly financial forecas'!T5=1),'POA — Monthly financial forecas'!T5=1,IF('POA — Monthly financial forecas'!T5="","",'POA — Monthly financial forecas'!T5=1))="",FALSE,IF(ISERROR('POA — Monthly financial forecas'!T5=1),'POA — Monthly financial forecas'!T5=1,IF('POA — Monthly financial forecas'!T5="","",'POA — Monthly financial forecas'!T5=1))),IF('Model inputs'!AM46="","",'Model inputs'!AM46),IF('POA — Monthly financial forecas'!S63="","",'POA — Monthly financial forecas'!S63))</f>
        <v>743439.3802910051</v>
      </c>
      <c r="U62" s="16">
        <f>IF(IF(IF(ISERROR('POA — Monthly financial forecas'!U5=1),'POA — Monthly financial forecas'!U5=1,IF('POA — Monthly financial forecas'!U5="","",'POA — Monthly financial forecas'!U5=1))="",FALSE,IF(ISERROR('POA — Monthly financial forecas'!U5=1),'POA — Monthly financial forecas'!U5=1,IF('POA — Monthly financial forecas'!U5="","",'POA — Monthly financial forecas'!U5=1))),IF('Model inputs'!AM46="","",'Model inputs'!AM46),IF('POA — Monthly financial forecas'!T63="","",'POA — Monthly financial forecas'!T63))</f>
        <v>882602.0787037036</v>
      </c>
      <c r="V62" s="16">
        <f>IF(IF(IF(ISERROR('POA — Monthly financial forecas'!V5=1),'POA — Monthly financial forecas'!V5=1,IF('POA — Monthly financial forecas'!V5="","",'POA — Monthly financial forecas'!V5=1))="",FALSE,IF(ISERROR('POA — Monthly financial forecas'!V5=1),'POA — Monthly financial forecas'!V5=1,IF('POA — Monthly financial forecas'!V5="","",'POA — Monthly financial forecas'!V5=1))),IF('Model inputs'!AM46="","",'Model inputs'!AM46),IF('POA — Monthly financial forecas'!U63="","",'POA — Monthly financial forecas'!U63))</f>
        <v>1048267.7929894179</v>
      </c>
      <c r="W62" s="16">
        <f>IF(IF(IF(ISERROR('POA — Monthly financial forecas'!W5=1),'POA — Monthly financial forecas'!W5=1,IF('POA — Monthly financial forecas'!W5="","",'POA — Monthly financial forecas'!W5=1))="",FALSE,IF(ISERROR('POA — Monthly financial forecas'!W5=1),'POA — Monthly financial forecas'!W5=1,IF('POA — Monthly financial forecas'!W5="","",'POA — Monthly financial forecas'!W5=1))),IF('Model inputs'!AM46="","",'Model inputs'!AM46),IF('POA — Monthly financial forecas'!V63="","",'POA — Monthly financial forecas'!V63))</f>
        <v>1240990.9675925924</v>
      </c>
      <c r="X62" s="16">
        <f>IF(IF(IF(ISERROR('POA — Monthly financial forecas'!X5=1),'POA — Monthly financial forecas'!X5=1,IF('POA — Monthly financial forecas'!X5="","",'POA — Monthly financial forecas'!X5=1))="",FALSE,IF(ISERROR('POA — Monthly financial forecas'!X5=1),'POA — Monthly financial forecas'!X5=1,IF('POA — Monthly financial forecas'!X5="","",'POA — Monthly financial forecas'!X5=1))),IF('Model inputs'!AM46="","",'Model inputs'!AM46),IF('POA — Monthly financial forecas'!W63="","",'POA — Monthly financial forecas'!W63))</f>
        <v>1461326.0469576719</v>
      </c>
      <c r="Y62" s="16">
        <f>IF(IF(IF(ISERROR('POA — Monthly financial forecas'!Y5=1),'POA — Monthly financial forecas'!Y5=1,IF('POA — Monthly financial forecas'!Y5="","",'POA — Monthly financial forecas'!Y5=1))="",FALSE,IF(ISERROR('POA — Monthly financial forecas'!Y5=1),'POA — Monthly financial forecas'!Y5=1,IF('POA — Monthly financial forecas'!Y5="","",'POA — Monthly financial forecas'!Y5=1))),IF('Model inputs'!AM46="","",'Model inputs'!AM46),IF('POA — Monthly financial forecas'!X63="","",'POA — Monthly financial forecas'!X63))</f>
        <v>1709827.4755291003</v>
      </c>
      <c r="Z62" s="16">
        <f>IF(IF(IF(ISERROR('POA — Monthly financial forecas'!Z5=1),'POA — Monthly financial forecas'!Z5=1,IF('POA — Monthly financial forecas'!Z5="","",'POA — Monthly financial forecas'!Z5=1))="",FALSE,IF(ISERROR('POA — Monthly financial forecas'!Z5=1),'POA — Monthly financial forecas'!Z5=1,IF('POA — Monthly financial forecas'!Z5="","",'POA — Monthly financial forecas'!Z5=1))),IF('Model inputs'!AM46="","",'Model inputs'!AM46),IF('POA — Monthly financial forecas'!Y63="","",'POA — Monthly financial forecas'!Y63))</f>
        <v>1987049.6977513225</v>
      </c>
      <c r="AA62" s="16">
        <f>IF(IF(IF(ISERROR('POA — Monthly financial forecas'!AA5=1),'POA — Monthly financial forecas'!AA5=1,IF('POA — Monthly financial forecas'!AA5="","",'POA — Monthly financial forecas'!AA5=1))="",FALSE,IF(ISERROR('POA — Monthly financial forecas'!AA5=1),'POA — Monthly financial forecas'!AA5=1,IF('POA — Monthly financial forecas'!AA5="","",'POA — Monthly financial forecas'!AA5=1))),IF('Model inputs'!AM46="","",'Model inputs'!AM46),IF('POA — Monthly financial forecas'!Z63="","",'POA — Monthly financial forecas'!Z63))</f>
        <v>2298154.1719576716</v>
      </c>
      <c r="AB62" s="16">
        <f>IF(IF(IF(ISERROR('POA — Monthly financial forecas'!AB5=1),'POA — Monthly financial forecas'!AB5=1,IF('POA — Monthly financial forecas'!AB5="","",'POA — Monthly financial forecas'!AB5=1))="",FALSE,IF(ISERROR('POA — Monthly financial forecas'!AB5=1),'POA — Monthly financial forecas'!AB5=1,IF('POA — Monthly financial forecas'!AB5="","",'POA — Monthly financial forecas'!AB5=1))),IF('Model inputs'!AM46="","",'Model inputs'!AM46),IF('POA — Monthly financial forecas'!AA63="","",'POA — Monthly financial forecas'!AA63))</f>
        <v>2636141.9100529095</v>
      </c>
      <c r="AC62" s="16">
        <f>IF(IF(IF(ISERROR('POA — Monthly financial forecas'!AC5=1),'POA — Monthly financial forecas'!AC5=1,IF('POA — Monthly financial forecas'!AC5="","",'POA — Monthly financial forecas'!AC5=1))="",FALSE,IF(ISERROR('POA — Monthly financial forecas'!AC5=1),'POA — Monthly financial forecas'!AC5=1,IF('POA — Monthly financial forecas'!AC5="","",'POA — Monthly financial forecas'!AC5=1))),IF('Model inputs'!AM46="","",'Model inputs'!AM46),IF('POA — Monthly financial forecas'!AB63="","",'POA — Monthly financial forecas'!AB63))</f>
        <v>3001498.0509259254</v>
      </c>
      <c r="AD62" s="16">
        <f>IF(IF(IF(ISERROR('POA — Monthly financial forecas'!AD5=1),'POA — Monthly financial forecas'!AD5=1,IF('POA — Monthly financial forecas'!AD5="","",'POA — Monthly financial forecas'!AD5=1))="",FALSE,IF(ISERROR('POA — Monthly financial forecas'!AD5=1),'POA — Monthly financial forecas'!AD5=1,IF('POA — Monthly financial forecas'!AD5="","",'POA — Monthly financial forecas'!AD5=1))),IF('Model inputs'!AM46="","",'Model inputs'!AM46),IF('POA — Monthly financial forecas'!AC63="","",'POA — Monthly financial forecas'!AC63))</f>
        <v>3394707.733465608</v>
      </c>
      <c r="AE62" s="16">
        <f>IF(IF(IF(ISERROR('POA — Monthly financial forecas'!AE5=1),'POA — Monthly financial forecas'!AE5=1,IF('POA — Monthly financial forecas'!AE5="","",'POA — Monthly financial forecas'!AE5=1))="",FALSE,IF(ISERROR('POA — Monthly financial forecas'!AE5=1),'POA — Monthly financial forecas'!AE5=1,IF('POA — Monthly financial forecas'!AE5="","",'POA — Monthly financial forecas'!AE5=1))),IF('Model inputs'!AM46="","",'Model inputs'!AM46),IF('POA — Monthly financial forecas'!AD63="","",'POA — Monthly financial forecas'!AD63))</f>
        <v>3816256.096560846</v>
      </c>
      <c r="AF62" s="16">
        <f>IF(IF(IF(ISERROR('POA — Monthly financial forecas'!AF5=1),'POA — Monthly financial forecas'!AF5=1,IF('POA — Monthly financial forecas'!AF5="","",'POA — Monthly financial forecas'!AF5=1))="",FALSE,IF(ISERROR('POA — Monthly financial forecas'!AF5=1),'POA — Monthly financial forecas'!AF5=1,IF('POA — Monthly financial forecas'!AF5="","",'POA — Monthly financial forecas'!AF5=1))),IF('Model inputs'!AM46="","",'Model inputs'!AM46),IF('POA — Monthly financial forecas'!AE63="","",'POA — Monthly financial forecas'!AE63))</f>
        <v>4266628.279100529</v>
      </c>
      <c r="AG62" s="16">
        <f>IF(IF(IF(ISERROR('POA — Monthly financial forecas'!AG5=1),'POA — Monthly financial forecas'!AG5=1,IF('POA — Monthly financial forecas'!AG5="","",'POA — Monthly financial forecas'!AG5=1))="",FALSE,IF(ISERROR('POA — Monthly financial forecas'!AG5=1),'POA — Monthly financial forecas'!AG5=1,IF('POA — Monthly financial forecas'!AG5="","",'POA — Monthly financial forecas'!AG5=1))),IF('Model inputs'!AM46="","",'Model inputs'!AM46),IF('POA — Monthly financial forecas'!AF63="","",'POA — Monthly financial forecas'!AF63))</f>
        <v>4753674.281084656</v>
      </c>
      <c r="AH62" s="16">
        <f>IF(IF(IF(ISERROR('POA — Monthly financial forecas'!AH5=1),'POA — Monthly financial forecas'!AH5=1,IF('POA — Monthly financial forecas'!AH5="","",'POA — Monthly financial forecas'!AH5=1))="",FALSE,IF(ISERROR('POA — Monthly financial forecas'!AH5=1),'POA — Monthly financial forecas'!AH5=1,IF('POA — Monthly financial forecas'!AH5="","",'POA — Monthly financial forecas'!AH5=1))),IF('Model inputs'!AM46="","",'Model inputs'!AM46),IF('POA — Monthly financial forecas'!AG63="","",'POA — Monthly financial forecas'!AG63))</f>
        <v>5262772.376322751</v>
      </c>
      <c r="AI62" s="16">
        <f>IF(IF(IF(ISERROR('POA — Monthly financial forecas'!AI5=1),'POA — Monthly financial forecas'!AI5=1,IF('POA — Monthly financial forecas'!AI5="","",'POA — Monthly financial forecas'!AI5=1))="",FALSE,IF(ISERROR('POA — Monthly financial forecas'!AI5=1),'POA — Monthly financial forecas'!AI5=1,IF('POA — Monthly financial forecas'!AI5="","",'POA — Monthly financial forecas'!AI5=1))),IF('Model inputs'!AM46="","",'Model inputs'!AM46),IF('POA — Monthly financial forecas'!AH63="","",'POA — Monthly financial forecas'!AH63))</f>
        <v>5794269.092592592</v>
      </c>
      <c r="AJ62" s="16">
        <f>IF(IF(IF(ISERROR('POA — Monthly financial forecas'!AJ5=1),'POA — Monthly financial forecas'!AJ5=1,IF('POA — Monthly financial forecas'!AJ5="","",'POA — Monthly financial forecas'!AJ5=1))="",FALSE,IF(ISERROR('POA — Monthly financial forecas'!AJ5=1),'POA — Monthly financial forecas'!AJ5=1,IF('POA — Monthly financial forecas'!AJ5="","",'POA — Monthly financial forecas'!AJ5=1))),IF('Model inputs'!AM46="","",'Model inputs'!AM46),IF('POA — Monthly financial forecas'!AI63="","",'POA — Monthly financial forecas'!AI63))</f>
        <v>6348510.957671957</v>
      </c>
      <c r="AK62" s="16">
        <f>IF(IF(IF(ISERROR('POA — Monthly financial forecas'!AK5=1),'POA — Monthly financial forecas'!AK5=1,IF('POA — Monthly financial forecas'!AK5="","",'POA — Monthly financial forecas'!AK5=1))="",FALSE,IF(ISERROR('POA — Monthly financial forecas'!AK5=1),'POA — Monthly financial forecas'!AK5=1,IF('POA — Monthly financial forecas'!AK5="","",'POA — Monthly financial forecas'!AK5=1))),IF('Model inputs'!AM46="","",'Model inputs'!AM46),IF('POA — Monthly financial forecas'!AJ63="","",'POA — Monthly financial forecas'!AJ63))</f>
        <v>6925844.499338623</v>
      </c>
    </row>
    <row r="63">
      <c r="A63" t="inlineStr" s="9">
        <is>
          <t xml:space="preserve">Ending cash</t>
        </is>
      </c>
      <c r="B63" s="16">
        <f>'POA — Monthly financial forecas'!B62+'POA — Monthly financial forecas'!B55</f>
        <v>482230.4583333333</v>
      </c>
      <c r="C63" s="16">
        <f>'POA — Monthly financial forecas'!C62+'POA — Monthly financial forecas'!C55</f>
        <v>465713.9107142857</v>
      </c>
      <c r="D63" s="16">
        <f>'POA — Monthly financial forecas'!D62+'POA — Monthly financial forecas'!D55</f>
        <v>450491.9404761904</v>
      </c>
      <c r="E63" s="16">
        <f>'POA — Monthly financial forecas'!E62+'POA — Monthly financial forecas'!E55</f>
        <v>436606.1309523809</v>
      </c>
      <c r="F63" s="16">
        <f>'POA — Monthly financial forecas'!F62+'POA — Monthly financial forecas'!F55</f>
        <v>424098.0654761904</v>
      </c>
      <c r="G63" s="16">
        <f>'POA — Monthly financial forecas'!G62+'POA — Monthly financial forecas'!G55</f>
        <v>413009.3273809523</v>
      </c>
      <c r="H63" s="16">
        <f>'POA — Monthly financial forecas'!H62+'POA — Monthly financial forecas'!H55</f>
        <v>392688.9263468013</v>
      </c>
      <c r="I63" s="16">
        <f>'POA — Monthly financial forecas'!I62+'POA — Monthly financial forecas'!I55</f>
        <v>378652.8402477152</v>
      </c>
      <c r="J63" s="16">
        <f>'POA — Monthly financial forecas'!J62+'POA — Monthly financial forecas'!J55</f>
        <v>371448.7929894179</v>
      </c>
      <c r="K63" s="16">
        <f>'POA — Monthly financial forecas'!K62+'POA — Monthly financial forecas'!K55</f>
        <v>371624.5084776334</v>
      </c>
      <c r="L63" s="16">
        <f>'POA — Monthly financial forecas'!L62+'POA — Monthly financial forecas'!L55</f>
        <v>379727.7106180856</v>
      </c>
      <c r="M63" s="16">
        <f>'POA — Monthly financial forecas'!M62+'POA — Monthly financial forecas'!M55</f>
        <v>396306.12331649824</v>
      </c>
      <c r="N63" s="16">
        <f>'POA — Monthly financial forecas'!N62+'POA — Monthly financial forecas'!N55</f>
        <v>399374.11694324185</v>
      </c>
      <c r="O63" s="16">
        <f>'POA — Monthly financial forecas'!O62+'POA — Monthly financial forecas'!O55</f>
        <v>422931.25595238083</v>
      </c>
      <c r="P63" s="16">
        <f>'POA — Monthly financial forecas'!P62+'POA — Monthly financial forecas'!P55</f>
        <v>468046.9460678209</v>
      </c>
      <c r="Q63" s="16">
        <f>'POA — Monthly financial forecas'!Q62+'POA — Monthly financial forecas'!Q55</f>
        <v>535790.5930134678</v>
      </c>
      <c r="R63" s="16">
        <f>'POA — Monthly financial forecas'!R62+'POA — Monthly financial forecas'!R55</f>
        <v>627231.6025132274</v>
      </c>
      <c r="S63" s="16">
        <f>'POA — Monthly financial forecas'!S62+'POA — Monthly financial forecas'!S55</f>
        <v>743439.3802910051</v>
      </c>
      <c r="T63" s="16">
        <f>'POA — Monthly financial forecas'!T62+'POA — Monthly financial forecas'!T55</f>
        <v>882602.0787037036</v>
      </c>
      <c r="U63" s="16">
        <f>'POA — Monthly financial forecas'!U62+'POA — Monthly financial forecas'!U55</f>
        <v>1048267.7929894179</v>
      </c>
      <c r="V63" s="16">
        <f>'POA — Monthly financial forecas'!V62+'POA — Monthly financial forecas'!V55</f>
        <v>1240990.9675925924</v>
      </c>
      <c r="W63" s="16">
        <f>'POA — Monthly financial forecas'!W62+'POA — Monthly financial forecas'!W55</f>
        <v>1461326.0469576719</v>
      </c>
      <c r="X63" s="16">
        <f>'POA — Monthly financial forecas'!X62+'POA — Monthly financial forecas'!X55</f>
        <v>1709827.4755291003</v>
      </c>
      <c r="Y63" s="16">
        <f>'POA — Monthly financial forecas'!Y62+'POA — Monthly financial forecas'!Y55</f>
        <v>1987049.6977513225</v>
      </c>
      <c r="Z63" s="16">
        <f>'POA — Monthly financial forecas'!Z62+'POA — Monthly financial forecas'!Z55</f>
        <v>2298154.1719576716</v>
      </c>
      <c r="AA63" s="16">
        <f>'POA — Monthly financial forecas'!AA62+'POA — Monthly financial forecas'!AA55</f>
        <v>2636141.9100529095</v>
      </c>
      <c r="AB63" s="16">
        <f>'POA — Monthly financial forecas'!AB62+'POA — Monthly financial forecas'!AB55</f>
        <v>3001498.0509259254</v>
      </c>
      <c r="AC63" s="16">
        <f>'POA — Monthly financial forecas'!AC62+'POA — Monthly financial forecas'!AC55</f>
        <v>3394707.733465608</v>
      </c>
      <c r="AD63" s="16">
        <f>'POA — Monthly financial forecas'!AD62+'POA — Monthly financial forecas'!AD55</f>
        <v>3816256.096560846</v>
      </c>
      <c r="AE63" s="16">
        <f>'POA — Monthly financial forecas'!AE62+'POA — Monthly financial forecas'!AE55</f>
        <v>4266628.279100529</v>
      </c>
      <c r="AF63" s="16">
        <f>'POA — Monthly financial forecas'!AF62+'POA — Monthly financial forecas'!AF55</f>
        <v>4753674.281084656</v>
      </c>
      <c r="AG63" s="16">
        <f>'POA — Monthly financial forecas'!AG62+'POA — Monthly financial forecas'!AG55</f>
        <v>5262772.376322751</v>
      </c>
      <c r="AH63" s="16">
        <f>'POA — Monthly financial forecas'!AH62+'POA — Monthly financial forecas'!AH55</f>
        <v>5794269.092592592</v>
      </c>
      <c r="AI63" s="16">
        <f>'POA — Monthly financial forecas'!AI62+'POA — Monthly financial forecas'!AI55</f>
        <v>6348510.957671957</v>
      </c>
      <c r="AJ63" s="16">
        <f>'POA — Monthly financial forecas'!AJ62+'POA — Monthly financial forecas'!AJ55</f>
        <v>6925844.499338623</v>
      </c>
      <c r="AK63" s="16">
        <f>'POA — Monthly financial forecas'!AK62+'POA — Monthly financial forecas'!AK55</f>
        <v>7526616.245370369</v>
      </c>
    </row>
    <row r="64">
      <c r="A64" t="inlineStr" s="9">
        <is>
          <t xml:space="preserve">Cash above reserve</t>
        </is>
      </c>
      <c r="B64" s="16">
        <f>'POA — Monthly financial forecas'!B63-'Model inputs'!AM40</f>
        <v>382230.4583333333</v>
      </c>
      <c r="C64" s="16">
        <f>'POA — Monthly financial forecas'!C63-'Model inputs'!AM40</f>
        <v>365713.9107142857</v>
      </c>
      <c r="D64" s="16">
        <f>'POA — Monthly financial forecas'!D63-'Model inputs'!AM40</f>
        <v>350491.9404761904</v>
      </c>
      <c r="E64" s="16">
        <f>'POA — Monthly financial forecas'!E63-'Model inputs'!AM40</f>
        <v>336606.1309523809</v>
      </c>
      <c r="F64" s="16">
        <f>'POA — Monthly financial forecas'!F63-'Model inputs'!AM40</f>
        <v>324098.0654761904</v>
      </c>
      <c r="G64" s="16">
        <f>'POA — Monthly financial forecas'!G63-'Model inputs'!AM40</f>
        <v>313009.3273809523</v>
      </c>
      <c r="H64" s="16">
        <f>'POA — Monthly financial forecas'!H63-'Model inputs'!AM40</f>
        <v>292688.9263468013</v>
      </c>
      <c r="I64" s="16">
        <f>'POA — Monthly financial forecas'!I63-'Model inputs'!AM40</f>
        <v>278652.8402477152</v>
      </c>
      <c r="J64" s="16">
        <f>'POA — Monthly financial forecas'!J63-'Model inputs'!AM40</f>
        <v>271448.7929894179</v>
      </c>
      <c r="K64" s="16">
        <f>'POA — Monthly financial forecas'!K63-'Model inputs'!AM40</f>
        <v>271624.5084776334</v>
      </c>
      <c r="L64" s="16">
        <f>'POA — Monthly financial forecas'!L63-'Model inputs'!AM40</f>
        <v>279727.7106180856</v>
      </c>
      <c r="M64" s="16">
        <f>'POA — Monthly financial forecas'!M63-'Model inputs'!AM40</f>
        <v>296306.12331649824</v>
      </c>
      <c r="N64" s="16">
        <f>'POA — Monthly financial forecas'!N63-'Model inputs'!AM40</f>
        <v>299374.11694324185</v>
      </c>
      <c r="O64" s="16">
        <f>'POA — Monthly financial forecas'!O63-'Model inputs'!AM40</f>
        <v>322931.25595238083</v>
      </c>
      <c r="P64" s="16">
        <f>'POA — Monthly financial forecas'!P63-'Model inputs'!AM40</f>
        <v>368046.9460678209</v>
      </c>
      <c r="Q64" s="16">
        <f>'POA — Monthly financial forecas'!Q63-'Model inputs'!AM40</f>
        <v>435790.59301346785</v>
      </c>
      <c r="R64" s="16">
        <f>'POA — Monthly financial forecas'!R63-'Model inputs'!AM40</f>
        <v>527231.6025132274</v>
      </c>
      <c r="S64" s="16">
        <f>'POA — Monthly financial forecas'!S63-'Model inputs'!AM40</f>
        <v>643439.3802910051</v>
      </c>
      <c r="T64" s="16">
        <f>'POA — Monthly financial forecas'!T63-'Model inputs'!AM40</f>
        <v>782602.0787037036</v>
      </c>
      <c r="U64" s="16">
        <f>'POA — Monthly financial forecas'!U63-'Model inputs'!AM40</f>
        <v>948267.7929894179</v>
      </c>
      <c r="V64" s="16">
        <f>'POA — Monthly financial forecas'!V63-'Model inputs'!AM40</f>
        <v>1140990.9675925924</v>
      </c>
      <c r="W64" s="16">
        <f>'POA — Monthly financial forecas'!W63-'Model inputs'!AM40</f>
        <v>1361326.0469576719</v>
      </c>
      <c r="X64" s="16">
        <f>'POA — Monthly financial forecas'!X63-'Model inputs'!AM40</f>
        <v>1609827.4755291003</v>
      </c>
      <c r="Y64" s="16">
        <f>'POA — Monthly financial forecas'!Y63-'Model inputs'!AM40</f>
        <v>1887049.6977513225</v>
      </c>
      <c r="Z64" s="16">
        <f>'POA — Monthly financial forecas'!Z63-'Model inputs'!AM40</f>
        <v>2198154.1719576716</v>
      </c>
      <c r="AA64" s="16">
        <f>'POA — Monthly financial forecas'!AA63-'Model inputs'!AM40</f>
        <v>2536141.9100529095</v>
      </c>
      <c r="AB64" s="16">
        <f>'POA — Monthly financial forecas'!AB63-'Model inputs'!AM40</f>
        <v>2901498.0509259254</v>
      </c>
      <c r="AC64" s="16">
        <f>'POA — Monthly financial forecas'!AC63-'Model inputs'!AM40</f>
        <v>3294707.733465608</v>
      </c>
      <c r="AD64" s="16">
        <f>'POA — Monthly financial forecas'!AD63-'Model inputs'!AM40</f>
        <v>3716256.096560846</v>
      </c>
      <c r="AE64" s="16">
        <f>'POA — Monthly financial forecas'!AE63-'Model inputs'!AM40</f>
        <v>4166628.279100529</v>
      </c>
      <c r="AF64" s="16">
        <f>'POA — Monthly financial forecas'!AF63-'Model inputs'!AM40</f>
        <v>4653674.281084656</v>
      </c>
      <c r="AG64" s="16">
        <f>'POA — Monthly financial forecas'!AG63-'Model inputs'!AM40</f>
        <v>5162772.376322751</v>
      </c>
      <c r="AH64" s="16">
        <f>'POA — Monthly financial forecas'!AH63-'Model inputs'!AM40</f>
        <v>5694269.092592592</v>
      </c>
      <c r="AI64" s="16">
        <f>'POA — Monthly financial forecas'!AI63-'Model inputs'!AM40</f>
        <v>6248510.957671957</v>
      </c>
      <c r="AJ64" s="16">
        <f>'POA — Monthly financial forecas'!AJ63-'Model inputs'!AM40</f>
        <v>6825844.499338623</v>
      </c>
      <c r="AK64" s="16">
        <f>'POA — Monthly financial forecas'!AK63-'Model inputs'!AM40</f>
        <v>7426616.245370369</v>
      </c>
    </row>
    <row r="65">
      <c r="A65" t="inlineStr" s="5">
        <is>
          <t xml:space="preserve">Runway at current monthly burn</t>
        </is>
      </c>
      <c r="B65" s="21">
        <f>IF(IF(IF(ISERROR('POA — Monthly financial forecas'!B56&gt;0),'POA — Monthly financial forecas'!B56&gt;0,IF('POA — Monthly financial forecas'!B56="","",'POA — Monthly financial forecas'!B56&gt;0))="",FALSE,IF(ISERROR('POA — Monthly financial forecas'!B56&gt;0),'POA — Monthly financial forecas'!B56&gt;0,IF('POA — Monthly financial forecas'!B56="","",'POA — Monthly financial forecas'!B56&gt;0))),MAX('POA — Monthly financial forecas'!B63,0)/'POA — Monthly financial forecas'!B56,"")</f>
        <v>27.138035824409275</v>
      </c>
      <c r="C65" s="21">
        <f>IF(IF(IF(ISERROR('POA — Monthly financial forecas'!C56&gt;0),'POA — Monthly financial forecas'!C56&gt;0,IF('POA — Monthly financial forecas'!C56="","",'POA — Monthly financial forecas'!C56&gt;0))="",FALSE,IF(ISERROR('POA — Monthly financial forecas'!C56&gt;0),'POA — Monthly financial forecas'!C56&gt;0,IF('POA — Monthly financial forecas'!C56="","",'POA — Monthly financial forecas'!C56&gt;0))),MAX('POA — Monthly financial forecas'!C63,0)/'POA — Monthly financial forecas'!C56,"")</f>
        <v>28.19680731445375</v>
      </c>
      <c r="D65" s="21">
        <f>IF(IF(IF(ISERROR('POA — Monthly financial forecas'!D56&gt;0),'POA — Monthly financial forecas'!D56&gt;0,IF('POA — Monthly financial forecas'!D56="","",'POA — Monthly financial forecas'!D56&gt;0))="",FALSE,IF(ISERROR('POA — Monthly financial forecas'!D56&gt;0),'POA — Monthly financial forecas'!D56&gt;0,IF('POA — Monthly financial forecas'!D56="","",'POA — Monthly financial forecas'!D56&gt;0))),MAX('POA — Monthly financial forecas'!D63,0)/'POA — Monthly financial forecas'!D56,"")</f>
        <v>29.594850957517153</v>
      </c>
      <c r="E65" s="21">
        <f>IF(IF(IF(ISERROR('POA — Monthly financial forecas'!E56&gt;0),'POA — Monthly financial forecas'!E56&gt;0,IF('POA — Monthly financial forecas'!E56="","",'POA — Monthly financial forecas'!E56&gt;0))="",FALSE,IF(ISERROR('POA — Monthly financial forecas'!E56&gt;0),'POA — Monthly financial forecas'!E56&gt;0,IF('POA — Monthly financial forecas'!E56="","",'POA — Monthly financial forecas'!E56&gt;0))),MAX('POA — Monthly financial forecas'!E63,0)/'POA — Monthly financial forecas'!E56,"")</f>
        <v>31.4426127049883</v>
      </c>
      <c r="F65" s="21">
        <f>IF(IF(IF(ISERROR('POA — Monthly financial forecas'!F56&gt;0),'POA — Monthly financial forecas'!F56&gt;0,IF('POA — Monthly financial forecas'!F56="","",'POA — Monthly financial forecas'!F56&gt;0))="",FALSE,IF(ISERROR('POA — Monthly financial forecas'!F56&gt;0),'POA — Monthly financial forecas'!F56&gt;0,IF('POA — Monthly financial forecas'!F56="","",'POA — Monthly financial forecas'!F56&gt;0))),MAX('POA — Monthly financial forecas'!F63,0)/'POA — Monthly financial forecas'!F56,"")</f>
        <v>33.90596781600443</v>
      </c>
      <c r="G65" s="21">
        <f>IF(IF(IF(ISERROR('POA — Monthly financial forecas'!G56&gt;0),'POA — Monthly financial forecas'!G56&gt;0,IF('POA — Monthly financial forecas'!G56="","",'POA — Monthly financial forecas'!G56&gt;0))="",FALSE,IF(ISERROR('POA — Monthly financial forecas'!G56&gt;0),'POA — Monthly financial forecas'!G56&gt;0,IF('POA — Monthly financial forecas'!G56="","",'POA — Monthly financial forecas'!G56&gt;0))),MAX('POA — Monthly financial forecas'!G63,0)/'POA — Monthly financial forecas'!G56,"")</f>
        <v>37.24583661673041</v>
      </c>
      <c r="H65" s="21">
        <f>IF(IF(IF(ISERROR('POA — Monthly financial forecas'!H56&gt;0),'POA — Monthly financial forecas'!H56&gt;0,IF('POA — Monthly financial forecas'!H56="","",'POA — Monthly financial forecas'!H56&gt;0))="",FALSE,IF(ISERROR('POA — Monthly financial forecas'!H56&gt;0),'POA — Monthly financial forecas'!H56&gt;0,IF('POA — Monthly financial forecas'!H56="","",'POA — Monthly financial forecas'!H56&gt;0))),MAX('POA — Monthly financial forecas'!H63,0)/'POA — Monthly financial forecas'!H56,"")</f>
        <v>19.324861044171186</v>
      </c>
      <c r="I65" s="21">
        <f>IF(IF(IF(ISERROR('POA — Monthly financial forecas'!I56&gt;0),'POA — Monthly financial forecas'!I56&gt;0,IF('POA — Monthly financial forecas'!I56="","",'POA — Monthly financial forecas'!I56&gt;0))="",FALSE,IF(ISERROR('POA — Monthly financial forecas'!I56&gt;0),'POA — Monthly financial forecas'!I56&gt;0,IF('POA — Monthly financial forecas'!I56="","",'POA — Monthly financial forecas'!I56&gt;0))),MAX('POA — Monthly financial forecas'!I63,0)/'POA — Monthly financial forecas'!I56,"")</f>
        <v>26.97709586380846</v>
      </c>
      <c r="J65" s="21">
        <f>IF(IF(IF(ISERROR('POA — Monthly financial forecas'!J56&gt;0),'POA — Monthly financial forecas'!J56&gt;0,IF('POA — Monthly financial forecas'!J56="","",'POA — Monthly financial forecas'!J56&gt;0))="",FALSE,IF(ISERROR('POA — Monthly financial forecas'!J56&gt;0),'POA — Monthly financial forecas'!J56&gt;0,IF('POA — Monthly financial forecas'!J56="","",'POA — Monthly financial forecas'!J56&gt;0))),MAX('POA — Monthly financial forecas'!J63,0)/'POA — Monthly financial forecas'!J56,"")</f>
        <v>51.56112663775235</v>
      </c>
      <c r="K65" t="str" s="21">
        <f>IF(IF(IF(ISERROR('POA — Monthly financial forecas'!K56&gt;0),'POA — Monthly financial forecas'!K56&gt;0,IF('POA — Monthly financial forecas'!K56="","",'POA — Monthly financial forecas'!K56&gt;0))="",FALSE,IF(ISERROR('POA — Monthly financial forecas'!K56&gt;0),'POA — Monthly financial forecas'!K56&gt;0,IF('POA — Monthly financial forecas'!K56="","",'POA — Monthly financial forecas'!K56&gt;0))),MAX('POA — Monthly financial forecas'!K63,0)/'POA — Monthly financial forecas'!K56,"")</f>
        <v/>
      </c>
      <c r="L65" t="str" s="21">
        <f>IF(IF(IF(ISERROR('POA — Monthly financial forecas'!L56&gt;0),'POA — Monthly financial forecas'!L56&gt;0,IF('POA — Monthly financial forecas'!L56="","",'POA — Monthly financial forecas'!L56&gt;0))="",FALSE,IF(ISERROR('POA — Monthly financial forecas'!L56&gt;0),'POA — Monthly financial forecas'!L56&gt;0,IF('POA — Monthly financial forecas'!L56="","",'POA — Monthly financial forecas'!L56&gt;0))),MAX('POA — Monthly financial forecas'!L63,0)/'POA — Monthly financial forecas'!L56,"")</f>
        <v/>
      </c>
      <c r="M65" t="str" s="21">
        <f>IF(IF(IF(ISERROR('POA — Monthly financial forecas'!M56&gt;0),'POA — Monthly financial forecas'!M56&gt;0,IF('POA — Monthly financial forecas'!M56="","",'POA — Monthly financial forecas'!M56&gt;0))="",FALSE,IF(ISERROR('POA — Monthly financial forecas'!M56&gt;0),'POA — Monthly financial forecas'!M56&gt;0,IF('POA — Monthly financial forecas'!M56="","",'POA — Monthly financial forecas'!M56&gt;0))),MAX('POA — Monthly financial forecas'!M63,0)/'POA — Monthly financial forecas'!M56,"")</f>
        <v/>
      </c>
      <c r="N65" t="str" s="21">
        <f>IF(IF(IF(ISERROR('POA — Monthly financial forecas'!N56&gt;0),'POA — Monthly financial forecas'!N56&gt;0,IF('POA — Monthly financial forecas'!N56="","",'POA — Monthly financial forecas'!N56&gt;0))="",FALSE,IF(ISERROR('POA — Monthly financial forecas'!N56&gt;0),'POA — Monthly financial forecas'!N56&gt;0,IF('POA — Monthly financial forecas'!N56="","",'POA — Monthly financial forecas'!N56&gt;0))),MAX('POA — Monthly financial forecas'!N63,0)/'POA — Monthly financial forecas'!N56,"")</f>
        <v/>
      </c>
      <c r="O65" t="str" s="21">
        <f>IF(IF(IF(ISERROR('POA — Monthly financial forecas'!O56&gt;0),'POA — Monthly financial forecas'!O56&gt;0,IF('POA — Monthly financial forecas'!O56="","",'POA — Monthly financial forecas'!O56&gt;0))="",FALSE,IF(ISERROR('POA — Monthly financial forecas'!O56&gt;0),'POA — Monthly financial forecas'!O56&gt;0,IF('POA — Monthly financial forecas'!O56="","",'POA — Monthly financial forecas'!O56&gt;0))),MAX('POA — Monthly financial forecas'!O63,0)/'POA — Monthly financial forecas'!O56,"")</f>
        <v/>
      </c>
      <c r="P65" t="str" s="21">
        <f>IF(IF(IF(ISERROR('POA — Monthly financial forecas'!P56&gt;0),'POA — Monthly financial forecas'!P56&gt;0,IF('POA — Monthly financial forecas'!P56="","",'POA — Monthly financial forecas'!P56&gt;0))="",FALSE,IF(ISERROR('POA — Monthly financial forecas'!P56&gt;0),'POA — Monthly financial forecas'!P56&gt;0,IF('POA — Monthly financial forecas'!P56="","",'POA — Monthly financial forecas'!P56&gt;0))),MAX('POA — Monthly financial forecas'!P63,0)/'POA — Monthly financial forecas'!P56,"")</f>
        <v/>
      </c>
      <c r="Q65" t="str" s="21">
        <f>IF(IF(IF(ISERROR('POA — Monthly financial forecas'!Q56&gt;0),'POA — Monthly financial forecas'!Q56&gt;0,IF('POA — Monthly financial forecas'!Q56="","",'POA — Monthly financial forecas'!Q56&gt;0))="",FALSE,IF(ISERROR('POA — Monthly financial forecas'!Q56&gt;0),'POA — Monthly financial forecas'!Q56&gt;0,IF('POA — Monthly financial forecas'!Q56="","",'POA — Monthly financial forecas'!Q56&gt;0))),MAX('POA — Monthly financial forecas'!Q63,0)/'POA — Monthly financial forecas'!Q56,"")</f>
        <v/>
      </c>
      <c r="R65" t="str" s="21">
        <f>IF(IF(IF(ISERROR('POA — Monthly financial forecas'!R56&gt;0),'POA — Monthly financial forecas'!R56&gt;0,IF('POA — Monthly financial forecas'!R56="","",'POA — Monthly financial forecas'!R56&gt;0))="",FALSE,IF(ISERROR('POA — Monthly financial forecas'!R56&gt;0),'POA — Monthly financial forecas'!R56&gt;0,IF('POA — Monthly financial forecas'!R56="","",'POA — Monthly financial forecas'!R56&gt;0))),MAX('POA — Monthly financial forecas'!R63,0)/'POA — Monthly financial forecas'!R56,"")</f>
        <v/>
      </c>
      <c r="S65" t="str" s="21">
        <f>IF(IF(IF(ISERROR('POA — Monthly financial forecas'!S56&gt;0),'POA — Monthly financial forecas'!S56&gt;0,IF('POA — Monthly financial forecas'!S56="","",'POA — Monthly financial forecas'!S56&gt;0))="",FALSE,IF(ISERROR('POA — Monthly financial forecas'!S56&gt;0),'POA — Monthly financial forecas'!S56&gt;0,IF('POA — Monthly financial forecas'!S56="","",'POA — Monthly financial forecas'!S56&gt;0))),MAX('POA — Monthly financial forecas'!S63,0)/'POA — Monthly financial forecas'!S56,"")</f>
        <v/>
      </c>
      <c r="T65" t="str" s="21">
        <f>IF(IF(IF(ISERROR('POA — Monthly financial forecas'!T56&gt;0),'POA — Monthly financial forecas'!T56&gt;0,IF('POA — Monthly financial forecas'!T56="","",'POA — Monthly financial forecas'!T56&gt;0))="",FALSE,IF(ISERROR('POA — Monthly financial forecas'!T56&gt;0),'POA — Monthly financial forecas'!T56&gt;0,IF('POA — Monthly financial forecas'!T56="","",'POA — Monthly financial forecas'!T56&gt;0))),MAX('POA — Monthly financial forecas'!T63,0)/'POA — Monthly financial forecas'!T56,"")</f>
        <v/>
      </c>
      <c r="U65" t="str" s="21">
        <f>IF(IF(IF(ISERROR('POA — Monthly financial forecas'!U56&gt;0),'POA — Monthly financial forecas'!U56&gt;0,IF('POA — Monthly financial forecas'!U56="","",'POA — Monthly financial forecas'!U56&gt;0))="",FALSE,IF(ISERROR('POA — Monthly financial forecas'!U56&gt;0),'POA — Monthly financial forecas'!U56&gt;0,IF('POA — Monthly financial forecas'!U56="","",'POA — Monthly financial forecas'!U56&gt;0))),MAX('POA — Monthly financial forecas'!U63,0)/'POA — Monthly financial forecas'!U56,"")</f>
        <v/>
      </c>
      <c r="V65" t="str" s="21">
        <f>IF(IF(IF(ISERROR('POA — Monthly financial forecas'!V56&gt;0),'POA — Monthly financial forecas'!V56&gt;0,IF('POA — Monthly financial forecas'!V56="","",'POA — Monthly financial forecas'!V56&gt;0))="",FALSE,IF(ISERROR('POA — Monthly financial forecas'!V56&gt;0),'POA — Monthly financial forecas'!V56&gt;0,IF('POA — Monthly financial forecas'!V56="","",'POA — Monthly financial forecas'!V56&gt;0))),MAX('POA — Monthly financial forecas'!V63,0)/'POA — Monthly financial forecas'!V56,"")</f>
        <v/>
      </c>
      <c r="W65" t="str" s="21">
        <f>IF(IF(IF(ISERROR('POA — Monthly financial forecas'!W56&gt;0),'POA — Monthly financial forecas'!W56&gt;0,IF('POA — Monthly financial forecas'!W56="","",'POA — Monthly financial forecas'!W56&gt;0))="",FALSE,IF(ISERROR('POA — Monthly financial forecas'!W56&gt;0),'POA — Monthly financial forecas'!W56&gt;0,IF('POA — Monthly financial forecas'!W56="","",'POA — Monthly financial forecas'!W56&gt;0))),MAX('POA — Monthly financial forecas'!W63,0)/'POA — Monthly financial forecas'!W56,"")</f>
        <v/>
      </c>
      <c r="X65" t="str" s="21">
        <f>IF(IF(IF(ISERROR('POA — Monthly financial forecas'!X56&gt;0),'POA — Monthly financial forecas'!X56&gt;0,IF('POA — Monthly financial forecas'!X56="","",'POA — Monthly financial forecas'!X56&gt;0))="",FALSE,IF(ISERROR('POA — Monthly financial forecas'!X56&gt;0),'POA — Monthly financial forecas'!X56&gt;0,IF('POA — Monthly financial forecas'!X56="","",'POA — Monthly financial forecas'!X56&gt;0))),MAX('POA — Monthly financial forecas'!X63,0)/'POA — Monthly financial forecas'!X56,"")</f>
        <v/>
      </c>
      <c r="Y65" t="str" s="21">
        <f>IF(IF(IF(ISERROR('POA — Monthly financial forecas'!Y56&gt;0),'POA — Monthly financial forecas'!Y56&gt;0,IF('POA — Monthly financial forecas'!Y56="","",'POA — Monthly financial forecas'!Y56&gt;0))="",FALSE,IF(ISERROR('POA — Monthly financial forecas'!Y56&gt;0),'POA — Monthly financial forecas'!Y56&gt;0,IF('POA — Monthly financial forecas'!Y56="","",'POA — Monthly financial forecas'!Y56&gt;0))),MAX('POA — Monthly financial forecas'!Y63,0)/'POA — Monthly financial forecas'!Y56,"")</f>
        <v/>
      </c>
      <c r="Z65" t="str" s="21">
        <f>IF(IF(IF(ISERROR('POA — Monthly financial forecas'!Z56&gt;0),'POA — Monthly financial forecas'!Z56&gt;0,IF('POA — Monthly financial forecas'!Z56="","",'POA — Monthly financial forecas'!Z56&gt;0))="",FALSE,IF(ISERROR('POA — Monthly financial forecas'!Z56&gt;0),'POA — Monthly financial forecas'!Z56&gt;0,IF('POA — Monthly financial forecas'!Z56="","",'POA — Monthly financial forecas'!Z56&gt;0))),MAX('POA — Monthly financial forecas'!Z63,0)/'POA — Monthly financial forecas'!Z56,"")</f>
        <v/>
      </c>
      <c r="AA65" t="str" s="21">
        <f>IF(IF(IF(ISERROR('POA — Monthly financial forecas'!AA56&gt;0),'POA — Monthly financial forecas'!AA56&gt;0,IF('POA — Monthly financial forecas'!AA56="","",'POA — Monthly financial forecas'!AA56&gt;0))="",FALSE,IF(ISERROR('POA — Monthly financial forecas'!AA56&gt;0),'POA — Monthly financial forecas'!AA56&gt;0,IF('POA — Monthly financial forecas'!AA56="","",'POA — Monthly financial forecas'!AA56&gt;0))),MAX('POA — Monthly financial forecas'!AA63,0)/'POA — Monthly financial forecas'!AA56,"")</f>
        <v/>
      </c>
      <c r="AB65" t="str" s="21">
        <f>IF(IF(IF(ISERROR('POA — Monthly financial forecas'!AB56&gt;0),'POA — Monthly financial forecas'!AB56&gt;0,IF('POA — Monthly financial forecas'!AB56="","",'POA — Monthly financial forecas'!AB56&gt;0))="",FALSE,IF(ISERROR('POA — Monthly financial forecas'!AB56&gt;0),'POA — Monthly financial forecas'!AB56&gt;0,IF('POA — Monthly financial forecas'!AB56="","",'POA — Monthly financial forecas'!AB56&gt;0))),MAX('POA — Monthly financial forecas'!AB63,0)/'POA — Monthly financial forecas'!AB56,"")</f>
        <v/>
      </c>
      <c r="AC65" t="str" s="21">
        <f>IF(IF(IF(ISERROR('POA — Monthly financial forecas'!AC56&gt;0),'POA — Monthly financial forecas'!AC56&gt;0,IF('POA — Monthly financial forecas'!AC56="","",'POA — Monthly financial forecas'!AC56&gt;0))="",FALSE,IF(ISERROR('POA — Monthly financial forecas'!AC56&gt;0),'POA — Monthly financial forecas'!AC56&gt;0,IF('POA — Monthly financial forecas'!AC56="","",'POA — Monthly financial forecas'!AC56&gt;0))),MAX('POA — Monthly financial forecas'!AC63,0)/'POA — Monthly financial forecas'!AC56,"")</f>
        <v/>
      </c>
      <c r="AD65" t="str" s="21">
        <f>IF(IF(IF(ISERROR('POA — Monthly financial forecas'!AD56&gt;0),'POA — Monthly financial forecas'!AD56&gt;0,IF('POA — Monthly financial forecas'!AD56="","",'POA — Monthly financial forecas'!AD56&gt;0))="",FALSE,IF(ISERROR('POA — Monthly financial forecas'!AD56&gt;0),'POA — Monthly financial forecas'!AD56&gt;0,IF('POA — Monthly financial forecas'!AD56="","",'POA — Monthly financial forecas'!AD56&gt;0))),MAX('POA — Monthly financial forecas'!AD63,0)/'POA — Monthly financial forecas'!AD56,"")</f>
        <v/>
      </c>
      <c r="AE65" t="str" s="21">
        <f>IF(IF(IF(ISERROR('POA — Monthly financial forecas'!AE56&gt;0),'POA — Monthly financial forecas'!AE56&gt;0,IF('POA — Monthly financial forecas'!AE56="","",'POA — Monthly financial forecas'!AE56&gt;0))="",FALSE,IF(ISERROR('POA — Monthly financial forecas'!AE56&gt;0),'POA — Monthly financial forecas'!AE56&gt;0,IF('POA — Monthly financial forecas'!AE56="","",'POA — Monthly financial forecas'!AE56&gt;0))),MAX('POA — Monthly financial forecas'!AE63,0)/'POA — Monthly financial forecas'!AE56,"")</f>
        <v/>
      </c>
      <c r="AF65" t="str" s="21">
        <f>IF(IF(IF(ISERROR('POA — Monthly financial forecas'!AF56&gt;0),'POA — Monthly financial forecas'!AF56&gt;0,IF('POA — Monthly financial forecas'!AF56="","",'POA — Monthly financial forecas'!AF56&gt;0))="",FALSE,IF(ISERROR('POA — Monthly financial forecas'!AF56&gt;0),'POA — Monthly financial forecas'!AF56&gt;0,IF('POA — Monthly financial forecas'!AF56="","",'POA — Monthly financial forecas'!AF56&gt;0))),MAX('POA — Monthly financial forecas'!AF63,0)/'POA — Monthly financial forecas'!AF56,"")</f>
        <v/>
      </c>
      <c r="AG65" t="str" s="21">
        <f>IF(IF(IF(ISERROR('POA — Monthly financial forecas'!AG56&gt;0),'POA — Monthly financial forecas'!AG56&gt;0,IF('POA — Monthly financial forecas'!AG56="","",'POA — Monthly financial forecas'!AG56&gt;0))="",FALSE,IF(ISERROR('POA — Monthly financial forecas'!AG56&gt;0),'POA — Monthly financial forecas'!AG56&gt;0,IF('POA — Monthly financial forecas'!AG56="","",'POA — Monthly financial forecas'!AG56&gt;0))),MAX('POA — Monthly financial forecas'!AG63,0)/'POA — Monthly financial forecas'!AG56,"")</f>
        <v/>
      </c>
      <c r="AH65" t="str" s="21">
        <f>IF(IF(IF(ISERROR('POA — Monthly financial forecas'!AH56&gt;0),'POA — Monthly financial forecas'!AH56&gt;0,IF('POA — Monthly financial forecas'!AH56="","",'POA — Monthly financial forecas'!AH56&gt;0))="",FALSE,IF(ISERROR('POA — Monthly financial forecas'!AH56&gt;0),'POA — Monthly financial forecas'!AH56&gt;0,IF('POA — Monthly financial forecas'!AH56="","",'POA — Monthly financial forecas'!AH56&gt;0))),MAX('POA — Monthly financial forecas'!AH63,0)/'POA — Monthly financial forecas'!AH56,"")</f>
        <v/>
      </c>
      <c r="AI65" t="str" s="21">
        <f>IF(IF(IF(ISERROR('POA — Monthly financial forecas'!AI56&gt;0),'POA — Monthly financial forecas'!AI56&gt;0,IF('POA — Monthly financial forecas'!AI56="","",'POA — Monthly financial forecas'!AI56&gt;0))="",FALSE,IF(ISERROR('POA — Monthly financial forecas'!AI56&gt;0),'POA — Monthly financial forecas'!AI56&gt;0,IF('POA — Monthly financial forecas'!AI56="","",'POA — Monthly financial forecas'!AI56&gt;0))),MAX('POA — Monthly financial forecas'!AI63,0)/'POA — Monthly financial forecas'!AI56,"")</f>
        <v/>
      </c>
      <c r="AJ65" t="str" s="21">
        <f>IF(IF(IF(ISERROR('POA — Monthly financial forecas'!AJ56&gt;0),'POA — Monthly financial forecas'!AJ56&gt;0,IF('POA — Monthly financial forecas'!AJ56="","",'POA — Monthly financial forecas'!AJ56&gt;0))="",FALSE,IF(ISERROR('POA — Monthly financial forecas'!AJ56&gt;0),'POA — Monthly financial forecas'!AJ56&gt;0,IF('POA — Monthly financial forecas'!AJ56="","",'POA — Monthly financial forecas'!AJ56&gt;0))),MAX('POA — Monthly financial forecas'!AJ63,0)/'POA — Monthly financial forecas'!AJ56,"")</f>
        <v/>
      </c>
      <c r="AK65" t="str" s="21">
        <f>IF(IF(IF(ISERROR('POA — Monthly financial forecas'!AK56&gt;0),'POA — Monthly financial forecas'!AK56&gt;0,IF('POA — Monthly financial forecas'!AK56="","",'POA — Monthly financial forecas'!AK56&gt;0))="",FALSE,IF(ISERROR('POA — Monthly financial forecas'!AK56&gt;0),'POA — Monthly financial forecas'!AK56&gt;0,IF('POA — Monthly financial forecas'!AK56="","",'POA — Monthly financial forecas'!AK56&gt;0))),MAX('POA — Monthly financial forecas'!AK63,0)/'POA — Monthly financial forecas'!AK56,"")</f>
        <v/>
      </c>
    </row>
  </sheetData>
  <mergeCells count="1">
    <mergeCell ref="A1:AK1"/>
  </mergeCells>
</worksheet>
</file>

<file path=xl/worksheets/sheet3.xml><?xml version="1.0" encoding="utf-8"?>
<worksheet xmlns="http://schemas.openxmlformats.org/spreadsheetml/2006/main">
  <dimension ref="A1:AK10"/>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s>
  <sheetData>
    <row r="1" ht="32" customHeight="1">
      <c r="A1" t="inlineStr" s="1">
        <is>
          <t xml:space="preserve">POA — Reconciliation checks</t>
        </is>
      </c>
    </row>
    <row r="2" ht="20" customHeight="1">
      <c r="A2" t="inlineStr" s="2">
        <is>
          <t xml:space="preserve">POA — Financial Forecast · Main Scenario</t>
        </is>
      </c>
    </row>
    <row r="4" ht="22" customHeight="1">
      <c r="A4" t="inlineStr" s="3">
        <is>
          <t xml:space="preserve">Variable / dimension</t>
        </is>
      </c>
      <c r="B4" t="inlineStr" s="13">
        <is>
          <t xml:space="preserve">2026-10</t>
        </is>
      </c>
      <c r="C4" t="inlineStr" s="4">
        <is>
          <t xml:space="preserve">2026-11</t>
        </is>
      </c>
      <c r="D4" t="inlineStr" s="4">
        <is>
          <t xml:space="preserve">2026-12</t>
        </is>
      </c>
      <c r="E4" t="inlineStr" s="13">
        <is>
          <t xml:space="preserve">2027-01</t>
        </is>
      </c>
      <c r="F4" t="inlineStr" s="4">
        <is>
          <t xml:space="preserve">2027-02</t>
        </is>
      </c>
      <c r="G4" t="inlineStr" s="4">
        <is>
          <t xml:space="preserve">2027-03</t>
        </is>
      </c>
      <c r="H4" t="inlineStr" s="13">
        <is>
          <t xml:space="preserve">2027-04</t>
        </is>
      </c>
      <c r="I4" t="inlineStr" s="4">
        <is>
          <t xml:space="preserve">2027-05</t>
        </is>
      </c>
      <c r="J4" t="inlineStr" s="4">
        <is>
          <t xml:space="preserve">2027-06</t>
        </is>
      </c>
      <c r="K4" t="inlineStr" s="13">
        <is>
          <t xml:space="preserve">2027-07</t>
        </is>
      </c>
      <c r="L4" t="inlineStr" s="4">
        <is>
          <t xml:space="preserve">2027-08</t>
        </is>
      </c>
      <c r="M4" t="inlineStr" s="4">
        <is>
          <t xml:space="preserve">2027-09</t>
        </is>
      </c>
      <c r="N4" t="inlineStr" s="13">
        <is>
          <t xml:space="preserve">2027-10</t>
        </is>
      </c>
      <c r="O4" t="inlineStr" s="4">
        <is>
          <t xml:space="preserve">2027-11</t>
        </is>
      </c>
      <c r="P4" t="inlineStr" s="4">
        <is>
          <t xml:space="preserve">2027-12</t>
        </is>
      </c>
      <c r="Q4" t="inlineStr" s="13">
        <is>
          <t xml:space="preserve">2028-01</t>
        </is>
      </c>
      <c r="R4" t="inlineStr" s="4">
        <is>
          <t xml:space="preserve">2028-02</t>
        </is>
      </c>
      <c r="S4" t="inlineStr" s="4">
        <is>
          <t xml:space="preserve">2028-03</t>
        </is>
      </c>
      <c r="T4" t="inlineStr" s="13">
        <is>
          <t xml:space="preserve">2028-04</t>
        </is>
      </c>
      <c r="U4" t="inlineStr" s="4">
        <is>
          <t xml:space="preserve">2028-05</t>
        </is>
      </c>
      <c r="V4" t="inlineStr" s="4">
        <is>
          <t xml:space="preserve">2028-06</t>
        </is>
      </c>
      <c r="W4" t="inlineStr" s="13">
        <is>
          <t xml:space="preserve">2028-07</t>
        </is>
      </c>
      <c r="X4" t="inlineStr" s="4">
        <is>
          <t xml:space="preserve">2028-08</t>
        </is>
      </c>
      <c r="Y4" t="inlineStr" s="4">
        <is>
          <t xml:space="preserve">2028-09</t>
        </is>
      </c>
      <c r="Z4" t="inlineStr" s="13">
        <is>
          <t xml:space="preserve">2028-10</t>
        </is>
      </c>
      <c r="AA4" t="inlineStr" s="4">
        <is>
          <t xml:space="preserve">2028-11</t>
        </is>
      </c>
      <c r="AB4" t="inlineStr" s="4">
        <is>
          <t xml:space="preserve">2028-12</t>
        </is>
      </c>
      <c r="AC4" t="inlineStr" s="13">
        <is>
          <t xml:space="preserve">2029-01</t>
        </is>
      </c>
      <c r="AD4" t="inlineStr" s="4">
        <is>
          <t xml:space="preserve">2029-02</t>
        </is>
      </c>
      <c r="AE4" t="inlineStr" s="4">
        <is>
          <t xml:space="preserve">2029-03</t>
        </is>
      </c>
      <c r="AF4" t="inlineStr" s="13">
        <is>
          <t xml:space="preserve">2029-04</t>
        </is>
      </c>
      <c r="AG4" t="inlineStr" s="4">
        <is>
          <t xml:space="preserve">2029-05</t>
        </is>
      </c>
      <c r="AH4" t="inlineStr" s="4">
        <is>
          <t xml:space="preserve">2029-06</t>
        </is>
      </c>
      <c r="AI4" t="inlineStr" s="13">
        <is>
          <t xml:space="preserve">2029-07</t>
        </is>
      </c>
      <c r="AJ4" t="inlineStr" s="4">
        <is>
          <t xml:space="preserve">2029-08</t>
        </is>
      </c>
      <c r="AK4" t="inlineStr" s="4">
        <is>
          <t xml:space="preserve">2029-09</t>
        </is>
      </c>
    </row>
    <row r="5">
      <c r="A5" t="inlineStr" s="5">
        <is>
          <t xml:space="preserve">Customer rollforward check</t>
        </is>
      </c>
      <c r="B5" s="22">
        <f>'POA — Monthly financial forecas'!B8+'POA — Monthly financial forecas'!B11-'POA — Monthly financial forecas'!B9-'POA — Monthly financial forecas'!B7</f>
        <v>0</v>
      </c>
      <c r="C5" s="22">
        <f>'POA — Monthly financial forecas'!C8+'POA — Monthly financial forecas'!C11-'POA — Monthly financial forecas'!C9-'POA — Monthly financial forecas'!C7</f>
        <v>0</v>
      </c>
      <c r="D5" s="22">
        <f>'POA — Monthly financial forecas'!D8+'POA — Monthly financial forecas'!D11-'POA — Monthly financial forecas'!D9-'POA — Monthly financial forecas'!D7</f>
        <v>0</v>
      </c>
      <c r="E5" s="22">
        <f>'POA — Monthly financial forecas'!E8+'POA — Monthly financial forecas'!E11-'POA — Monthly financial forecas'!E9-'POA — Monthly financial forecas'!E7</f>
        <v>-0.0000000000000004440892098500626</v>
      </c>
      <c r="F5" s="22">
        <f>'POA — Monthly financial forecas'!F8+'POA — Monthly financial forecas'!F11-'POA — Monthly financial forecas'!F9-'POA — Monthly financial forecas'!F7</f>
        <v>0</v>
      </c>
      <c r="G5" s="22">
        <f>'POA — Monthly financial forecas'!G8+'POA — Monthly financial forecas'!G11-'POA — Monthly financial forecas'!G9-'POA — Monthly financial forecas'!G7</f>
        <v>0</v>
      </c>
      <c r="H5" s="22">
        <f>'POA — Monthly financial forecas'!H8+'POA — Monthly financial forecas'!H11-'POA — Monthly financial forecas'!H9-'POA — Monthly financial forecas'!H7</f>
        <v>0</v>
      </c>
      <c r="I5" s="22">
        <f>'POA — Monthly financial forecas'!I8+'POA — Monthly financial forecas'!I11-'POA — Monthly financial forecas'!I9-'POA — Monthly financial forecas'!I7</f>
        <v>0</v>
      </c>
      <c r="J5" s="22">
        <f>'POA — Monthly financial forecas'!J8+'POA — Monthly financial forecas'!J11-'POA — Monthly financial forecas'!J9-'POA — Monthly financial forecas'!J7</f>
        <v>0</v>
      </c>
      <c r="K5" s="22">
        <f>'POA — Monthly financial forecas'!K8+'POA — Monthly financial forecas'!K11-'POA — Monthly financial forecas'!K9-'POA — Monthly financial forecas'!K7</f>
        <v>0</v>
      </c>
      <c r="L5" s="22">
        <f>'POA — Monthly financial forecas'!L8+'POA — Monthly financial forecas'!L11-'POA — Monthly financial forecas'!L9-'POA — Monthly financial forecas'!L7</f>
        <v>0</v>
      </c>
      <c r="M5" s="22">
        <f>'POA — Monthly financial forecas'!M8+'POA — Monthly financial forecas'!M11-'POA — Monthly financial forecas'!M9-'POA — Monthly financial forecas'!M7</f>
        <v>0.000000000000003552713678800501</v>
      </c>
      <c r="N5" s="22">
        <f>'POA — Monthly financial forecas'!N8+'POA — Monthly financial forecas'!N11-'POA — Monthly financial forecas'!N9-'POA — Monthly financial forecas'!N7</f>
        <v>-0.000000000000003552713678800501</v>
      </c>
      <c r="O5" s="22">
        <f>'POA — Monthly financial forecas'!O8+'POA — Monthly financial forecas'!O11-'POA — Monthly financial forecas'!O9-'POA — Monthly financial forecas'!O7</f>
        <v>0</v>
      </c>
      <c r="P5" s="22">
        <f>'POA — Monthly financial forecas'!P8+'POA — Monthly financial forecas'!P11-'POA — Monthly financial forecas'!P9-'POA — Monthly financial forecas'!P7</f>
        <v>0</v>
      </c>
      <c r="Q5" s="22">
        <f>'POA — Monthly financial forecas'!Q8+'POA — Monthly financial forecas'!Q11-'POA — Monthly financial forecas'!Q9-'POA — Monthly financial forecas'!Q7</f>
        <v>0</v>
      </c>
      <c r="R5" s="22">
        <f>'POA — Monthly financial forecas'!R8+'POA — Monthly financial forecas'!R11-'POA — Monthly financial forecas'!R9-'POA — Monthly financial forecas'!R7</f>
        <v>0</v>
      </c>
      <c r="S5" s="22">
        <f>'POA — Monthly financial forecas'!S8+'POA — Monthly financial forecas'!S11-'POA — Monthly financial forecas'!S9-'POA — Monthly financial forecas'!S7</f>
        <v>0</v>
      </c>
      <c r="T5" s="22">
        <f>'POA — Monthly financial forecas'!T8+'POA — Monthly financial forecas'!T11-'POA — Monthly financial forecas'!T9-'POA — Monthly financial forecas'!T7</f>
        <v>0</v>
      </c>
      <c r="U5" s="22">
        <f>'POA — Monthly financial forecas'!U8+'POA — Monthly financial forecas'!U11-'POA — Monthly financial forecas'!U9-'POA — Monthly financial forecas'!U7</f>
        <v>0</v>
      </c>
      <c r="V5" s="22">
        <f>'POA — Monthly financial forecas'!V8+'POA — Monthly financial forecas'!V11-'POA — Monthly financial forecas'!V9-'POA — Monthly financial forecas'!V7</f>
        <v>0</v>
      </c>
      <c r="W5" s="22">
        <f>'POA — Monthly financial forecas'!W8+'POA — Monthly financial forecas'!W11-'POA — Monthly financial forecas'!W9-'POA — Monthly financial forecas'!W7</f>
        <v>0</v>
      </c>
      <c r="X5" s="22">
        <f>'POA — Monthly financial forecas'!X8+'POA — Monthly financial forecas'!X11-'POA — Monthly financial forecas'!X9-'POA — Monthly financial forecas'!X7</f>
        <v>0</v>
      </c>
      <c r="Y5" s="22">
        <f>'POA — Monthly financial forecas'!Y8+'POA — Monthly financial forecas'!Y11-'POA — Monthly financial forecas'!Y9-'POA — Monthly financial forecas'!Y7</f>
        <v>0</v>
      </c>
      <c r="Z5" s="22">
        <f>'POA — Monthly financial forecas'!Z8+'POA — Monthly financial forecas'!Z11-'POA — Monthly financial forecas'!Z9-'POA — Monthly financial forecas'!Z7</f>
        <v>0</v>
      </c>
      <c r="AA5" s="22">
        <f>'POA — Monthly financial forecas'!AA8+'POA — Monthly financial forecas'!AA11-'POA — Monthly financial forecas'!AA9-'POA — Monthly financial forecas'!AA7</f>
        <v>0</v>
      </c>
      <c r="AB5" s="22">
        <f>'POA — Monthly financial forecas'!AB8+'POA — Monthly financial forecas'!AB11-'POA — Monthly financial forecas'!AB9-'POA — Monthly financial forecas'!AB7</f>
        <v>-0.000000000000014210854715202004</v>
      </c>
      <c r="AC5" s="22">
        <f>'POA — Monthly financial forecas'!AC8+'POA — Monthly financial forecas'!AC11-'POA — Monthly financial forecas'!AC9-'POA — Monthly financial forecas'!AC7</f>
        <v>0</v>
      </c>
      <c r="AD5" s="22">
        <f>'POA — Monthly financial forecas'!AD8+'POA — Monthly financial forecas'!AD11-'POA — Monthly financial forecas'!AD9-'POA — Monthly financial forecas'!AD7</f>
        <v>0</v>
      </c>
      <c r="AE5" s="22">
        <f>'POA — Monthly financial forecas'!AE8+'POA — Monthly financial forecas'!AE11-'POA — Monthly financial forecas'!AE9-'POA — Monthly financial forecas'!AE7</f>
        <v>0</v>
      </c>
      <c r="AF5" s="22">
        <f>'POA — Monthly financial forecas'!AF8+'POA — Monthly financial forecas'!AF11-'POA — Monthly financial forecas'!AF9-'POA — Monthly financial forecas'!AF7</f>
        <v>0</v>
      </c>
      <c r="AG5" s="22">
        <f>'POA — Monthly financial forecas'!AG8+'POA — Monthly financial forecas'!AG11-'POA — Monthly financial forecas'!AG9-'POA — Monthly financial forecas'!AG7</f>
        <v>0.00000000000002842170943040401</v>
      </c>
      <c r="AH5" s="22">
        <f>'POA — Monthly financial forecas'!AH8+'POA — Monthly financial forecas'!AH11-'POA — Monthly financial forecas'!AH9-'POA — Monthly financial forecas'!AH7</f>
        <v>0</v>
      </c>
      <c r="AI5" s="22">
        <f>'POA — Monthly financial forecas'!AI8+'POA — Monthly financial forecas'!AI11-'POA — Monthly financial forecas'!AI9-'POA — Monthly financial forecas'!AI7</f>
        <v>0</v>
      </c>
      <c r="AJ5" s="22">
        <f>'POA — Monthly financial forecas'!AJ8+'POA — Monthly financial forecas'!AJ11-'POA — Monthly financial forecas'!AJ9-'POA — Monthly financial forecas'!AJ7</f>
        <v>0</v>
      </c>
      <c r="AK5" s="22">
        <f>'POA — Monthly financial forecas'!AK8+'POA — Monthly financial forecas'!AK11-'POA — Monthly financial forecas'!AK9-'POA — Monthly financial forecas'!AK7</f>
        <v>0</v>
      </c>
    </row>
    <row r="6">
      <c r="A6" t="inlineStr" s="9">
        <is>
          <t xml:space="preserve">Revenue bridge check</t>
        </is>
      </c>
      <c r="B6" s="23">
        <f>'POA — Monthly financial forecas'!B18+'POA — Monthly financial forecas'!B22-'POA — Monthly financial forecas'!B27</f>
        <v>0</v>
      </c>
      <c r="C6" s="23">
        <f>'POA — Monthly financial forecas'!C18+'POA — Monthly financial forecas'!C22-'POA — Monthly financial forecas'!C27</f>
        <v>0</v>
      </c>
      <c r="D6" s="23">
        <f>'POA — Monthly financial forecas'!D18+'POA — Monthly financial forecas'!D22-'POA — Monthly financial forecas'!D27</f>
        <v>0</v>
      </c>
      <c r="E6" s="23">
        <f>'POA — Monthly financial forecas'!E18+'POA — Monthly financial forecas'!E22-'POA — Monthly financial forecas'!E27</f>
        <v>0</v>
      </c>
      <c r="F6" s="23">
        <f>'POA — Monthly financial forecas'!F18+'POA — Monthly financial forecas'!F22-'POA — Monthly financial forecas'!F27</f>
        <v>0</v>
      </c>
      <c r="G6" s="23">
        <f>'POA — Monthly financial forecas'!G18+'POA — Monthly financial forecas'!G22-'POA — Monthly financial forecas'!G27</f>
        <v>0</v>
      </c>
      <c r="H6" s="23">
        <f>'POA — Monthly financial forecas'!H18+'POA — Monthly financial forecas'!H22-'POA — Monthly financial forecas'!H27</f>
        <v>0</v>
      </c>
      <c r="I6" s="23">
        <f>'POA — Monthly financial forecas'!I18+'POA — Monthly financial forecas'!I22-'POA — Monthly financial forecas'!I27</f>
        <v>0</v>
      </c>
      <c r="J6" s="23">
        <f>'POA — Monthly financial forecas'!J18+'POA — Monthly financial forecas'!J22-'POA — Monthly financial forecas'!J27</f>
        <v>0</v>
      </c>
      <c r="K6" s="23">
        <f>'POA — Monthly financial forecas'!K18+'POA — Monthly financial forecas'!K22-'POA — Monthly financial forecas'!K27</f>
        <v>0</v>
      </c>
      <c r="L6" s="23">
        <f>'POA — Monthly financial forecas'!L18+'POA — Monthly financial forecas'!L22-'POA — Monthly financial forecas'!L27</f>
        <v>0</v>
      </c>
      <c r="M6" s="23">
        <f>'POA — Monthly financial forecas'!M18+'POA — Monthly financial forecas'!M22-'POA — Monthly financial forecas'!M27</f>
        <v>0</v>
      </c>
      <c r="N6" s="23">
        <f>'POA — Monthly financial forecas'!N18+'POA — Monthly financial forecas'!N22-'POA — Monthly financial forecas'!N27</f>
        <v>0</v>
      </c>
      <c r="O6" s="23">
        <f>'POA — Monthly financial forecas'!O18+'POA — Monthly financial forecas'!O22-'POA — Monthly financial forecas'!O27</f>
        <v>0</v>
      </c>
      <c r="P6" s="23">
        <f>'POA — Monthly financial forecas'!P18+'POA — Monthly financial forecas'!P22-'POA — Monthly financial forecas'!P27</f>
        <v>0</v>
      </c>
      <c r="Q6" s="23">
        <f>'POA — Monthly financial forecas'!Q18+'POA — Monthly financial forecas'!Q22-'POA — Monthly financial forecas'!Q27</f>
        <v>0</v>
      </c>
      <c r="R6" s="23">
        <f>'POA — Monthly financial forecas'!R18+'POA — Monthly financial forecas'!R22-'POA — Monthly financial forecas'!R27</f>
        <v>0</v>
      </c>
      <c r="S6" s="23">
        <f>'POA — Monthly financial forecas'!S18+'POA — Monthly financial forecas'!S22-'POA — Monthly financial forecas'!S27</f>
        <v>0</v>
      </c>
      <c r="T6" s="23">
        <f>'POA — Monthly financial forecas'!T18+'POA — Monthly financial forecas'!T22-'POA — Monthly financial forecas'!T27</f>
        <v>0</v>
      </c>
      <c r="U6" s="23">
        <f>'POA — Monthly financial forecas'!U18+'POA — Monthly financial forecas'!U22-'POA — Monthly financial forecas'!U27</f>
        <v>0</v>
      </c>
      <c r="V6" s="23">
        <f>'POA — Monthly financial forecas'!V18+'POA — Monthly financial forecas'!V22-'POA — Monthly financial forecas'!V27</f>
        <v>0</v>
      </c>
      <c r="W6" s="23">
        <f>'POA — Monthly financial forecas'!W18+'POA — Monthly financial forecas'!W22-'POA — Monthly financial forecas'!W27</f>
        <v>0</v>
      </c>
      <c r="X6" s="23">
        <f>'POA — Monthly financial forecas'!X18+'POA — Monthly financial forecas'!X22-'POA — Monthly financial forecas'!X27</f>
        <v>0</v>
      </c>
      <c r="Y6" s="23">
        <f>'POA — Monthly financial forecas'!Y18+'POA — Monthly financial forecas'!Y22-'POA — Monthly financial forecas'!Y27</f>
        <v>0</v>
      </c>
      <c r="Z6" s="23">
        <f>'POA — Monthly financial forecas'!Z18+'POA — Monthly financial forecas'!Z22-'POA — Monthly financial forecas'!Z27</f>
        <v>0</v>
      </c>
      <c r="AA6" s="23">
        <f>'POA — Monthly financial forecas'!AA18+'POA — Monthly financial forecas'!AA22-'POA — Monthly financial forecas'!AA27</f>
        <v>0</v>
      </c>
      <c r="AB6" s="23">
        <f>'POA — Monthly financial forecas'!AB18+'POA — Monthly financial forecas'!AB22-'POA — Monthly financial forecas'!AB27</f>
        <v>0</v>
      </c>
      <c r="AC6" s="23">
        <f>'POA — Monthly financial forecas'!AC18+'POA — Monthly financial forecas'!AC22-'POA — Monthly financial forecas'!AC27</f>
        <v>0</v>
      </c>
      <c r="AD6" s="23">
        <f>'POA — Monthly financial forecas'!AD18+'POA — Monthly financial forecas'!AD22-'POA — Monthly financial forecas'!AD27</f>
        <v>0</v>
      </c>
      <c r="AE6" s="23">
        <f>'POA — Monthly financial forecas'!AE18+'POA — Monthly financial forecas'!AE22-'POA — Monthly financial forecas'!AE27</f>
        <v>0</v>
      </c>
      <c r="AF6" s="23">
        <f>'POA — Monthly financial forecas'!AF18+'POA — Monthly financial forecas'!AF22-'POA — Monthly financial forecas'!AF27</f>
        <v>0</v>
      </c>
      <c r="AG6" s="23">
        <f>'POA — Monthly financial forecas'!AG18+'POA — Monthly financial forecas'!AG22-'POA — Monthly financial forecas'!AG27</f>
        <v>0</v>
      </c>
      <c r="AH6" s="23">
        <f>'POA — Monthly financial forecas'!AH18+'POA — Monthly financial forecas'!AH22-'POA — Monthly financial forecas'!AH27</f>
        <v>0</v>
      </c>
      <c r="AI6" s="23">
        <f>'POA — Monthly financial forecas'!AI18+'POA — Monthly financial forecas'!AI22-'POA — Monthly financial forecas'!AI27</f>
        <v>0</v>
      </c>
      <c r="AJ6" s="23">
        <f>'POA — Monthly financial forecas'!AJ18+'POA — Monthly financial forecas'!AJ22-'POA — Monthly financial forecas'!AJ27</f>
        <v>0</v>
      </c>
      <c r="AK6" s="23">
        <f>'POA — Monthly financial forecas'!AK18+'POA — Monthly financial forecas'!AK22-'POA — Monthly financial forecas'!AK27</f>
        <v>0</v>
      </c>
    </row>
    <row r="7">
      <c r="A7" t="inlineStr" s="9">
        <is>
          <t xml:space="preserve">Cash rollforward check</t>
        </is>
      </c>
      <c r="B7" s="23">
        <f>'POA — Monthly financial forecas'!B62+'POA — Monthly financial forecas'!B55-'POA — Monthly financial forecas'!B63</f>
        <v>0</v>
      </c>
      <c r="C7" s="23">
        <f>'POA — Monthly financial forecas'!C62+'POA — Monthly financial forecas'!C55-'POA — Monthly financial forecas'!C63</f>
        <v>0</v>
      </c>
      <c r="D7" s="23">
        <f>'POA — Monthly financial forecas'!D62+'POA — Monthly financial forecas'!D55-'POA — Monthly financial forecas'!D63</f>
        <v>0</v>
      </c>
      <c r="E7" s="23">
        <f>'POA — Monthly financial forecas'!E62+'POA — Monthly financial forecas'!E55-'POA — Monthly financial forecas'!E63</f>
        <v>0</v>
      </c>
      <c r="F7" s="23">
        <f>'POA — Monthly financial forecas'!F62+'POA — Monthly financial forecas'!F55-'POA — Monthly financial forecas'!F63</f>
        <v>0</v>
      </c>
      <c r="G7" s="23">
        <f>'POA — Monthly financial forecas'!G62+'POA — Monthly financial forecas'!G55-'POA — Monthly financial forecas'!G63</f>
        <v>0</v>
      </c>
      <c r="H7" s="23">
        <f>'POA — Monthly financial forecas'!H62+'POA — Monthly financial forecas'!H55-'POA — Monthly financial forecas'!H63</f>
        <v>0</v>
      </c>
      <c r="I7" s="23">
        <f>'POA — Monthly financial forecas'!I62+'POA — Monthly financial forecas'!I55-'POA — Monthly financial forecas'!I63</f>
        <v>0</v>
      </c>
      <c r="J7" s="23">
        <f>'POA — Monthly financial forecas'!J62+'POA — Monthly financial forecas'!J55-'POA — Monthly financial forecas'!J63</f>
        <v>0</v>
      </c>
      <c r="K7" s="23">
        <f>'POA — Monthly financial forecas'!K62+'POA — Monthly financial forecas'!K55-'POA — Monthly financial forecas'!K63</f>
        <v>0</v>
      </c>
      <c r="L7" s="23">
        <f>'POA — Monthly financial forecas'!L62+'POA — Monthly financial forecas'!L55-'POA — Monthly financial forecas'!L63</f>
        <v>0</v>
      </c>
      <c r="M7" s="23">
        <f>'POA — Monthly financial forecas'!M62+'POA — Monthly financial forecas'!M55-'POA — Monthly financial forecas'!M63</f>
        <v>0</v>
      </c>
      <c r="N7" s="23">
        <f>'POA — Monthly financial forecas'!N62+'POA — Monthly financial forecas'!N55-'POA — Monthly financial forecas'!N63</f>
        <v>0</v>
      </c>
      <c r="O7" s="23">
        <f>'POA — Monthly financial forecas'!O62+'POA — Monthly financial forecas'!O55-'POA — Monthly financial forecas'!O63</f>
        <v>0</v>
      </c>
      <c r="P7" s="23">
        <f>'POA — Monthly financial forecas'!P62+'POA — Monthly financial forecas'!P55-'POA — Monthly financial forecas'!P63</f>
        <v>0</v>
      </c>
      <c r="Q7" s="23">
        <f>'POA — Monthly financial forecas'!Q62+'POA — Monthly financial forecas'!Q55-'POA — Monthly financial forecas'!Q63</f>
        <v>0</v>
      </c>
      <c r="R7" s="23">
        <f>'POA — Monthly financial forecas'!R62+'POA — Monthly financial forecas'!R55-'POA — Monthly financial forecas'!R63</f>
        <v>0</v>
      </c>
      <c r="S7" s="23">
        <f>'POA — Monthly financial forecas'!S62+'POA — Monthly financial forecas'!S55-'POA — Monthly financial forecas'!S63</f>
        <v>0</v>
      </c>
      <c r="T7" s="23">
        <f>'POA — Monthly financial forecas'!T62+'POA — Monthly financial forecas'!T55-'POA — Monthly financial forecas'!T63</f>
        <v>0</v>
      </c>
      <c r="U7" s="23">
        <f>'POA — Monthly financial forecas'!U62+'POA — Monthly financial forecas'!U55-'POA — Monthly financial forecas'!U63</f>
        <v>0</v>
      </c>
      <c r="V7" s="23">
        <f>'POA — Monthly financial forecas'!V62+'POA — Monthly financial forecas'!V55-'POA — Monthly financial forecas'!V63</f>
        <v>0</v>
      </c>
      <c r="W7" s="23">
        <f>'POA — Monthly financial forecas'!W62+'POA — Monthly financial forecas'!W55-'POA — Monthly financial forecas'!W63</f>
        <v>0</v>
      </c>
      <c r="X7" s="23">
        <f>'POA — Monthly financial forecas'!X62+'POA — Monthly financial forecas'!X55-'POA — Monthly financial forecas'!X63</f>
        <v>0</v>
      </c>
      <c r="Y7" s="23">
        <f>'POA — Monthly financial forecas'!Y62+'POA — Monthly financial forecas'!Y55-'POA — Monthly financial forecas'!Y63</f>
        <v>0</v>
      </c>
      <c r="Z7" s="23">
        <f>'POA — Monthly financial forecas'!Z62+'POA — Monthly financial forecas'!Z55-'POA — Monthly financial forecas'!Z63</f>
        <v>0</v>
      </c>
      <c r="AA7" s="23">
        <f>'POA — Monthly financial forecas'!AA62+'POA — Monthly financial forecas'!AA55-'POA — Monthly financial forecas'!AA63</f>
        <v>0</v>
      </c>
      <c r="AB7" s="23">
        <f>'POA — Monthly financial forecas'!AB62+'POA — Monthly financial forecas'!AB55-'POA — Monthly financial forecas'!AB63</f>
        <v>0</v>
      </c>
      <c r="AC7" s="23">
        <f>'POA — Monthly financial forecas'!AC62+'POA — Monthly financial forecas'!AC55-'POA — Monthly financial forecas'!AC63</f>
        <v>0</v>
      </c>
      <c r="AD7" s="23">
        <f>'POA — Monthly financial forecas'!AD62+'POA — Monthly financial forecas'!AD55-'POA — Monthly financial forecas'!AD63</f>
        <v>0</v>
      </c>
      <c r="AE7" s="23">
        <f>'POA — Monthly financial forecas'!AE62+'POA — Monthly financial forecas'!AE55-'POA — Monthly financial forecas'!AE63</f>
        <v>0</v>
      </c>
      <c r="AF7" s="23">
        <f>'POA — Monthly financial forecas'!AF62+'POA — Monthly financial forecas'!AF55-'POA — Monthly financial forecas'!AF63</f>
        <v>0</v>
      </c>
      <c r="AG7" s="23">
        <f>'POA — Monthly financial forecas'!AG62+'POA — Monthly financial forecas'!AG55-'POA — Monthly financial forecas'!AG63</f>
        <v>0</v>
      </c>
      <c r="AH7" s="23">
        <f>'POA — Monthly financial forecas'!AH62+'POA — Monthly financial forecas'!AH55-'POA — Monthly financial forecas'!AH63</f>
        <v>0</v>
      </c>
      <c r="AI7" s="23">
        <f>'POA — Monthly financial forecas'!AI62+'POA — Monthly financial forecas'!AI55-'POA — Monthly financial forecas'!AI63</f>
        <v>0</v>
      </c>
      <c r="AJ7" s="23">
        <f>'POA — Monthly financial forecas'!AJ62+'POA — Monthly financial forecas'!AJ55-'POA — Monthly financial forecas'!AJ63</f>
        <v>0</v>
      </c>
      <c r="AK7" s="23">
        <f>'POA — Monthly financial forecas'!AK62+'POA — Monthly financial forecas'!AK55-'POA — Monthly financial forecas'!AK63</f>
        <v>0</v>
      </c>
    </row>
    <row r="8">
      <c r="A8" t="inlineStr" s="9">
        <is>
          <t xml:space="preserve">Restitution fee check</t>
        </is>
      </c>
      <c r="B8" s="23">
        <f>'POA — Monthly financial forecas'!B26*'Model inputs'!AM14-'POA — Monthly financial forecas'!B22</f>
        <v>0</v>
      </c>
      <c r="C8" s="23">
        <f>'POA — Monthly financial forecas'!C26*'Model inputs'!AM14-'POA — Monthly financial forecas'!C22</f>
        <v>0</v>
      </c>
      <c r="D8" s="23">
        <f>'POA — Monthly financial forecas'!D26*'Model inputs'!AM14-'POA — Monthly financial forecas'!D22</f>
        <v>0</v>
      </c>
      <c r="E8" s="23">
        <f>'POA — Monthly financial forecas'!E26*'Model inputs'!AM14-'POA — Monthly financial forecas'!E22</f>
        <v>0</v>
      </c>
      <c r="F8" s="23">
        <f>'POA — Monthly financial forecas'!F26*'Model inputs'!AM14-'POA — Monthly financial forecas'!F22</f>
        <v>0</v>
      </c>
      <c r="G8" s="23">
        <f>'POA — Monthly financial forecas'!G26*'Model inputs'!AM14-'POA — Monthly financial forecas'!G22</f>
        <v>0</v>
      </c>
      <c r="H8" s="23">
        <f>'POA — Monthly financial forecas'!H26*'Model inputs'!AM14-'POA — Monthly financial forecas'!H22</f>
        <v>0</v>
      </c>
      <c r="I8" s="23">
        <f>'POA — Monthly financial forecas'!I26*'Model inputs'!AM14-'POA — Monthly financial forecas'!I22</f>
        <v>0</v>
      </c>
      <c r="J8" s="23">
        <f>'POA — Monthly financial forecas'!J26*'Model inputs'!AM14-'POA — Monthly financial forecas'!J22</f>
        <v>0</v>
      </c>
      <c r="K8" s="23">
        <f>'POA — Monthly financial forecas'!K26*'Model inputs'!AM14-'POA — Monthly financial forecas'!K22</f>
        <v>0</v>
      </c>
      <c r="L8" s="23">
        <f>'POA — Monthly financial forecas'!L26*'Model inputs'!AM14-'POA — Monthly financial forecas'!L22</f>
        <v>0</v>
      </c>
      <c r="M8" s="23">
        <f>'POA — Monthly financial forecas'!M26*'Model inputs'!AM14-'POA — Monthly financial forecas'!M22</f>
        <v>-0.0000000000018189894035458565</v>
      </c>
      <c r="N8" s="23">
        <f>'POA — Monthly financial forecas'!N26*'Model inputs'!AM14-'POA — Monthly financial forecas'!N22</f>
        <v>0</v>
      </c>
      <c r="O8" s="23">
        <f>'POA — Monthly financial forecas'!O26*'Model inputs'!AM14-'POA — Monthly financial forecas'!O22</f>
        <v>0</v>
      </c>
      <c r="P8" s="23">
        <f>'POA — Monthly financial forecas'!P26*'Model inputs'!AM14-'POA — Monthly financial forecas'!P22</f>
        <v>0</v>
      </c>
      <c r="Q8" s="23">
        <f>'POA — Monthly financial forecas'!Q26*'Model inputs'!AM14-'POA — Monthly financial forecas'!Q22</f>
        <v>0</v>
      </c>
      <c r="R8" s="23">
        <f>'POA — Monthly financial forecas'!R26*'Model inputs'!AM14-'POA — Monthly financial forecas'!R22</f>
        <v>0</v>
      </c>
      <c r="S8" s="23">
        <f>'POA — Monthly financial forecas'!S26*'Model inputs'!AM14-'POA — Monthly financial forecas'!S22</f>
        <v>0</v>
      </c>
      <c r="T8" s="23">
        <f>'POA — Monthly financial forecas'!T26*'Model inputs'!AM14-'POA — Monthly financial forecas'!T22</f>
        <v>0</v>
      </c>
      <c r="U8" s="23">
        <f>'POA — Monthly financial forecas'!U26*'Model inputs'!AM14-'POA — Monthly financial forecas'!U22</f>
        <v>0</v>
      </c>
      <c r="V8" s="23">
        <f>'POA — Monthly financial forecas'!V26*'Model inputs'!AM14-'POA — Monthly financial forecas'!V22</f>
        <v>0</v>
      </c>
      <c r="W8" s="23">
        <f>'POA — Monthly financial forecas'!W26*'Model inputs'!AM14-'POA — Monthly financial forecas'!W22</f>
        <v>-0.000000000014551915228366852</v>
      </c>
      <c r="X8" s="23">
        <f>'POA — Monthly financial forecas'!X26*'Model inputs'!AM14-'POA — Monthly financial forecas'!X22</f>
        <v>0</v>
      </c>
      <c r="Y8" s="23">
        <f>'POA — Monthly financial forecas'!Y26*'Model inputs'!AM14-'POA — Monthly financial forecas'!Y22</f>
        <v>0</v>
      </c>
      <c r="Z8" s="23">
        <f>'POA — Monthly financial forecas'!Z26*'Model inputs'!AM14-'POA — Monthly financial forecas'!Z22</f>
        <v>0</v>
      </c>
      <c r="AA8" s="23">
        <f>'POA — Monthly financial forecas'!AA26*'Model inputs'!AM14-'POA — Monthly financial forecas'!AA22</f>
        <v>0</v>
      </c>
      <c r="AB8" s="23">
        <f>'POA — Monthly financial forecas'!AB26*'Model inputs'!AM14-'POA — Monthly financial forecas'!AB22</f>
        <v>0</v>
      </c>
      <c r="AC8" s="23">
        <f>'POA — Monthly financial forecas'!AC26*'Model inputs'!AM14-'POA — Monthly financial forecas'!AC22</f>
        <v>0</v>
      </c>
      <c r="AD8" s="23">
        <f>'POA — Monthly financial forecas'!AD26*'Model inputs'!AM14-'POA — Monthly financial forecas'!AD22</f>
        <v>-0.000000000029103830456733704</v>
      </c>
      <c r="AE8" s="23">
        <f>'POA — Monthly financial forecas'!AE26*'Model inputs'!AM14-'POA — Monthly financial forecas'!AE22</f>
        <v>0</v>
      </c>
      <c r="AF8" s="23">
        <f>'POA — Monthly financial forecas'!AF26*'Model inputs'!AM14-'POA — Monthly financial forecas'!AF22</f>
        <v>-0.000000000029103830456733704</v>
      </c>
      <c r="AG8" s="23">
        <f>'POA — Monthly financial forecas'!AG26*'Model inputs'!AM14-'POA — Monthly financial forecas'!AG22</f>
        <v>0</v>
      </c>
      <c r="AH8" s="23">
        <f>'POA — Monthly financial forecas'!AH26*'Model inputs'!AM14-'POA — Monthly financial forecas'!AH22</f>
        <v>0</v>
      </c>
      <c r="AI8" s="23">
        <f>'POA — Monthly financial forecas'!AI26*'Model inputs'!AM14-'POA — Monthly financial forecas'!AI22</f>
        <v>0</v>
      </c>
      <c r="AJ8" s="23">
        <f>'POA — Monthly financial forecas'!AJ26*'Model inputs'!AM14-'POA — Monthly financial forecas'!AJ22</f>
        <v>0</v>
      </c>
      <c r="AK8" s="23">
        <f>'POA — Monthly financial forecas'!AK26*'Model inputs'!AM14-'POA — Monthly financial forecas'!AK22</f>
        <v>0</v>
      </c>
    </row>
    <row r="9">
      <c r="A9" t="inlineStr" s="9">
        <is>
          <t xml:space="preserve">Gross profit check</t>
        </is>
      </c>
      <c r="B9" s="23">
        <f>'POA — Monthly financial forecas'!B27-'POA — Monthly financial forecas'!B37-'POA — Monthly financial forecas'!B38</f>
        <v>0</v>
      </c>
      <c r="C9" s="23">
        <f>'POA — Monthly financial forecas'!C27-'POA — Monthly financial forecas'!C37-'POA — Monthly financial forecas'!C38</f>
        <v>0</v>
      </c>
      <c r="D9" s="23">
        <f>'POA — Monthly financial forecas'!D27-'POA — Monthly financial forecas'!D37-'POA — Monthly financial forecas'!D38</f>
        <v>0</v>
      </c>
      <c r="E9" s="23">
        <f>'POA — Monthly financial forecas'!E27-'POA — Monthly financial forecas'!E37-'POA — Monthly financial forecas'!E38</f>
        <v>0</v>
      </c>
      <c r="F9" s="23">
        <f>'POA — Monthly financial forecas'!F27-'POA — Monthly financial forecas'!F37-'POA — Monthly financial forecas'!F38</f>
        <v>0</v>
      </c>
      <c r="G9" s="23">
        <f>'POA — Monthly financial forecas'!G27-'POA — Monthly financial forecas'!G37-'POA — Monthly financial forecas'!G38</f>
        <v>0</v>
      </c>
      <c r="H9" s="23">
        <f>'POA — Monthly financial forecas'!H27-'POA — Monthly financial forecas'!H37-'POA — Monthly financial forecas'!H38</f>
        <v>0</v>
      </c>
      <c r="I9" s="23">
        <f>'POA — Monthly financial forecas'!I27-'POA — Monthly financial forecas'!I37-'POA — Monthly financial forecas'!I38</f>
        <v>0</v>
      </c>
      <c r="J9" s="23">
        <f>'POA — Monthly financial forecas'!J27-'POA — Monthly financial forecas'!J37-'POA — Monthly financial forecas'!J38</f>
        <v>0</v>
      </c>
      <c r="K9" s="23">
        <f>'POA — Monthly financial forecas'!K27-'POA — Monthly financial forecas'!K37-'POA — Monthly financial forecas'!K38</f>
        <v>0</v>
      </c>
      <c r="L9" s="23">
        <f>'POA — Monthly financial forecas'!L27-'POA — Monthly financial forecas'!L37-'POA — Monthly financial forecas'!L38</f>
        <v>0</v>
      </c>
      <c r="M9" s="23">
        <f>'POA — Monthly financial forecas'!M27-'POA — Monthly financial forecas'!M37-'POA — Monthly financial forecas'!M38</f>
        <v>0</v>
      </c>
      <c r="N9" s="23">
        <f>'POA — Monthly financial forecas'!N27-'POA — Monthly financial forecas'!N37-'POA — Monthly financial forecas'!N38</f>
        <v>0</v>
      </c>
      <c r="O9" s="23">
        <f>'POA — Monthly financial forecas'!O27-'POA — Monthly financial forecas'!O37-'POA — Monthly financial forecas'!O38</f>
        <v>0</v>
      </c>
      <c r="P9" s="23">
        <f>'POA — Monthly financial forecas'!P27-'POA — Monthly financial forecas'!P37-'POA — Monthly financial forecas'!P38</f>
        <v>0</v>
      </c>
      <c r="Q9" s="23">
        <f>'POA — Monthly financial forecas'!Q27-'POA — Monthly financial forecas'!Q37-'POA — Monthly financial forecas'!Q38</f>
        <v>0</v>
      </c>
      <c r="R9" s="23">
        <f>'POA — Monthly financial forecas'!R27-'POA — Monthly financial forecas'!R37-'POA — Monthly financial forecas'!R38</f>
        <v>0</v>
      </c>
      <c r="S9" s="23">
        <f>'POA — Monthly financial forecas'!S27-'POA — Monthly financial forecas'!S37-'POA — Monthly financial forecas'!S38</f>
        <v>0</v>
      </c>
      <c r="T9" s="23">
        <f>'POA — Monthly financial forecas'!T27-'POA — Monthly financial forecas'!T37-'POA — Monthly financial forecas'!T38</f>
        <v>0</v>
      </c>
      <c r="U9" s="23">
        <f>'POA — Monthly financial forecas'!U27-'POA — Monthly financial forecas'!U37-'POA — Monthly financial forecas'!U38</f>
        <v>0</v>
      </c>
      <c r="V9" s="23">
        <f>'POA — Monthly financial forecas'!V27-'POA — Monthly financial forecas'!V37-'POA — Monthly financial forecas'!V38</f>
        <v>0</v>
      </c>
      <c r="W9" s="23">
        <f>'POA — Monthly financial forecas'!W27-'POA — Monthly financial forecas'!W37-'POA — Monthly financial forecas'!W38</f>
        <v>0</v>
      </c>
      <c r="X9" s="23">
        <f>'POA — Monthly financial forecas'!X27-'POA — Monthly financial forecas'!X37-'POA — Monthly financial forecas'!X38</f>
        <v>0</v>
      </c>
      <c r="Y9" s="23">
        <f>'POA — Monthly financial forecas'!Y27-'POA — Monthly financial forecas'!Y37-'POA — Monthly financial forecas'!Y38</f>
        <v>0</v>
      </c>
      <c r="Z9" s="23">
        <f>'POA — Monthly financial forecas'!Z27-'POA — Monthly financial forecas'!Z37-'POA — Monthly financial forecas'!Z38</f>
        <v>0</v>
      </c>
      <c r="AA9" s="23">
        <f>'POA — Monthly financial forecas'!AA27-'POA — Monthly financial forecas'!AA37-'POA — Monthly financial forecas'!AA38</f>
        <v>0</v>
      </c>
      <c r="AB9" s="23">
        <f>'POA — Monthly financial forecas'!AB27-'POA — Monthly financial forecas'!AB37-'POA — Monthly financial forecas'!AB38</f>
        <v>0</v>
      </c>
      <c r="AC9" s="23">
        <f>'POA — Monthly financial forecas'!AC27-'POA — Monthly financial forecas'!AC37-'POA — Monthly financial forecas'!AC38</f>
        <v>0</v>
      </c>
      <c r="AD9" s="23">
        <f>'POA — Monthly financial forecas'!AD27-'POA — Monthly financial forecas'!AD37-'POA — Monthly financial forecas'!AD38</f>
        <v>0</v>
      </c>
      <c r="AE9" s="23">
        <f>'POA — Monthly financial forecas'!AE27-'POA — Monthly financial forecas'!AE37-'POA — Monthly financial forecas'!AE38</f>
        <v>0</v>
      </c>
      <c r="AF9" s="23">
        <f>'POA — Monthly financial forecas'!AF27-'POA — Monthly financial forecas'!AF37-'POA — Monthly financial forecas'!AF38</f>
        <v>0</v>
      </c>
      <c r="AG9" s="23">
        <f>'POA — Monthly financial forecas'!AG27-'POA — Monthly financial forecas'!AG37-'POA — Monthly financial forecas'!AG38</f>
        <v>0</v>
      </c>
      <c r="AH9" s="23">
        <f>'POA — Monthly financial forecas'!AH27-'POA — Monthly financial forecas'!AH37-'POA — Monthly financial forecas'!AH38</f>
        <v>0</v>
      </c>
      <c r="AI9" s="23">
        <f>'POA — Monthly financial forecas'!AI27-'POA — Monthly financial forecas'!AI37-'POA — Monthly financial forecas'!AI38</f>
        <v>0</v>
      </c>
      <c r="AJ9" s="23">
        <f>'POA — Monthly financial forecas'!AJ27-'POA — Monthly financial forecas'!AJ37-'POA — Monthly financial forecas'!AJ38</f>
        <v>0</v>
      </c>
      <c r="AK9" s="23">
        <f>'POA — Monthly financial forecas'!AK27-'POA — Monthly financial forecas'!AK37-'POA — Monthly financial forecas'!AK38</f>
        <v>0</v>
      </c>
    </row>
    <row r="10">
      <c r="A10" t="inlineStr" s="5">
        <is>
          <t xml:space="preserve">Operating budget check</t>
        </is>
      </c>
      <c r="B10" s="22">
        <f>'POA — Monthly financial forecas'!B41-'POA — Monthly financial forecas'!B40</f>
        <v>0</v>
      </c>
      <c r="C10" s="22">
        <f>'POA — Monthly financial forecas'!C41-'POA — Monthly financial forecas'!C40</f>
        <v>0.0000000000018189894035458565</v>
      </c>
      <c r="D10" s="22">
        <f>'POA — Monthly financial forecas'!D41-'POA — Monthly financial forecas'!D40</f>
        <v>0</v>
      </c>
      <c r="E10" s="22">
        <f>'POA — Monthly financial forecas'!E41-'POA — Monthly financial forecas'!E40</f>
        <v>0</v>
      </c>
      <c r="F10" s="22">
        <f>'POA — Monthly financial forecas'!F41-'POA — Monthly financial forecas'!F40</f>
        <v>0</v>
      </c>
      <c r="G10" s="22">
        <f>'POA — Monthly financial forecas'!G41-'POA — Monthly financial forecas'!G40</f>
        <v>0</v>
      </c>
      <c r="H10" s="22">
        <f>'POA — Monthly financial forecas'!H41-'POA — Monthly financial forecas'!H40</f>
        <v>0</v>
      </c>
      <c r="I10" s="22">
        <f>'POA — Monthly financial forecas'!I41-'POA — Monthly financial forecas'!I40</f>
        <v>0.000000000003637978807091713</v>
      </c>
      <c r="J10" s="22">
        <f>'POA — Monthly financial forecas'!J41-'POA — Monthly financial forecas'!J40</f>
        <v>0</v>
      </c>
      <c r="K10" s="22">
        <f>'POA — Monthly financial forecas'!K41-'POA — Monthly financial forecas'!K40</f>
        <v>0</v>
      </c>
      <c r="L10" s="22">
        <f>'POA — Monthly financial forecas'!L41-'POA — Monthly financial forecas'!L40</f>
        <v>0</v>
      </c>
      <c r="M10" s="22">
        <f>'POA — Monthly financial forecas'!M41-'POA — Monthly financial forecas'!M40</f>
        <v>0</v>
      </c>
      <c r="N10" s="22">
        <f>'POA — Monthly financial forecas'!N41-'POA — Monthly financial forecas'!N40</f>
        <v>0</v>
      </c>
      <c r="O10" s="22">
        <f>'POA — Monthly financial forecas'!O41-'POA — Monthly financial forecas'!O40</f>
        <v>0</v>
      </c>
      <c r="P10" s="22">
        <f>'POA — Monthly financial forecas'!P41-'POA — Monthly financial forecas'!P40</f>
        <v>0</v>
      </c>
      <c r="Q10" s="22">
        <f>'POA — Monthly financial forecas'!Q41-'POA — Monthly financial forecas'!Q40</f>
        <v>0</v>
      </c>
      <c r="R10" s="22">
        <f>'POA — Monthly financial forecas'!R41-'POA — Monthly financial forecas'!R40</f>
        <v>0</v>
      </c>
      <c r="S10" s="22">
        <f>'POA — Monthly financial forecas'!S41-'POA — Monthly financial forecas'!S40</f>
        <v>0</v>
      </c>
      <c r="T10" s="22">
        <f>'POA — Monthly financial forecas'!T41-'POA — Monthly financial forecas'!T40</f>
        <v>0</v>
      </c>
      <c r="U10" s="22">
        <f>'POA — Monthly financial forecas'!U41-'POA — Monthly financial forecas'!U40</f>
        <v>0.000000000014551915228366852</v>
      </c>
      <c r="V10" s="22">
        <f>'POA — Monthly financial forecas'!V41-'POA — Monthly financial forecas'!V40</f>
        <v>0</v>
      </c>
      <c r="W10" s="22">
        <f>'POA — Monthly financial forecas'!W41-'POA — Monthly financial forecas'!W40</f>
        <v>0</v>
      </c>
      <c r="X10" s="22">
        <f>'POA — Monthly financial forecas'!X41-'POA — Monthly financial forecas'!X40</f>
        <v>0</v>
      </c>
      <c r="Y10" s="22">
        <f>'POA — Monthly financial forecas'!Y41-'POA — Monthly financial forecas'!Y40</f>
        <v>0</v>
      </c>
      <c r="Z10" s="22">
        <f>'POA — Monthly financial forecas'!Z41-'POA — Monthly financial forecas'!Z40</f>
        <v>0</v>
      </c>
      <c r="AA10" s="22">
        <f>'POA — Monthly financial forecas'!AA41-'POA — Monthly financial forecas'!AA40</f>
        <v>0</v>
      </c>
      <c r="AB10" s="22">
        <f>'POA — Monthly financial forecas'!AB41-'POA — Monthly financial forecas'!AB40</f>
        <v>0</v>
      </c>
      <c r="AC10" s="22">
        <f>'POA — Monthly financial forecas'!AC41-'POA — Monthly financial forecas'!AC40</f>
        <v>0</v>
      </c>
      <c r="AD10" s="22">
        <f>'POA — Monthly financial forecas'!AD41-'POA — Monthly financial forecas'!AD40</f>
        <v>0</v>
      </c>
      <c r="AE10" s="22">
        <f>'POA — Monthly financial forecas'!AE41-'POA — Monthly financial forecas'!AE40</f>
        <v>0</v>
      </c>
      <c r="AF10" s="22">
        <f>'POA — Monthly financial forecas'!AF41-'POA — Monthly financial forecas'!AF40</f>
        <v>0</v>
      </c>
      <c r="AG10" s="22">
        <f>'POA — Monthly financial forecas'!AG41-'POA — Monthly financial forecas'!AG40</f>
        <v>0</v>
      </c>
      <c r="AH10" s="22">
        <f>'POA — Monthly financial forecas'!AH41-'POA — Monthly financial forecas'!AH40</f>
        <v>0</v>
      </c>
      <c r="AI10" s="22">
        <f>'POA — Monthly financial forecas'!AI41-'POA — Monthly financial forecas'!AI40</f>
        <v>0</v>
      </c>
      <c r="AJ10" s="22">
        <f>'POA — Monthly financial forecas'!AJ41-'POA — Monthly financial forecas'!AJ40</f>
        <v>0</v>
      </c>
      <c r="AK10" s="22">
        <f>'POA — Monthly financial forecas'!AK41-'POA — Monthly financial forecas'!AK40</f>
        <v>0</v>
      </c>
    </row>
  </sheetData>
  <mergeCells count="1">
    <mergeCell ref="A1:AK1"/>
  </mergeCells>
</worksheet>
</file>

<file path=xl/worksheets/sheet4.xml><?xml version="1.0" encoding="utf-8"?>
<worksheet xmlns="http://schemas.openxmlformats.org/spreadsheetml/2006/main">
  <dimension ref="A1:AM3566"/>
  <sheetViews>
    <sheetView showGridLines="0" workbookViewId="0">
      <pane xSplit="1" ySplit="5" topLeftCell="B6" activePane="bottomRight" state="frozen"/>
      <selection pane="bottomRight" activeCell="B6" sqref="B6"/>
    </sheetView>
  </sheetViews>
  <sheetFormatPr defaultRowHeight="18"/>
  <cols>
    <col min="1" max="1" width="42"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s>
  <sheetData>
    <row r="1" ht="32" customHeight="1">
      <c r="A1" t="inlineStr" s="1">
        <is>
          <t xml:space="preserve">Model inputs</t>
        </is>
      </c>
    </row>
    <row r="2" ht="20" customHeight="1">
      <c r="A2" t="inlineStr" s="2">
        <is>
          <t xml:space="preserve">Integration values are aggregated snapshots; raw source records are not included.</t>
        </is>
      </c>
    </row>
    <row r="4">
      <c r="A4" t="inlineStr" s="24">
        <is>
          <t xml:space="preserve">Variables</t>
        </is>
      </c>
    </row>
    <row r="5" ht="22" customHeight="1">
      <c r="A5" t="inlineStr" s="3">
        <is>
          <t xml:space="preserve">Variable / segment</t>
        </is>
      </c>
      <c r="B5" t="inlineStr" s="4">
        <is>
          <t xml:space="preserve">2026-09</t>
        </is>
      </c>
      <c r="C5" t="inlineStr" s="13">
        <is>
          <t xml:space="preserve">2026-10</t>
        </is>
      </c>
      <c r="D5" t="inlineStr" s="4">
        <is>
          <t xml:space="preserve">2026-11</t>
        </is>
      </c>
      <c r="E5" t="inlineStr" s="4">
        <is>
          <t xml:space="preserve">2026-12</t>
        </is>
      </c>
      <c r="F5" t="inlineStr" s="13">
        <is>
          <t xml:space="preserve">2027-01</t>
        </is>
      </c>
      <c r="G5" t="inlineStr" s="4">
        <is>
          <t xml:space="preserve">2027-02</t>
        </is>
      </c>
      <c r="H5" t="inlineStr" s="4">
        <is>
          <t xml:space="preserve">2027-03</t>
        </is>
      </c>
      <c r="I5" t="inlineStr" s="13">
        <is>
          <t xml:space="preserve">2027-04</t>
        </is>
      </c>
      <c r="J5" t="inlineStr" s="4">
        <is>
          <t xml:space="preserve">2027-05</t>
        </is>
      </c>
      <c r="K5" t="inlineStr" s="4">
        <is>
          <t xml:space="preserve">2027-06</t>
        </is>
      </c>
      <c r="L5" t="inlineStr" s="13">
        <is>
          <t xml:space="preserve">2027-07</t>
        </is>
      </c>
      <c r="M5" t="inlineStr" s="4">
        <is>
          <t xml:space="preserve">2027-08</t>
        </is>
      </c>
      <c r="N5" t="inlineStr" s="4">
        <is>
          <t xml:space="preserve">2027-09</t>
        </is>
      </c>
      <c r="O5" t="inlineStr" s="13">
        <is>
          <t xml:space="preserve">2027-10</t>
        </is>
      </c>
      <c r="P5" t="inlineStr" s="4">
        <is>
          <t xml:space="preserve">2027-11</t>
        </is>
      </c>
      <c r="Q5" t="inlineStr" s="4">
        <is>
          <t xml:space="preserve">2027-12</t>
        </is>
      </c>
      <c r="R5" t="inlineStr" s="13">
        <is>
          <t xml:space="preserve">2028-01</t>
        </is>
      </c>
      <c r="S5" t="inlineStr" s="4">
        <is>
          <t xml:space="preserve">2028-02</t>
        </is>
      </c>
      <c r="T5" t="inlineStr" s="4">
        <is>
          <t xml:space="preserve">2028-03</t>
        </is>
      </c>
      <c r="U5" t="inlineStr" s="13">
        <is>
          <t xml:space="preserve">2028-04</t>
        </is>
      </c>
      <c r="V5" t="inlineStr" s="4">
        <is>
          <t xml:space="preserve">2028-05</t>
        </is>
      </c>
      <c r="W5" t="inlineStr" s="4">
        <is>
          <t xml:space="preserve">2028-06</t>
        </is>
      </c>
      <c r="X5" t="inlineStr" s="13">
        <is>
          <t xml:space="preserve">2028-07</t>
        </is>
      </c>
      <c r="Y5" t="inlineStr" s="4">
        <is>
          <t xml:space="preserve">2028-08</t>
        </is>
      </c>
      <c r="Z5" t="inlineStr" s="4">
        <is>
          <t xml:space="preserve">2028-09</t>
        </is>
      </c>
      <c r="AA5" t="inlineStr" s="13">
        <is>
          <t xml:space="preserve">2028-10</t>
        </is>
      </c>
      <c r="AB5" t="inlineStr" s="4">
        <is>
          <t xml:space="preserve">2028-11</t>
        </is>
      </c>
      <c r="AC5" t="inlineStr" s="4">
        <is>
          <t xml:space="preserve">2028-12</t>
        </is>
      </c>
      <c r="AD5" t="inlineStr" s="13">
        <is>
          <t xml:space="preserve">2029-01</t>
        </is>
      </c>
      <c r="AE5" t="inlineStr" s="4">
        <is>
          <t xml:space="preserve">2029-02</t>
        </is>
      </c>
      <c r="AF5" t="inlineStr" s="4">
        <is>
          <t xml:space="preserve">2029-03</t>
        </is>
      </c>
      <c r="AG5" t="inlineStr" s="13">
        <is>
          <t xml:space="preserve">2029-04</t>
        </is>
      </c>
      <c r="AH5" t="inlineStr" s="4">
        <is>
          <t xml:space="preserve">2029-05</t>
        </is>
      </c>
      <c r="AI5" t="inlineStr" s="4">
        <is>
          <t xml:space="preserve">2029-06</t>
        </is>
      </c>
      <c r="AJ5" t="inlineStr" s="13">
        <is>
          <t xml:space="preserve">2029-07</t>
        </is>
      </c>
      <c r="AK5" t="inlineStr" s="4">
        <is>
          <t xml:space="preserve">2029-08</t>
        </is>
      </c>
      <c r="AL5" t="inlineStr" s="4">
        <is>
          <t xml:space="preserve">2029-09</t>
        </is>
      </c>
      <c r="AM5" t="inlineStr" s="4">
        <is>
          <t xml:space="preserve">Value</t>
        </is>
      </c>
    </row>
    <row r="6">
      <c r="A6" t="inlineStr" s="25">
        <is>
          <t xml:space="preserve">Accounts receivable</t>
        </is>
      </c>
      <c r="B6" s="23">
        <v>0</v>
      </c>
      <c r="C6" s="23">
        <f>'Model inputs'!B6+'Model inputs'!C85-'Model inputs'!C91</f>
        <v>0</v>
      </c>
      <c r="D6" s="23">
        <f>'Model inputs'!C6+'Model inputs'!D85-'Model inputs'!D91</f>
        <v>0</v>
      </c>
      <c r="E6" s="23">
        <f>'Model inputs'!D6+'Model inputs'!E85-'Model inputs'!E91</f>
        <v>0</v>
      </c>
      <c r="F6" s="23">
        <f>'Model inputs'!E6+'Model inputs'!F85-'Model inputs'!F91</f>
        <v>0</v>
      </c>
      <c r="G6" s="23">
        <f>'Model inputs'!F6+'Model inputs'!G85-'Model inputs'!G91</f>
        <v>0</v>
      </c>
      <c r="H6" s="23">
        <f>'Model inputs'!G6+'Model inputs'!H85-'Model inputs'!H91</f>
        <v>0</v>
      </c>
      <c r="I6" s="23">
        <f>'Model inputs'!H6+'Model inputs'!I85-'Model inputs'!I91</f>
        <v>0</v>
      </c>
      <c r="J6" s="23">
        <f>'Model inputs'!I6+'Model inputs'!J85-'Model inputs'!J91</f>
        <v>0</v>
      </c>
      <c r="K6" s="23">
        <f>'Model inputs'!J6+'Model inputs'!K85-'Model inputs'!K91</f>
        <v>0</v>
      </c>
      <c r="L6" s="23">
        <f>'Model inputs'!K6+'Model inputs'!L85-'Model inputs'!L91</f>
        <v>0</v>
      </c>
      <c r="M6" s="23">
        <f>'Model inputs'!L6+'Model inputs'!M85-'Model inputs'!M91</f>
        <v>0</v>
      </c>
      <c r="N6" s="23">
        <f>'Model inputs'!M6+'Model inputs'!N85-'Model inputs'!N91</f>
        <v>0</v>
      </c>
      <c r="O6" s="23">
        <f>'Model inputs'!N6+'Model inputs'!O85-'Model inputs'!O91</f>
        <v>0</v>
      </c>
      <c r="P6" s="23">
        <f>'Model inputs'!O6+'Model inputs'!P85-'Model inputs'!P91</f>
        <v>0</v>
      </c>
      <c r="Q6" s="23">
        <f>'Model inputs'!P6+'Model inputs'!Q85-'Model inputs'!Q91</f>
        <v>0</v>
      </c>
      <c r="R6" s="23">
        <f>'Model inputs'!Q6+'Model inputs'!R85-'Model inputs'!R91</f>
        <v>0</v>
      </c>
      <c r="S6" s="23">
        <f>'Model inputs'!R6+'Model inputs'!S85-'Model inputs'!S91</f>
        <v>0</v>
      </c>
      <c r="T6" s="23">
        <f>'Model inputs'!S6+'Model inputs'!T85-'Model inputs'!T91</f>
        <v>0</v>
      </c>
      <c r="U6" s="23">
        <f>'Model inputs'!T6+'Model inputs'!U85-'Model inputs'!U91</f>
        <v>0</v>
      </c>
      <c r="V6" s="23">
        <f>'Model inputs'!U6+'Model inputs'!V85-'Model inputs'!V91</f>
        <v>0</v>
      </c>
      <c r="W6" s="23">
        <f>'Model inputs'!V6+'Model inputs'!W85-'Model inputs'!W91</f>
        <v>0</v>
      </c>
      <c r="X6" s="23">
        <f>'Model inputs'!W6+'Model inputs'!X85-'Model inputs'!X91</f>
        <v>0</v>
      </c>
      <c r="Y6" s="23">
        <f>'Model inputs'!X6+'Model inputs'!Y85-'Model inputs'!Y91</f>
        <v>0</v>
      </c>
      <c r="Z6" s="23">
        <f>'Model inputs'!Y6+'Model inputs'!Z85-'Model inputs'!Z91</f>
        <v>0</v>
      </c>
      <c r="AA6" s="23">
        <f>'Model inputs'!Z6+'Model inputs'!AA85-'Model inputs'!AA91</f>
        <v>0</v>
      </c>
      <c r="AB6" s="23">
        <f>'Model inputs'!AA6+'Model inputs'!AB85-'Model inputs'!AB91</f>
        <v>0</v>
      </c>
      <c r="AC6" s="23">
        <f>'Model inputs'!AB6+'Model inputs'!AC85-'Model inputs'!AC91</f>
        <v>0</v>
      </c>
      <c r="AD6" s="23">
        <f>'Model inputs'!AC6+'Model inputs'!AD85-'Model inputs'!AD91</f>
        <v>0</v>
      </c>
      <c r="AE6" s="23">
        <f>'Model inputs'!AD6+'Model inputs'!AE85-'Model inputs'!AE91</f>
        <v>0</v>
      </c>
      <c r="AF6" s="23">
        <f>'Model inputs'!AE6+'Model inputs'!AF85-'Model inputs'!AF91</f>
        <v>0</v>
      </c>
      <c r="AG6" s="23">
        <f>'Model inputs'!AF6+'Model inputs'!AG85-'Model inputs'!AG91</f>
        <v>0</v>
      </c>
      <c r="AH6" s="23">
        <f>'Model inputs'!AG6+'Model inputs'!AH85-'Model inputs'!AH91</f>
        <v>0</v>
      </c>
      <c r="AI6" s="23">
        <f>'Model inputs'!AH6+'Model inputs'!AI85-'Model inputs'!AI91</f>
        <v>0</v>
      </c>
      <c r="AJ6" s="23">
        <f>'Model inputs'!AI6+'Model inputs'!AJ85-'Model inputs'!AJ91</f>
        <v>0</v>
      </c>
      <c r="AK6" s="23">
        <f>'Model inputs'!AJ6+'Model inputs'!AK85-'Model inputs'!AK91</f>
        <v>0</v>
      </c>
      <c r="AL6" s="23">
        <f>'Model inputs'!AK6+'Model inputs'!AL85-'Model inputs'!AL91</f>
        <v>0</v>
      </c>
    </row>
    <row r="7">
      <c r="A7" t="inlineStr" s="25">
        <is>
          <t xml:space="preserve">Active protocols</t>
        </is>
      </c>
      <c r="B7" s="23">
        <v>0</v>
      </c>
      <c r="C7" s="23">
        <f>IF(AND('Model inputs'!AM106="",'Model inputs'!B2163=""),"",MIN('Model inputs'!AM106,'Model inputs'!B2163))</f>
        <v>1</v>
      </c>
      <c r="D7" s="23">
        <f>IF(AND('Model inputs'!AM106="",'Model inputs'!B2164=""),"",MIN('Model inputs'!AM106,'Model inputs'!B2164))</f>
        <v>2</v>
      </c>
      <c r="E7" s="23">
        <f>IF(AND('Model inputs'!AM106="",'Model inputs'!B2165=""),"",MIN('Model inputs'!AM106,'Model inputs'!B2165))</f>
        <v>3</v>
      </c>
      <c r="F7" s="23">
        <f>IF(AND('Model inputs'!AM106="",'Model inputs'!B2166=""),"",MIN('Model inputs'!AM106,'Model inputs'!B2166))</f>
        <v>4</v>
      </c>
      <c r="G7" s="23">
        <f>IF(AND('Model inputs'!AM106="",'Model inputs'!B2167=""),"",MIN('Model inputs'!AM106,'Model inputs'!B2167))</f>
        <v>5</v>
      </c>
      <c r="H7" s="23">
        <f>IF(AND('Model inputs'!AM106="",'Model inputs'!B2168=""),"",MIN('Model inputs'!AM106,'Model inputs'!B2168))</f>
        <v>6</v>
      </c>
      <c r="I7" s="23">
        <f>IF(AND('Model inputs'!AM106="",'Model inputs'!B2169=""),"",MIN('Model inputs'!AM106,'Model inputs'!B2169))</f>
        <v>8.666666666666666</v>
      </c>
      <c r="J7" s="23">
        <f>IF(AND('Model inputs'!AM106="",'Model inputs'!B2170=""),"",MIN('Model inputs'!AM106,'Model inputs'!B2170))</f>
        <v>11.333333333333332</v>
      </c>
      <c r="K7" s="23">
        <f>IF(AND('Model inputs'!AM106="",'Model inputs'!B2171=""),"",MIN('Model inputs'!AM106,'Model inputs'!B2171))</f>
        <v>14</v>
      </c>
      <c r="L7" s="23">
        <f>IF(AND('Model inputs'!AM106="",'Model inputs'!B2172=""),"",MIN('Model inputs'!AM106,'Model inputs'!B2172))</f>
        <v>16.666666666666664</v>
      </c>
      <c r="M7" s="23">
        <f>IF(AND('Model inputs'!AM106="",'Model inputs'!B2173=""),"",MIN('Model inputs'!AM106,'Model inputs'!B2173))</f>
        <v>19.333333333333332</v>
      </c>
      <c r="N7" s="23">
        <f>IF(AND('Model inputs'!AM106="",'Model inputs'!B2174=""),"",MIN('Model inputs'!AM106,'Model inputs'!B2174))</f>
        <v>22</v>
      </c>
      <c r="O7" s="23">
        <f>IF(AND('Model inputs'!AM106="",'Model inputs'!B2175=""),"",MIN('Model inputs'!AM106,'Model inputs'!B2175))</f>
        <v>28.333333333333332</v>
      </c>
      <c r="P7" s="23">
        <f>IF(AND('Model inputs'!AM106="",'Model inputs'!B2176=""),"",MIN('Model inputs'!AM106,'Model inputs'!B2176))</f>
        <v>34.666666666666664</v>
      </c>
      <c r="Q7" s="23">
        <f>IF(AND('Model inputs'!AM106="",'Model inputs'!B2177=""),"",MIN('Model inputs'!AM106,'Model inputs'!B2177))</f>
        <v>41</v>
      </c>
      <c r="R7" s="23">
        <f>IF(AND('Model inputs'!AM106="",'Model inputs'!B2178=""),"",MIN('Model inputs'!AM106,'Model inputs'!B2178))</f>
        <v>47.33333333333333</v>
      </c>
      <c r="S7" s="23">
        <f>IF(AND('Model inputs'!AM106="",'Model inputs'!B2179=""),"",MIN('Model inputs'!AM106,'Model inputs'!B2179))</f>
        <v>53.666666666666664</v>
      </c>
      <c r="T7" s="23">
        <f>IF(AND('Model inputs'!AM106="",'Model inputs'!B2180=""),"",MIN('Model inputs'!AM106,'Model inputs'!B2180))</f>
        <v>60</v>
      </c>
      <c r="U7" s="23">
        <f>IF(AND('Model inputs'!AM106="",'Model inputs'!B2181=""),"",MIN('Model inputs'!AM106,'Model inputs'!B2181))</f>
        <v>66.66666666666667</v>
      </c>
      <c r="V7" s="23">
        <f>IF(AND('Model inputs'!AM106="",'Model inputs'!B2182=""),"",MIN('Model inputs'!AM106,'Model inputs'!B2182))</f>
        <v>73.33333333333333</v>
      </c>
      <c r="W7" s="23">
        <f>IF(AND('Model inputs'!AM106="",'Model inputs'!B2183=""),"",MIN('Model inputs'!AM106,'Model inputs'!B2183))</f>
        <v>80</v>
      </c>
      <c r="X7" s="23">
        <f>IF(AND('Model inputs'!AM106="",'Model inputs'!B2184=""),"",MIN('Model inputs'!AM106,'Model inputs'!B2184))</f>
        <v>86.66666666666666</v>
      </c>
      <c r="Y7" s="23">
        <f>IF(AND('Model inputs'!AM106="",'Model inputs'!B2185=""),"",MIN('Model inputs'!AM106,'Model inputs'!B2185))</f>
        <v>93.33333333333333</v>
      </c>
      <c r="Z7" s="23">
        <f>IF(AND('Model inputs'!AM106="",'Model inputs'!B2186=""),"",MIN('Model inputs'!AM106,'Model inputs'!B2186))</f>
        <v>100</v>
      </c>
      <c r="AA7" s="23">
        <f>IF(AND('Model inputs'!AM106="",'Model inputs'!B2187=""),"",MIN('Model inputs'!AM106,'Model inputs'!B2187))</f>
        <v>105.83333333333333</v>
      </c>
      <c r="AB7" s="23">
        <f>IF(AND('Model inputs'!AM106="",'Model inputs'!B2188=""),"",MIN('Model inputs'!AM106,'Model inputs'!B2188))</f>
        <v>111.66666666666667</v>
      </c>
      <c r="AC7" s="23">
        <f>IF(AND('Model inputs'!AM106="",'Model inputs'!B2189=""),"",MIN('Model inputs'!AM106,'Model inputs'!B2189))</f>
        <v>117.5</v>
      </c>
      <c r="AD7" s="23">
        <f>IF(AND('Model inputs'!AM106="",'Model inputs'!B2190=""),"",MIN('Model inputs'!AM106,'Model inputs'!B2190))</f>
        <v>123.33333333333333</v>
      </c>
      <c r="AE7" s="23">
        <f>IF(AND('Model inputs'!AM106="",'Model inputs'!B2191=""),"",MIN('Model inputs'!AM106,'Model inputs'!B2191))</f>
        <v>129.16666666666666</v>
      </c>
      <c r="AF7" s="23">
        <f>IF(AND('Model inputs'!AM106="",'Model inputs'!B2192=""),"",MIN('Model inputs'!AM106,'Model inputs'!B2192))</f>
        <v>135</v>
      </c>
      <c r="AG7" s="23">
        <f>IF(AND('Model inputs'!AM106="",'Model inputs'!B2193=""),"",MIN('Model inputs'!AM106,'Model inputs'!B2193))</f>
        <v>139.16666666666666</v>
      </c>
      <c r="AH7" s="23">
        <f>IF(AND('Model inputs'!AM106="",'Model inputs'!B2194=""),"",MIN('Model inputs'!AM106,'Model inputs'!B2194))</f>
        <v>143.33333333333334</v>
      </c>
      <c r="AI7" s="23">
        <f>IF(AND('Model inputs'!AM106="",'Model inputs'!B2195=""),"",MIN('Model inputs'!AM106,'Model inputs'!B2195))</f>
        <v>147.5</v>
      </c>
      <c r="AJ7" s="23">
        <f>IF(AND('Model inputs'!AM106="",'Model inputs'!B2196=""),"",MIN('Model inputs'!AM106,'Model inputs'!B2196))</f>
        <v>151.66666666666666</v>
      </c>
      <c r="AK7" s="23">
        <f>IF(AND('Model inputs'!AM106="",'Model inputs'!B2197=""),"",MIN('Model inputs'!AM106,'Model inputs'!B2197))</f>
        <v>155.83333333333334</v>
      </c>
      <c r="AL7" s="23">
        <f>IF(AND('Model inputs'!AM106="",'Model inputs'!B2198=""),"",MIN('Model inputs'!AM106,'Model inputs'!B2198))</f>
        <v>160</v>
      </c>
    </row>
    <row r="8">
      <c r="A8" t="inlineStr" s="25">
        <is>
          <t xml:space="preserve">Archive RPC cost per incident · POA — Monthly financial forecast</t>
        </is>
      </c>
      <c r="AM8" s="23">
        <f>0.003</f>
        <v>0.003</v>
      </c>
    </row>
    <row r="9">
      <c r="A9" t="inlineStr" s="25">
        <is>
          <t xml:space="preserve">Baseline contingency calibration rate · POA — Monthly financial forecast</t>
        </is>
      </c>
      <c r="AM9" s="23">
        <f>0.05</f>
        <v>0.05</v>
      </c>
    </row>
    <row r="10">
      <c r="A10" t="inlineStr" s="25">
        <is>
          <t xml:space="preserve">CAC multiplier · POA — Monthly financial forecast</t>
        </is>
      </c>
      <c r="AM10" s="23">
        <f>1</f>
        <v>1</v>
      </c>
    </row>
    <row r="11">
      <c r="A11" t="inlineStr" s="25">
        <is>
          <t xml:space="preserve">CAC per acquired protocol · POA — Monthly financial forecast</t>
        </is>
      </c>
      <c r="AM11" s="23">
        <f>9200</f>
        <v>9200</v>
      </c>
    </row>
    <row r="12">
      <c r="A12" t="inlineStr" s="25">
        <is>
          <t xml:space="preserve">Cash tax rate assumption · POA — Monthly financial forecast</t>
        </is>
      </c>
      <c r="AM12" s="23">
        <f>0</f>
        <v>0</v>
      </c>
    </row>
    <row r="13">
      <c r="A13" t="inlineStr" s="25">
        <is>
          <t xml:space="preserve">Collection lag months · POA — Monthly financial forecast</t>
        </is>
      </c>
      <c r="AM13" s="23">
        <f>0</f>
        <v>0</v>
      </c>
    </row>
    <row r="14">
      <c r="A14" t="inlineStr" s="25">
        <is>
          <t xml:space="preserve">Contingency fee rate · POA — Monthly financial forecast</t>
        </is>
      </c>
      <c r="AM14" s="23">
        <f>0.05</f>
        <v>0.05</v>
      </c>
    </row>
    <row r="15">
      <c r="A15" t="inlineStr" s="25">
        <is>
          <t xml:space="preserve">Contingency fee revenue · by  · POA — Three year summary</t>
        </is>
      </c>
      <c r="B15" s="23">
        <f>SUM('Model inputs'!B17,'Model inputs'!B18,'Model inputs'!B19)</f>
        <v>0</v>
      </c>
      <c r="C15" s="23">
        <f>SUM('Model inputs'!C17,'Model inputs'!C18,'Model inputs'!C19)</f>
        <v>20.833333333333332</v>
      </c>
      <c r="D15" s="23">
        <f>SUM('Model inputs'!D17,'Model inputs'!D18,'Model inputs'!D19)</f>
        <v>83.33333333333333</v>
      </c>
      <c r="E15" s="23">
        <f>SUM('Model inputs'!E17,'Model inputs'!E18,'Model inputs'!E19)</f>
        <v>187.5</v>
      </c>
      <c r="F15" s="23">
        <f>SUM('Model inputs'!F17,'Model inputs'!F18,'Model inputs'!F19)</f>
        <v>333.3333333333333</v>
      </c>
      <c r="G15" s="23">
        <f>SUM('Model inputs'!G17,'Model inputs'!G18,'Model inputs'!G19)</f>
        <v>520.8333333333333</v>
      </c>
      <c r="H15" s="23">
        <f>SUM('Model inputs'!H17,'Model inputs'!H18,'Model inputs'!H19)</f>
        <v>750</v>
      </c>
      <c r="I15" s="23">
        <f>SUM('Model inputs'!I17,'Model inputs'!I18,'Model inputs'!I19)</f>
        <v>1975.1683501683492</v>
      </c>
      <c r="J15" s="23">
        <f>SUM('Model inputs'!J17,'Model inputs'!J18,'Model inputs'!J19)</f>
        <v>3749.158249158247</v>
      </c>
      <c r="K15" s="23">
        <f>SUM('Model inputs'!K17,'Model inputs'!K18,'Model inputs'!K19)</f>
        <v>6071.969696969694</v>
      </c>
      <c r="L15" s="23">
        <f>SUM('Model inputs'!L17,'Model inputs'!L18,'Model inputs'!L19)</f>
        <v>8943.602693602686</v>
      </c>
      <c r="M15" s="23">
        <f>SUM('Model inputs'!M17,'Model inputs'!M18,'Model inputs'!M19)</f>
        <v>12364.05723905723</v>
      </c>
      <c r="N15" s="23">
        <f>SUM('Model inputs'!N17,'Model inputs'!N18,'Model inputs'!N19)</f>
        <v>16333.333333333325</v>
      </c>
      <c r="O15" s="23">
        <f>SUM('Model inputs'!O17,'Model inputs'!O18,'Model inputs'!O19)</f>
        <v>23432.23905723905</v>
      </c>
      <c r="P15" s="23">
        <f>SUM('Model inputs'!P17,'Model inputs'!P18,'Model inputs'!P19)</f>
        <v>31602.693602693587</v>
      </c>
      <c r="Q15" s="23">
        <f>SUM('Model inputs'!Q17,'Model inputs'!Q18,'Model inputs'!Q19)</f>
        <v>40844.69696969696</v>
      </c>
      <c r="R15" s="23">
        <f>SUM('Model inputs'!R17,'Model inputs'!R18,'Model inputs'!R19)</f>
        <v>51158.24915824914</v>
      </c>
      <c r="S15" s="23">
        <f>SUM('Model inputs'!S17,'Model inputs'!S18,'Model inputs'!S19)</f>
        <v>62543.35016835015</v>
      </c>
      <c r="T15" s="23">
        <f>SUM('Model inputs'!T17,'Model inputs'!T18,'Model inputs'!T19)</f>
        <v>75000</v>
      </c>
      <c r="U15" s="23">
        <f>SUM('Model inputs'!U17,'Model inputs'!U18,'Model inputs'!U19)</f>
        <v>86111.11111111112</v>
      </c>
      <c r="V15" s="23">
        <f>SUM('Model inputs'!V17,'Model inputs'!V18,'Model inputs'!V19)</f>
        <v>97777.77777777777</v>
      </c>
      <c r="W15" s="23">
        <f>SUM('Model inputs'!W17,'Model inputs'!W18,'Model inputs'!W19)</f>
        <v>110000</v>
      </c>
      <c r="X15" s="23">
        <f>SUM('Model inputs'!X17,'Model inputs'!X18,'Model inputs'!X19)</f>
        <v>122777.77777777777</v>
      </c>
      <c r="Y15" s="23">
        <f>SUM('Model inputs'!Y17,'Model inputs'!Y18,'Model inputs'!Y19)</f>
        <v>136111.1111111111</v>
      </c>
      <c r="Z15" s="23">
        <f>SUM('Model inputs'!Z17,'Model inputs'!Z18,'Model inputs'!Z19)</f>
        <v>150000</v>
      </c>
      <c r="AA15" s="23">
        <f>SUM('Model inputs'!AA17,'Model inputs'!AA18,'Model inputs'!AA19)</f>
        <v>163159.72222222222</v>
      </c>
      <c r="AB15" s="23">
        <f>SUM('Model inputs'!AB17,'Model inputs'!AB18,'Model inputs'!AB19)</f>
        <v>176805.55555555556</v>
      </c>
      <c r="AC15" s="23">
        <f>SUM('Model inputs'!AC17,'Model inputs'!AC18,'Model inputs'!AC19)</f>
        <v>190937.5</v>
      </c>
      <c r="AD15" s="23">
        <f>SUM('Model inputs'!AD17,'Model inputs'!AD18,'Model inputs'!AD19)</f>
        <v>205555.55555555562</v>
      </c>
      <c r="AE15" s="23">
        <f>SUM('Model inputs'!AE17,'Model inputs'!AE18,'Model inputs'!AE19)</f>
        <v>220659.7222222222</v>
      </c>
      <c r="AF15" s="23">
        <f>SUM('Model inputs'!AF17,'Model inputs'!AF18,'Model inputs'!AF19)</f>
        <v>236250</v>
      </c>
      <c r="AG15" s="23">
        <f>SUM('Model inputs'!AG17,'Model inputs'!AG18,'Model inputs'!AG19)</f>
        <v>249340.27777777778</v>
      </c>
      <c r="AH15" s="23">
        <f>SUM('Model inputs'!AH17,'Model inputs'!AH18,'Model inputs'!AH19)</f>
        <v>262777.77777777775</v>
      </c>
      <c r="AI15" s="23">
        <f>SUM('Model inputs'!AI17,'Model inputs'!AI18,'Model inputs'!AI19)</f>
        <v>276562.5</v>
      </c>
      <c r="AJ15" s="23">
        <f>SUM('Model inputs'!AJ17,'Model inputs'!AJ18,'Model inputs'!AJ19)</f>
        <v>290694.44444444444</v>
      </c>
      <c r="AK15" s="23">
        <f>SUM('Model inputs'!AK17,'Model inputs'!AK18,'Model inputs'!AK19)</f>
        <v>305173.6111111111</v>
      </c>
      <c r="AL15" s="23">
        <f>SUM('Model inputs'!AL17,'Model inputs'!AL18,'Model inputs'!AL19)</f>
        <v>320000</v>
      </c>
    </row>
    <row r="16">
      <c r="A16" t="inlineStr" s="25">
        <is>
          <t xml:space="preserve">Contingency fee revenue</t>
        </is>
      </c>
      <c r="B16" s="22">
        <f>IF('Model inputs'!B15="","",'Model inputs'!B15)</f>
        <v>0</v>
      </c>
      <c r="C16" s="22">
        <f>IF('Model inputs'!C15="","",'Model inputs'!C15)</f>
        <v>20.833333333333332</v>
      </c>
      <c r="D16" s="22">
        <f>IF('Model inputs'!D15="","",'Model inputs'!D15)</f>
        <v>83.33333333333333</v>
      </c>
      <c r="E16" s="22">
        <f>IF('Model inputs'!E15="","",'Model inputs'!E15)</f>
        <v>187.5</v>
      </c>
      <c r="F16" s="22">
        <f>IF('Model inputs'!F15="","",'Model inputs'!F15)</f>
        <v>333.3333333333333</v>
      </c>
      <c r="G16" s="22">
        <f>IF('Model inputs'!G15="","",'Model inputs'!G15)</f>
        <v>520.8333333333333</v>
      </c>
      <c r="H16" s="22">
        <f>IF('Model inputs'!H15="","",'Model inputs'!H15)</f>
        <v>750</v>
      </c>
      <c r="I16" s="22">
        <f>IF('Model inputs'!I15="","",'Model inputs'!I15)</f>
        <v>1975.1683501683492</v>
      </c>
      <c r="J16" s="22">
        <f>IF('Model inputs'!J15="","",'Model inputs'!J15)</f>
        <v>3749.158249158247</v>
      </c>
      <c r="K16" s="22">
        <f>IF('Model inputs'!K15="","",'Model inputs'!K15)</f>
        <v>6071.969696969694</v>
      </c>
      <c r="L16" s="22">
        <f>IF('Model inputs'!L15="","",'Model inputs'!L15)</f>
        <v>8943.602693602686</v>
      </c>
      <c r="M16" s="22">
        <f>IF('Model inputs'!M15="","",'Model inputs'!M15)</f>
        <v>12364.05723905723</v>
      </c>
      <c r="N16" s="22">
        <f>IF('Model inputs'!N15="","",'Model inputs'!N15)</f>
        <v>16333.333333333325</v>
      </c>
      <c r="O16" s="22">
        <f>IF('Model inputs'!O15="","",'Model inputs'!O15)</f>
        <v>23432.23905723905</v>
      </c>
      <c r="P16" s="22">
        <f>IF('Model inputs'!P15="","",'Model inputs'!P15)</f>
        <v>31602.693602693587</v>
      </c>
      <c r="Q16" s="22">
        <f>IF('Model inputs'!Q15="","",'Model inputs'!Q15)</f>
        <v>40844.69696969696</v>
      </c>
      <c r="R16" s="22">
        <f>IF('Model inputs'!R15="","",'Model inputs'!R15)</f>
        <v>51158.24915824914</v>
      </c>
      <c r="S16" s="22">
        <f>IF('Model inputs'!S15="","",'Model inputs'!S15)</f>
        <v>62543.35016835015</v>
      </c>
      <c r="T16" s="22">
        <f>IF('Model inputs'!T15="","",'Model inputs'!T15)</f>
        <v>75000</v>
      </c>
      <c r="U16" s="22">
        <f>IF('Model inputs'!U15="","",'Model inputs'!U15)</f>
        <v>86111.11111111112</v>
      </c>
      <c r="V16" s="22">
        <f>IF('Model inputs'!V15="","",'Model inputs'!V15)</f>
        <v>97777.77777777777</v>
      </c>
      <c r="W16" s="22">
        <f>IF('Model inputs'!W15="","",'Model inputs'!W15)</f>
        <v>110000</v>
      </c>
      <c r="X16" s="22">
        <f>IF('Model inputs'!X15="","",'Model inputs'!X15)</f>
        <v>122777.77777777777</v>
      </c>
      <c r="Y16" s="22">
        <f>IF('Model inputs'!Y15="","",'Model inputs'!Y15)</f>
        <v>136111.1111111111</v>
      </c>
      <c r="Z16" s="22">
        <f>IF('Model inputs'!Z15="","",'Model inputs'!Z15)</f>
        <v>150000</v>
      </c>
      <c r="AA16" s="22">
        <f>IF('Model inputs'!AA15="","",'Model inputs'!AA15)</f>
        <v>163159.72222222222</v>
      </c>
      <c r="AB16" s="22">
        <f>IF('Model inputs'!AB15="","",'Model inputs'!AB15)</f>
        <v>176805.55555555556</v>
      </c>
      <c r="AC16" s="22">
        <f>IF('Model inputs'!AC15="","",'Model inputs'!AC15)</f>
        <v>190937.5</v>
      </c>
      <c r="AD16" s="22">
        <f>IF('Model inputs'!AD15="","",'Model inputs'!AD15)</f>
        <v>205555.55555555562</v>
      </c>
      <c r="AE16" s="22">
        <f>IF('Model inputs'!AE15="","",'Model inputs'!AE15)</f>
        <v>220659.7222222222</v>
      </c>
      <c r="AF16" s="22">
        <f>IF('Model inputs'!AF15="","",'Model inputs'!AF15)</f>
        <v>236250</v>
      </c>
      <c r="AG16" s="22">
        <f>IF('Model inputs'!AG15="","",'Model inputs'!AG15)</f>
        <v>249340.27777777778</v>
      </c>
      <c r="AH16" s="22">
        <f>IF('Model inputs'!AH15="","",'Model inputs'!AH15)</f>
        <v>262777.77777777775</v>
      </c>
      <c r="AI16" s="22">
        <f>IF('Model inputs'!AI15="","",'Model inputs'!AI15)</f>
        <v>276562.5</v>
      </c>
      <c r="AJ16" s="22">
        <f>IF('Model inputs'!AJ15="","",'Model inputs'!AJ15)</f>
        <v>290694.44444444444</v>
      </c>
      <c r="AK16" s="22">
        <f>IF('Model inputs'!AK15="","",'Model inputs'!AK15)</f>
        <v>305173.6111111111</v>
      </c>
      <c r="AL16" s="22">
        <f>IF('Model inputs'!AL15="","",'Model inputs'!AL15)</f>
        <v>320000</v>
      </c>
    </row>
    <row r="17" outlineLevel="1">
      <c r="A17" t="inlineStr" s="26">
        <is>
          <t xml:space="preserve">Contingency fee revenue &gt; DEX</t>
        </is>
      </c>
      <c r="B17" s="23">
        <f>0</f>
        <v>0</v>
      </c>
      <c r="C17" s="23">
        <f>'Model inputs'!C88*'Model inputs'!C92</f>
        <v>6.249999999999999</v>
      </c>
      <c r="D17" s="23">
        <f>'Model inputs'!D88*'Model inputs'!D92</f>
        <v>24.999999999999996</v>
      </c>
      <c r="E17" s="23">
        <f>'Model inputs'!E88*'Model inputs'!E92</f>
        <v>56.24999999999999</v>
      </c>
      <c r="F17" s="23">
        <f>'Model inputs'!F88*'Model inputs'!F92</f>
        <v>99.99999999999999</v>
      </c>
      <c r="G17" s="23">
        <f>'Model inputs'!G88*'Model inputs'!G92</f>
        <v>156.25</v>
      </c>
      <c r="H17" s="23">
        <f>'Model inputs'!H88*'Model inputs'!H92</f>
        <v>224.99999999999997</v>
      </c>
      <c r="I17" s="23">
        <f>'Model inputs'!I88*'Model inputs'!I92</f>
        <v>592.5505050505047</v>
      </c>
      <c r="J17" s="23">
        <f>'Model inputs'!J88*'Model inputs'!J92</f>
        <v>1124.7474747474741</v>
      </c>
      <c r="K17" s="23">
        <f>'Model inputs'!K88*'Model inputs'!K92</f>
        <v>1821.5909090909083</v>
      </c>
      <c r="L17" s="23">
        <f>'Model inputs'!L88*'Model inputs'!L92</f>
        <v>2683.080808080806</v>
      </c>
      <c r="M17" s="23">
        <f>'Model inputs'!M88*'Model inputs'!M92</f>
        <v>3709.217171717169</v>
      </c>
      <c r="N17" s="23">
        <f>'Model inputs'!N88*'Model inputs'!N92</f>
        <v>4899.999999999997</v>
      </c>
      <c r="O17" s="23">
        <f>'Model inputs'!O88*'Model inputs'!O92</f>
        <v>7029.6717171717155</v>
      </c>
      <c r="P17" s="23">
        <f>'Model inputs'!P88*'Model inputs'!P92</f>
        <v>9480.808080808076</v>
      </c>
      <c r="Q17" s="23">
        <f>'Model inputs'!Q88*'Model inputs'!Q92</f>
        <v>12253.409090909088</v>
      </c>
      <c r="R17" s="23">
        <f>'Model inputs'!R88*'Model inputs'!R92</f>
        <v>15347.474747474742</v>
      </c>
      <c r="S17" s="23">
        <f>'Model inputs'!S88*'Model inputs'!S92</f>
        <v>18763.005050505046</v>
      </c>
      <c r="T17" s="23">
        <f>'Model inputs'!T88*'Model inputs'!T92</f>
        <v>22500</v>
      </c>
      <c r="U17" s="23">
        <f>'Model inputs'!U88*'Model inputs'!U92</f>
        <v>25833.333333333336</v>
      </c>
      <c r="V17" s="23">
        <f>'Model inputs'!V88*'Model inputs'!V92</f>
        <v>29333.33333333333</v>
      </c>
      <c r="W17" s="23">
        <f>'Model inputs'!W88*'Model inputs'!W92</f>
        <v>33000</v>
      </c>
      <c r="X17" s="23">
        <f>'Model inputs'!X88*'Model inputs'!X92</f>
        <v>36833.33333333333</v>
      </c>
      <c r="Y17" s="23">
        <f>'Model inputs'!Y88*'Model inputs'!Y92</f>
        <v>40833.33333333333</v>
      </c>
      <c r="Z17" s="23">
        <f>'Model inputs'!Z88*'Model inputs'!Z92</f>
        <v>45000</v>
      </c>
      <c r="AA17" s="23">
        <f>'Model inputs'!AA88*'Model inputs'!AA92</f>
        <v>48947.916666666664</v>
      </c>
      <c r="AB17" s="23">
        <f>'Model inputs'!AB88*'Model inputs'!AB92</f>
        <v>53041.666666666664</v>
      </c>
      <c r="AC17" s="23">
        <f>'Model inputs'!AC88*'Model inputs'!AC92</f>
        <v>57281.25</v>
      </c>
      <c r="AD17" s="23">
        <f>'Model inputs'!AD88*'Model inputs'!AD92</f>
        <v>61666.66666666668</v>
      </c>
      <c r="AE17" s="23">
        <f>'Model inputs'!AE88*'Model inputs'!AE92</f>
        <v>66197.91666666666</v>
      </c>
      <c r="AF17" s="23">
        <f>'Model inputs'!AF88*'Model inputs'!AF92</f>
        <v>70875</v>
      </c>
      <c r="AG17" s="23">
        <f>'Model inputs'!AG88*'Model inputs'!AG92</f>
        <v>74802.08333333333</v>
      </c>
      <c r="AH17" s="23">
        <f>'Model inputs'!AH88*'Model inputs'!AH92</f>
        <v>78833.33333333333</v>
      </c>
      <c r="AI17" s="23">
        <f>'Model inputs'!AI88*'Model inputs'!AI92</f>
        <v>82968.75</v>
      </c>
      <c r="AJ17" s="23">
        <f>'Model inputs'!AJ88*'Model inputs'!AJ92</f>
        <v>87208.33333333333</v>
      </c>
      <c r="AK17" s="23">
        <f>'Model inputs'!AK88*'Model inputs'!AK92</f>
        <v>91552.08333333333</v>
      </c>
      <c r="AL17" s="23">
        <f>'Model inputs'!AL88*'Model inputs'!AL92</f>
        <v>96000</v>
      </c>
    </row>
    <row r="18" outlineLevel="1">
      <c r="A18" t="inlineStr" s="26">
        <is>
          <t xml:space="preserve">Contingency fee revenue &gt; Lending</t>
        </is>
      </c>
      <c r="B18" s="23">
        <f>0</f>
        <v>0</v>
      </c>
      <c r="C18" s="23">
        <f>'Model inputs'!C89*'Model inputs'!C92</f>
        <v>8.333333333333334</v>
      </c>
      <c r="D18" s="23">
        <f>'Model inputs'!D89*'Model inputs'!D92</f>
        <v>33.333333333333336</v>
      </c>
      <c r="E18" s="23">
        <f>'Model inputs'!E89*'Model inputs'!E92</f>
        <v>75.00000000000001</v>
      </c>
      <c r="F18" s="23">
        <f>'Model inputs'!F89*'Model inputs'!F92</f>
        <v>133.33333333333334</v>
      </c>
      <c r="G18" s="23">
        <f>'Model inputs'!G89*'Model inputs'!G92</f>
        <v>208.33333333333331</v>
      </c>
      <c r="H18" s="23">
        <f>'Model inputs'!H89*'Model inputs'!H92</f>
        <v>300.00000000000006</v>
      </c>
      <c r="I18" s="23">
        <f>'Model inputs'!I89*'Model inputs'!I92</f>
        <v>790.0673400673398</v>
      </c>
      <c r="J18" s="23">
        <f>'Model inputs'!J89*'Model inputs'!J92</f>
        <v>1499.6632996632989</v>
      </c>
      <c r="K18" s="23">
        <f>'Model inputs'!K89*'Model inputs'!K92</f>
        <v>2428.787878787878</v>
      </c>
      <c r="L18" s="23">
        <f>'Model inputs'!L89*'Model inputs'!L92</f>
        <v>3577.4410774410753</v>
      </c>
      <c r="M18" s="23">
        <f>'Model inputs'!M89*'Model inputs'!M92</f>
        <v>4945.622895622892</v>
      </c>
      <c r="N18" s="23">
        <f>'Model inputs'!N89*'Model inputs'!N92</f>
        <v>6533.33333333333</v>
      </c>
      <c r="O18" s="23">
        <f>'Model inputs'!O89*'Model inputs'!O92</f>
        <v>9372.895622895621</v>
      </c>
      <c r="P18" s="23">
        <f>'Model inputs'!P89*'Model inputs'!P92</f>
        <v>12641.077441077437</v>
      </c>
      <c r="Q18" s="23">
        <f>'Model inputs'!Q89*'Model inputs'!Q92</f>
        <v>16337.878787878786</v>
      </c>
      <c r="R18" s="23">
        <f>'Model inputs'!R89*'Model inputs'!R92</f>
        <v>20463.29966329966</v>
      </c>
      <c r="S18" s="23">
        <f>'Model inputs'!S89*'Model inputs'!S92</f>
        <v>25017.340067340065</v>
      </c>
      <c r="T18" s="23">
        <f>'Model inputs'!T89*'Model inputs'!T92</f>
        <v>30000</v>
      </c>
      <c r="U18" s="23">
        <f>'Model inputs'!U89*'Model inputs'!U92</f>
        <v>34444.44444444445</v>
      </c>
      <c r="V18" s="23">
        <f>'Model inputs'!V89*'Model inputs'!V92</f>
        <v>39111.11111111111</v>
      </c>
      <c r="W18" s="23">
        <f>'Model inputs'!W89*'Model inputs'!W92</f>
        <v>44000</v>
      </c>
      <c r="X18" s="23">
        <f>'Model inputs'!X89*'Model inputs'!X92</f>
        <v>49111.11111111111</v>
      </c>
      <c r="Y18" s="23">
        <f>'Model inputs'!Y89*'Model inputs'!Y92</f>
        <v>54444.444444444445</v>
      </c>
      <c r="Z18" s="23">
        <f>'Model inputs'!Z89*'Model inputs'!Z92</f>
        <v>60000</v>
      </c>
      <c r="AA18" s="23">
        <f>'Model inputs'!AA89*'Model inputs'!AA92</f>
        <v>65263.8888888889</v>
      </c>
      <c r="AB18" s="23">
        <f>'Model inputs'!AB89*'Model inputs'!AB92</f>
        <v>70722.22222222223</v>
      </c>
      <c r="AC18" s="23">
        <f>'Model inputs'!AC89*'Model inputs'!AC92</f>
        <v>76375</v>
      </c>
      <c r="AD18" s="23">
        <f>'Model inputs'!AD89*'Model inputs'!AD92</f>
        <v>82222.22222222225</v>
      </c>
      <c r="AE18" s="23">
        <f>'Model inputs'!AE89*'Model inputs'!AE92</f>
        <v>88263.88888888888</v>
      </c>
      <c r="AF18" s="23">
        <f>'Model inputs'!AF89*'Model inputs'!AF92</f>
        <v>94500</v>
      </c>
      <c r="AG18" s="23">
        <f>'Model inputs'!AG89*'Model inputs'!AG92</f>
        <v>99736.11111111112</v>
      </c>
      <c r="AH18" s="23">
        <f>'Model inputs'!AH89*'Model inputs'!AH92</f>
        <v>105111.11111111112</v>
      </c>
      <c r="AI18" s="23">
        <f>'Model inputs'!AI89*'Model inputs'!AI92</f>
        <v>110625</v>
      </c>
      <c r="AJ18" s="23">
        <f>'Model inputs'!AJ89*'Model inputs'!AJ92</f>
        <v>116277.7777777778</v>
      </c>
      <c r="AK18" s="23">
        <f>'Model inputs'!AK89*'Model inputs'!AK92</f>
        <v>122069.44444444445</v>
      </c>
      <c r="AL18" s="23">
        <f>'Model inputs'!AL89*'Model inputs'!AL92</f>
        <v>128000</v>
      </c>
    </row>
    <row r="19" outlineLevel="1">
      <c r="A19" t="inlineStr" s="26">
        <is>
          <t xml:space="preserve">Contingency fee revenue &gt; Liquid staking</t>
        </is>
      </c>
      <c r="B19" s="23">
        <f>0</f>
        <v>0</v>
      </c>
      <c r="C19" s="23">
        <f>'Model inputs'!C90*'Model inputs'!C92</f>
        <v>6.249999999999999</v>
      </c>
      <c r="D19" s="23">
        <f>'Model inputs'!D90*'Model inputs'!D92</f>
        <v>24.999999999999996</v>
      </c>
      <c r="E19" s="23">
        <f>'Model inputs'!E90*'Model inputs'!E92</f>
        <v>56.24999999999999</v>
      </c>
      <c r="F19" s="23">
        <f>'Model inputs'!F90*'Model inputs'!F92</f>
        <v>99.99999999999999</v>
      </c>
      <c r="G19" s="23">
        <f>'Model inputs'!G90*'Model inputs'!G92</f>
        <v>156.25</v>
      </c>
      <c r="H19" s="23">
        <f>'Model inputs'!H90*'Model inputs'!H92</f>
        <v>224.99999999999997</v>
      </c>
      <c r="I19" s="23">
        <f>'Model inputs'!I90*'Model inputs'!I92</f>
        <v>592.5505050505047</v>
      </c>
      <c r="J19" s="23">
        <f>'Model inputs'!J90*'Model inputs'!J92</f>
        <v>1124.7474747474741</v>
      </c>
      <c r="K19" s="23">
        <f>'Model inputs'!K90*'Model inputs'!K92</f>
        <v>1821.5909090909083</v>
      </c>
      <c r="L19" s="23">
        <f>'Model inputs'!L90*'Model inputs'!L92</f>
        <v>2683.080808080806</v>
      </c>
      <c r="M19" s="23">
        <f>'Model inputs'!M90*'Model inputs'!M92</f>
        <v>3709.217171717169</v>
      </c>
      <c r="N19" s="23">
        <f>'Model inputs'!N90*'Model inputs'!N92</f>
        <v>4899.999999999997</v>
      </c>
      <c r="O19" s="23">
        <f>'Model inputs'!O90*'Model inputs'!O92</f>
        <v>7029.6717171717155</v>
      </c>
      <c r="P19" s="23">
        <f>'Model inputs'!P90*'Model inputs'!P92</f>
        <v>9480.808080808076</v>
      </c>
      <c r="Q19" s="23">
        <f>'Model inputs'!Q90*'Model inputs'!Q92</f>
        <v>12253.409090909088</v>
      </c>
      <c r="R19" s="23">
        <f>'Model inputs'!R90*'Model inputs'!R92</f>
        <v>15347.474747474742</v>
      </c>
      <c r="S19" s="23">
        <f>'Model inputs'!S90*'Model inputs'!S92</f>
        <v>18763.005050505046</v>
      </c>
      <c r="T19" s="23">
        <f>'Model inputs'!T90*'Model inputs'!T92</f>
        <v>22500</v>
      </c>
      <c r="U19" s="23">
        <f>'Model inputs'!U90*'Model inputs'!U92</f>
        <v>25833.333333333336</v>
      </c>
      <c r="V19" s="23">
        <f>'Model inputs'!V90*'Model inputs'!V92</f>
        <v>29333.33333333333</v>
      </c>
      <c r="W19" s="23">
        <f>'Model inputs'!W90*'Model inputs'!W92</f>
        <v>33000</v>
      </c>
      <c r="X19" s="23">
        <f>'Model inputs'!X90*'Model inputs'!X92</f>
        <v>36833.33333333333</v>
      </c>
      <c r="Y19" s="23">
        <f>'Model inputs'!Y90*'Model inputs'!Y92</f>
        <v>40833.33333333333</v>
      </c>
      <c r="Z19" s="23">
        <f>'Model inputs'!Z90*'Model inputs'!Z92</f>
        <v>45000</v>
      </c>
      <c r="AA19" s="23">
        <f>'Model inputs'!AA90*'Model inputs'!AA92</f>
        <v>48947.916666666664</v>
      </c>
      <c r="AB19" s="23">
        <f>'Model inputs'!AB90*'Model inputs'!AB92</f>
        <v>53041.666666666664</v>
      </c>
      <c r="AC19" s="23">
        <f>'Model inputs'!AC90*'Model inputs'!AC92</f>
        <v>57281.25</v>
      </c>
      <c r="AD19" s="23">
        <f>'Model inputs'!AD90*'Model inputs'!AD92</f>
        <v>61666.66666666668</v>
      </c>
      <c r="AE19" s="23">
        <f>'Model inputs'!AE90*'Model inputs'!AE92</f>
        <v>66197.91666666666</v>
      </c>
      <c r="AF19" s="23">
        <f>'Model inputs'!AF90*'Model inputs'!AF92</f>
        <v>70875</v>
      </c>
      <c r="AG19" s="23">
        <f>'Model inputs'!AG90*'Model inputs'!AG92</f>
        <v>74802.08333333333</v>
      </c>
      <c r="AH19" s="23">
        <f>'Model inputs'!AH90*'Model inputs'!AH92</f>
        <v>78833.33333333333</v>
      </c>
      <c r="AI19" s="23">
        <f>'Model inputs'!AI90*'Model inputs'!AI92</f>
        <v>82968.75</v>
      </c>
      <c r="AJ19" s="23">
        <f>'Model inputs'!AJ90*'Model inputs'!AJ92</f>
        <v>87208.33333333333</v>
      </c>
      <c r="AK19" s="23">
        <f>'Model inputs'!AK90*'Model inputs'!AK92</f>
        <v>91552.08333333333</v>
      </c>
      <c r="AL19" s="23">
        <f>'Model inputs'!AL90*'Model inputs'!AL92</f>
        <v>96000</v>
      </c>
    </row>
    <row r="20">
      <c r="A20" t="inlineStr" s="25">
        <is>
          <t xml:space="preserve">Contingency revenue per protocol M0 · POA — Monthly financial forecast</t>
        </is>
      </c>
      <c r="AM20" s="23">
        <f>0</f>
        <v>0</v>
      </c>
    </row>
    <row r="21">
      <c r="A21" t="inlineStr" s="25">
        <is>
          <t xml:space="preserve">Contingency revenue per protocol M12 · POA — Monthly financial forecast</t>
        </is>
      </c>
      <c r="AM21" s="23">
        <f>742.424242424242</f>
        <v>742.424242424242</v>
      </c>
    </row>
    <row r="22">
      <c r="A22" t="inlineStr" s="25">
        <is>
          <t xml:space="preserve">Contingency revenue per protocol M18 · POA — Monthly financial forecast</t>
        </is>
      </c>
      <c r="AM22" s="23">
        <f>1250</f>
        <v>1250</v>
      </c>
    </row>
    <row r="23">
      <c r="A23" t="inlineStr" s="25">
        <is>
          <t xml:space="preserve">Contingency revenue per protocol M24 · POA — Monthly financial forecast</t>
        </is>
      </c>
      <c r="AM23" s="23">
        <f>1500</f>
        <v>1500</v>
      </c>
    </row>
    <row r="24">
      <c r="A24" t="inlineStr" s="25">
        <is>
          <t xml:space="preserve">Contingency revenue per protocol M30 · POA — Monthly financial forecast</t>
        </is>
      </c>
      <c r="AM24" s="23">
        <f>1750</f>
        <v>1750</v>
      </c>
    </row>
    <row r="25">
      <c r="A25" t="inlineStr" s="25">
        <is>
          <t xml:space="preserve">Contingency revenue per protocol M36 · POA — Monthly financial forecast</t>
        </is>
      </c>
      <c r="AM25" s="23">
        <f>2000</f>
        <v>2000</v>
      </c>
    </row>
    <row r="26">
      <c r="A26" t="inlineStr" s="25">
        <is>
          <t xml:space="preserve">Contingency revenue per protocol M6 · POA — Monthly financial forecast</t>
        </is>
      </c>
      <c r="AM26" s="23">
        <f>125</f>
        <v>125</v>
      </c>
    </row>
    <row r="27">
      <c r="A27" t="inlineStr" s="25">
        <is>
          <t xml:space="preserve">Contracted subscription ARR</t>
        </is>
      </c>
      <c r="C27" s="23">
        <f>'Model inputs'!C79*12</f>
        <v>42000</v>
      </c>
      <c r="D27" s="23">
        <f>'Model inputs'!D79*12</f>
        <v>84000</v>
      </c>
      <c r="E27" s="23">
        <f>'Model inputs'!E79*12</f>
        <v>126000</v>
      </c>
      <c r="F27" s="23">
        <f>'Model inputs'!F79*12</f>
        <v>168000</v>
      </c>
      <c r="G27" s="23">
        <f>'Model inputs'!G79*12</f>
        <v>210000</v>
      </c>
      <c r="H27" s="23">
        <f>'Model inputs'!H79*12</f>
        <v>252000</v>
      </c>
      <c r="I27" s="23">
        <f>'Model inputs'!I79*12</f>
        <v>363999.99999999994</v>
      </c>
      <c r="J27" s="23">
        <f>'Model inputs'!J79*12</f>
        <v>476000</v>
      </c>
      <c r="K27" s="23">
        <f>'Model inputs'!K79*12</f>
        <v>588000</v>
      </c>
      <c r="L27" s="23">
        <f>'Model inputs'!L79*12</f>
        <v>700000</v>
      </c>
      <c r="M27" s="23">
        <f>'Model inputs'!M79*12</f>
        <v>812000</v>
      </c>
      <c r="N27" s="23">
        <f>'Model inputs'!N79*12</f>
        <v>924000</v>
      </c>
      <c r="O27" s="23">
        <f>'Model inputs'!O79*12</f>
        <v>1190000</v>
      </c>
      <c r="P27" s="23">
        <f>'Model inputs'!P79*12</f>
        <v>1455999.9999999998</v>
      </c>
      <c r="Q27" s="23">
        <f>'Model inputs'!Q79*12</f>
        <v>1722000</v>
      </c>
      <c r="R27" s="23">
        <f>'Model inputs'!R79*12</f>
        <v>1988000</v>
      </c>
      <c r="S27" s="23">
        <f>'Model inputs'!S79*12</f>
        <v>2254000</v>
      </c>
      <c r="T27" s="23">
        <f>'Model inputs'!T79*12</f>
        <v>2520000</v>
      </c>
      <c r="U27" s="23">
        <f>'Model inputs'!U79*12</f>
        <v>2800000</v>
      </c>
      <c r="V27" s="23">
        <f>'Model inputs'!V79*12</f>
        <v>3079999.9999999995</v>
      </c>
      <c r="W27" s="23">
        <f>'Model inputs'!W79*12</f>
        <v>3360000</v>
      </c>
      <c r="X27" s="23">
        <f>'Model inputs'!X79*12</f>
        <v>3640000</v>
      </c>
      <c r="Y27" s="23">
        <f>'Model inputs'!Y79*12</f>
        <v>3919999.9999999995</v>
      </c>
      <c r="Z27" s="23">
        <f>'Model inputs'!Z79*12</f>
        <v>4200000</v>
      </c>
      <c r="AA27" s="23">
        <f>'Model inputs'!AA79*12</f>
        <v>4445000</v>
      </c>
      <c r="AB27" s="23">
        <f>'Model inputs'!AB79*12</f>
        <v>4690000</v>
      </c>
      <c r="AC27" s="23">
        <f>'Model inputs'!AC79*12</f>
        <v>4935000</v>
      </c>
      <c r="AD27" s="23">
        <f>'Model inputs'!AD79*12</f>
        <v>5180000</v>
      </c>
      <c r="AE27" s="23">
        <f>'Model inputs'!AE79*12</f>
        <v>5424999.999999999</v>
      </c>
      <c r="AF27" s="23">
        <f>'Model inputs'!AF79*12</f>
        <v>5670000</v>
      </c>
      <c r="AG27" s="23">
        <f>'Model inputs'!AG79*12</f>
        <v>5844999.999999999</v>
      </c>
      <c r="AH27" s="23">
        <f>'Model inputs'!AH79*12</f>
        <v>6020000</v>
      </c>
      <c r="AI27" s="23">
        <f>'Model inputs'!AI79*12</f>
        <v>6195000</v>
      </c>
      <c r="AJ27" s="23">
        <f>'Model inputs'!AJ79*12</f>
        <v>6369999.999999999</v>
      </c>
      <c r="AK27" s="23">
        <f>'Model inputs'!AK79*12</f>
        <v>6545000.000000001</v>
      </c>
      <c r="AL27" s="23">
        <f>'Model inputs'!AL79*12</f>
        <v>6720000</v>
      </c>
    </row>
    <row r="28">
      <c r="A28" t="inlineStr" s="25">
        <is>
          <t xml:space="preserve">Customer acquisition spend · POA — Three year summary</t>
        </is>
      </c>
      <c r="C28" s="23">
        <f>'Model inputs'!C96*'Model inputs'!AM11*'Model inputs'!AM10</f>
        <v>9200</v>
      </c>
      <c r="D28" s="23">
        <f>'Model inputs'!D96*'Model inputs'!AM11*'Model inputs'!AM10</f>
        <v>9419.047619047618</v>
      </c>
      <c r="E28" s="23">
        <f>'Model inputs'!E96*'Model inputs'!AM11*'Model inputs'!AM10</f>
        <v>9638.095238095239</v>
      </c>
      <c r="F28" s="23">
        <f>'Model inputs'!F96*'Model inputs'!AM11*'Model inputs'!AM10</f>
        <v>9857.142857142857</v>
      </c>
      <c r="G28" s="23">
        <f>'Model inputs'!G96*'Model inputs'!AM11*'Model inputs'!AM10</f>
        <v>10076.190476190477</v>
      </c>
      <c r="H28" s="23">
        <f>'Model inputs'!H96*'Model inputs'!AM11*'Model inputs'!AM10</f>
        <v>10295.238095238095</v>
      </c>
      <c r="I28" s="23">
        <f>'Model inputs'!I96*'Model inputs'!AM11*'Model inputs'!AM10</f>
        <v>25847.619047619042</v>
      </c>
      <c r="J28" s="23">
        <f>'Model inputs'!J96*'Model inputs'!AM11*'Model inputs'!AM10</f>
        <v>26431.746031746028</v>
      </c>
      <c r="K28" s="23">
        <f>'Model inputs'!K96*'Model inputs'!AM11*'Model inputs'!AM10</f>
        <v>27015.873015873025</v>
      </c>
      <c r="L28" s="23">
        <f>'Model inputs'!L96*'Model inputs'!AM11*'Model inputs'!AM10</f>
        <v>27599.999999999978</v>
      </c>
      <c r="M28" s="23">
        <f>'Model inputs'!M96*'Model inputs'!AM11*'Model inputs'!AM10</f>
        <v>28184.126984126993</v>
      </c>
      <c r="N28" s="23">
        <f>'Model inputs'!N96*'Model inputs'!AM11*'Model inputs'!AM10</f>
        <v>28768.25396825398</v>
      </c>
      <c r="O28" s="23">
        <f>'Model inputs'!O96*'Model inputs'!AM11*'Model inputs'!AM10</f>
        <v>63085.714285714275</v>
      </c>
      <c r="P28" s="23">
        <f>'Model inputs'!P96*'Model inputs'!AM11*'Model inputs'!AM10</f>
        <v>64473.015873015866</v>
      </c>
      <c r="Q28" s="23">
        <f>'Model inputs'!Q96*'Model inputs'!AM11*'Model inputs'!AM10</f>
        <v>65860.31746031748</v>
      </c>
      <c r="R28" s="23">
        <f>'Model inputs'!R96*'Model inputs'!AM11*'Model inputs'!AM10</f>
        <v>67247.61904761901</v>
      </c>
      <c r="S28" s="23">
        <f>'Model inputs'!S96*'Model inputs'!AM11*'Model inputs'!AM10</f>
        <v>68634.92063492065</v>
      </c>
      <c r="T28" s="23">
        <f>'Model inputs'!T96*'Model inputs'!AM11*'Model inputs'!AM10</f>
        <v>70022.22222222225</v>
      </c>
      <c r="U28" s="23">
        <f>'Model inputs'!U96*'Model inputs'!AM11*'Model inputs'!AM10</f>
        <v>74476.19047619052</v>
      </c>
      <c r="V28" s="23">
        <f>'Model inputs'!V96*'Model inputs'!AM11*'Model inputs'!AM10</f>
        <v>75936.50793650784</v>
      </c>
      <c r="W28" s="23">
        <f>'Model inputs'!W96*'Model inputs'!AM11*'Model inputs'!AM10</f>
        <v>77396.82539682543</v>
      </c>
      <c r="X28" s="23">
        <f>'Model inputs'!X96*'Model inputs'!AM11*'Model inputs'!AM10</f>
        <v>78857.14285714277</v>
      </c>
      <c r="Y28" s="23">
        <f>'Model inputs'!Y96*'Model inputs'!AM11*'Model inputs'!AM10</f>
        <v>80317.46031746035</v>
      </c>
      <c r="Z28" s="23">
        <f>'Model inputs'!Z96*'Model inputs'!AM11*'Model inputs'!AM10</f>
        <v>81777.77777777781</v>
      </c>
      <c r="AA28" s="23">
        <f>'Model inputs'!AA96*'Model inputs'!AM11*'Model inputs'!AM10</f>
        <v>75571.42857142854</v>
      </c>
      <c r="AB28" s="23">
        <f>'Model inputs'!AB96*'Model inputs'!AM11*'Model inputs'!AM10</f>
        <v>76849.20634920643</v>
      </c>
      <c r="AC28" s="23">
        <f>'Model inputs'!AC96*'Model inputs'!AM11*'Model inputs'!AM10</f>
        <v>78126.98412698408</v>
      </c>
      <c r="AD28" s="23">
        <f>'Model inputs'!AD96*'Model inputs'!AM11*'Model inputs'!AM10</f>
        <v>79404.76190476186</v>
      </c>
      <c r="AE28" s="23">
        <f>'Model inputs'!AE96*'Model inputs'!AM11*'Model inputs'!AM10</f>
        <v>80682.53968253965</v>
      </c>
      <c r="AF28" s="23">
        <f>'Model inputs'!AF96*'Model inputs'!AM11*'Model inputs'!AM10</f>
        <v>81960.31746031756</v>
      </c>
      <c r="AG28" s="23">
        <f>'Model inputs'!AG96*'Model inputs'!AM11*'Model inputs'!AM10</f>
        <v>67904.7619047618</v>
      </c>
      <c r="AH28" s="23">
        <f>'Model inputs'!AH96*'Model inputs'!AM11*'Model inputs'!AM10</f>
        <v>68817.46031746049</v>
      </c>
      <c r="AI28" s="23">
        <f>'Model inputs'!AI96*'Model inputs'!AM11*'Model inputs'!AM10</f>
        <v>69730.15873015864</v>
      </c>
      <c r="AJ28" s="23">
        <f>'Model inputs'!AJ96*'Model inputs'!AM11*'Model inputs'!AM10</f>
        <v>70642.85714285706</v>
      </c>
      <c r="AK28" s="23">
        <f>'Model inputs'!AK96*'Model inputs'!AM11*'Model inputs'!AM10</f>
        <v>71555.55555555572</v>
      </c>
      <c r="AL28" s="23">
        <f>'Model inputs'!AL96*'Model inputs'!AM11*'Model inputs'!AM10</f>
        <v>72468.25396825388</v>
      </c>
    </row>
    <row r="29">
      <c r="A29" t="inlineStr" s="25">
        <is>
          <t xml:space="preserve">Customer acquisition spend · POA — Monthly financial forecast</t>
        </is>
      </c>
      <c r="B29" s="23">
        <v>0</v>
      </c>
      <c r="C29" s="23">
        <f>IF('Model inputs'!C28="","",'Model inputs'!C28)</f>
        <v>9200</v>
      </c>
      <c r="D29" s="23">
        <f>IF('Model inputs'!D28="","",'Model inputs'!D28)</f>
        <v>9419.047619047618</v>
      </c>
      <c r="E29" s="23">
        <f>IF('Model inputs'!E28="","",'Model inputs'!E28)</f>
        <v>9638.095238095239</v>
      </c>
      <c r="F29" s="23">
        <f>IF('Model inputs'!F28="","",'Model inputs'!F28)</f>
        <v>9857.142857142857</v>
      </c>
      <c r="G29" s="23">
        <f>IF('Model inputs'!G28="","",'Model inputs'!G28)</f>
        <v>10076.190476190477</v>
      </c>
      <c r="H29" s="23">
        <f>IF('Model inputs'!H28="","",'Model inputs'!H28)</f>
        <v>10295.238095238095</v>
      </c>
      <c r="I29" s="23">
        <f>IF('Model inputs'!I28="","",'Model inputs'!I28)</f>
        <v>25847.619047619042</v>
      </c>
      <c r="J29" s="23">
        <f>IF('Model inputs'!J28="","",'Model inputs'!J28)</f>
        <v>26431.746031746028</v>
      </c>
      <c r="K29" s="23">
        <f>IF('Model inputs'!K28="","",'Model inputs'!K28)</f>
        <v>27015.873015873025</v>
      </c>
      <c r="L29" s="23">
        <f>IF('Model inputs'!L28="","",'Model inputs'!L28)</f>
        <v>27599.999999999978</v>
      </c>
      <c r="M29" s="23">
        <f>IF('Model inputs'!M28="","",'Model inputs'!M28)</f>
        <v>28184.126984126993</v>
      </c>
      <c r="N29" s="23">
        <f>IF('Model inputs'!N28="","",'Model inputs'!N28)</f>
        <v>28768.25396825398</v>
      </c>
      <c r="O29" s="23">
        <f>IF('Model inputs'!O28="","",'Model inputs'!O28)</f>
        <v>63085.714285714275</v>
      </c>
      <c r="P29" s="23">
        <f>IF('Model inputs'!P28="","",'Model inputs'!P28)</f>
        <v>64473.015873015866</v>
      </c>
      <c r="Q29" s="23">
        <f>IF('Model inputs'!Q28="","",'Model inputs'!Q28)</f>
        <v>65860.31746031748</v>
      </c>
      <c r="R29" s="23">
        <f>IF('Model inputs'!R28="","",'Model inputs'!R28)</f>
        <v>67247.61904761901</v>
      </c>
      <c r="S29" s="23">
        <f>IF('Model inputs'!S28="","",'Model inputs'!S28)</f>
        <v>68634.92063492065</v>
      </c>
      <c r="T29" s="23">
        <f>IF('Model inputs'!T28="","",'Model inputs'!T28)</f>
        <v>70022.22222222225</v>
      </c>
      <c r="U29" s="23">
        <f>IF('Model inputs'!U28="","",'Model inputs'!U28)</f>
        <v>74476.19047619052</v>
      </c>
      <c r="V29" s="23">
        <f>IF('Model inputs'!V28="","",'Model inputs'!V28)</f>
        <v>75936.50793650784</v>
      </c>
      <c r="W29" s="23">
        <f>IF('Model inputs'!W28="","",'Model inputs'!W28)</f>
        <v>77396.82539682543</v>
      </c>
      <c r="X29" s="23">
        <f>IF('Model inputs'!X28="","",'Model inputs'!X28)</f>
        <v>78857.14285714277</v>
      </c>
      <c r="Y29" s="23">
        <f>IF('Model inputs'!Y28="","",'Model inputs'!Y28)</f>
        <v>80317.46031746035</v>
      </c>
      <c r="Z29" s="23">
        <f>IF('Model inputs'!Z28="","",'Model inputs'!Z28)</f>
        <v>81777.77777777781</v>
      </c>
      <c r="AA29" s="23">
        <f>IF('Model inputs'!AA28="","",'Model inputs'!AA28)</f>
        <v>75571.42857142854</v>
      </c>
      <c r="AB29" s="23">
        <f>IF('Model inputs'!AB28="","",'Model inputs'!AB28)</f>
        <v>76849.20634920643</v>
      </c>
      <c r="AC29" s="23">
        <f>IF('Model inputs'!AC28="","",'Model inputs'!AC28)</f>
        <v>78126.98412698408</v>
      </c>
      <c r="AD29" s="23">
        <f>IF('Model inputs'!AD28="","",'Model inputs'!AD28)</f>
        <v>79404.76190476186</v>
      </c>
      <c r="AE29" s="23">
        <f>IF('Model inputs'!AE28="","",'Model inputs'!AE28)</f>
        <v>80682.53968253965</v>
      </c>
      <c r="AF29" s="23">
        <f>IF('Model inputs'!AF28="","",'Model inputs'!AF28)</f>
        <v>81960.31746031756</v>
      </c>
      <c r="AG29" s="23">
        <f>IF('Model inputs'!AG28="","",'Model inputs'!AG28)</f>
        <v>67904.7619047618</v>
      </c>
      <c r="AH29" s="23">
        <f>IF('Model inputs'!AH28="","",'Model inputs'!AH28)</f>
        <v>68817.46031746049</v>
      </c>
      <c r="AI29" s="23">
        <f>IF('Model inputs'!AI28="","",'Model inputs'!AI28)</f>
        <v>69730.15873015864</v>
      </c>
      <c r="AJ29" s="23">
        <f>IF('Model inputs'!AJ28="","",'Model inputs'!AJ28)</f>
        <v>70642.85714285706</v>
      </c>
      <c r="AK29" s="23">
        <f>IF('Model inputs'!AK28="","",'Model inputs'!AK28)</f>
        <v>71555.55555555572</v>
      </c>
      <c r="AL29" s="23">
        <f>IF('Model inputs'!AL28="","",'Model inputs'!AL28)</f>
        <v>72468.25396825388</v>
      </c>
    </row>
    <row r="30">
      <c r="A30" t="inlineStr" s="25">
        <is>
          <t xml:space="preserve">Customer lifetime years · POA — Monthly financial forecast</t>
        </is>
      </c>
      <c r="AM30" s="23">
        <f>3.5</f>
        <v>3.5</v>
      </c>
    </row>
    <row r="31">
      <c r="A31" t="inlineStr" s="25">
        <is>
          <t xml:space="preserve">Delivery COGS provision rate · POA — Monthly financial forecast</t>
        </is>
      </c>
      <c r="AM31" s="23">
        <f>0.002</f>
        <v>0.002</v>
      </c>
    </row>
    <row r="32">
      <c r="A32" t="inlineStr" s="25">
        <is>
          <t xml:space="preserve">EBITDA · POA — Three year summary</t>
        </is>
      </c>
      <c r="C32" s="23">
        <f>'Model inputs'!C36-'Model inputs'!C109</f>
        <v>-17769.541666666664</v>
      </c>
      <c r="D32" s="23">
        <f>'Model inputs'!D36-'Model inputs'!D109</f>
        <v>-16516.54761904762</v>
      </c>
      <c r="E32" s="23">
        <f>'Model inputs'!E36-'Model inputs'!E109</f>
        <v>-15221.970238095237</v>
      </c>
      <c r="F32" s="23">
        <f>'Model inputs'!F36-'Model inputs'!F109</f>
        <v>-13885.809523809523</v>
      </c>
      <c r="G32" s="23">
        <f>'Model inputs'!G36-'Model inputs'!G109</f>
        <v>-12508.065476190477</v>
      </c>
      <c r="H32" s="23">
        <f>'Model inputs'!H36-'Model inputs'!H109</f>
        <v>-11088.738095238092</v>
      </c>
      <c r="I32" s="23">
        <f>'Model inputs'!I36-'Model inputs'!I109</f>
        <v>-20320.401034151033</v>
      </c>
      <c r="J32" s="23">
        <f>'Model inputs'!J36-'Model inputs'!J109</f>
        <v>-14036.086099086104</v>
      </c>
      <c r="K32" s="23">
        <f>'Model inputs'!K36-'Model inputs'!K109</f>
        <v>-7204.047258297265</v>
      </c>
      <c r="L32" s="23">
        <f>'Model inputs'!L36-'Model inputs'!L109</f>
        <v>175.71548821550095</v>
      </c>
      <c r="M32" s="23">
        <f>'Model inputs'!M36-'Model inputs'!M109</f>
        <v>8103.2021404521365</v>
      </c>
      <c r="N32" s="23">
        <f>'Model inputs'!N36-'Model inputs'!N109</f>
        <v>16578.412698412678</v>
      </c>
      <c r="O32" s="23">
        <f>'Model inputs'!O36-'Model inputs'!O109</f>
        <v>3067.993626743628</v>
      </c>
      <c r="P32" s="23">
        <f>'Model inputs'!P36-'Model inputs'!P109</f>
        <v>23557.139009138977</v>
      </c>
      <c r="Q32" s="23">
        <f>'Model inputs'!Q36-'Model inputs'!Q109</f>
        <v>45115.690115440084</v>
      </c>
      <c r="R32" s="23">
        <f>'Model inputs'!R36-'Model inputs'!R109</f>
        <v>67743.646945647</v>
      </c>
      <c r="S32" s="23">
        <f>'Model inputs'!S36-'Model inputs'!S109</f>
        <v>91441.00949975947</v>
      </c>
      <c r="T32" s="23">
        <f>'Model inputs'!T36-'Model inputs'!T109</f>
        <v>116207.77777777775</v>
      </c>
      <c r="U32" s="23">
        <f>'Model inputs'!U36-'Model inputs'!U109</f>
        <v>139162.69841269843</v>
      </c>
      <c r="V32" s="23">
        <f>'Model inputs'!V36-'Model inputs'!V109</f>
        <v>165665.71428571432</v>
      </c>
      <c r="W32" s="23">
        <f>'Model inputs'!W36-'Model inputs'!W109</f>
        <v>192723.17460317456</v>
      </c>
      <c r="X32" s="23">
        <f>'Model inputs'!X36-'Model inputs'!X109</f>
        <v>220335.0793650794</v>
      </c>
      <c r="Y32" s="23">
        <f>'Model inputs'!Y36-'Model inputs'!Y109</f>
        <v>248501.42857142852</v>
      </c>
      <c r="Z32" s="23">
        <f>'Model inputs'!Z36-'Model inputs'!Z109</f>
        <v>277222.2222222222</v>
      </c>
      <c r="AA32" s="23">
        <f>'Model inputs'!AA36-'Model inputs'!AA109</f>
        <v>311104.47420634923</v>
      </c>
      <c r="AB32" s="23">
        <f>'Model inputs'!AB36-'Model inputs'!AB109</f>
        <v>337987.73809523816</v>
      </c>
      <c r="AC32" s="23">
        <f>'Model inputs'!AC36-'Model inputs'!AC109</f>
        <v>365356.1408730159</v>
      </c>
      <c r="AD32" s="23">
        <f>'Model inputs'!AD36-'Model inputs'!AD109</f>
        <v>393209.68253968254</v>
      </c>
      <c r="AE32" s="23">
        <f>'Model inputs'!AE36-'Model inputs'!AE109</f>
        <v>421548.3630952381</v>
      </c>
      <c r="AF32" s="23">
        <f>'Model inputs'!AF36-'Model inputs'!AF109</f>
        <v>450372.1825396824</v>
      </c>
      <c r="AG32" s="23">
        <f>'Model inputs'!AG36-'Model inputs'!AG109</f>
        <v>487046.001984127</v>
      </c>
      <c r="AH32" s="23">
        <f>'Model inputs'!AH36-'Model inputs'!AH109</f>
        <v>509098.09523809515</v>
      </c>
      <c r="AI32" s="23">
        <f>'Model inputs'!AI36-'Model inputs'!AI109</f>
        <v>531496.7162698414</v>
      </c>
      <c r="AJ32" s="23">
        <f>'Model inputs'!AJ36-'Model inputs'!AJ109</f>
        <v>554241.8650793652</v>
      </c>
      <c r="AK32" s="23">
        <f>'Model inputs'!AK36-'Model inputs'!AK109</f>
        <v>577333.5416666666</v>
      </c>
      <c r="AL32" s="23">
        <f>'Model inputs'!AL36-'Model inputs'!AL109</f>
        <v>600771.7460317462</v>
      </c>
    </row>
    <row r="33">
      <c r="A33" t="inlineStr" s="25">
        <is>
          <t xml:space="preserve">EBITDA · POA — Monthly financial forecast</t>
        </is>
      </c>
      <c r="B33" s="23">
        <v>0</v>
      </c>
      <c r="C33" s="23">
        <f>IF('Model inputs'!C32="","",'Model inputs'!C32)</f>
        <v>-17769.541666666664</v>
      </c>
      <c r="D33" s="23">
        <f>IF('Model inputs'!D32="","",'Model inputs'!D32)</f>
        <v>-16516.54761904762</v>
      </c>
      <c r="E33" s="23">
        <f>IF('Model inputs'!E32="","",'Model inputs'!E32)</f>
        <v>-15221.970238095237</v>
      </c>
      <c r="F33" s="23">
        <f>IF('Model inputs'!F32="","",'Model inputs'!F32)</f>
        <v>-13885.809523809523</v>
      </c>
      <c r="G33" s="23">
        <f>IF('Model inputs'!G32="","",'Model inputs'!G32)</f>
        <v>-12508.065476190477</v>
      </c>
      <c r="H33" s="23">
        <f>IF('Model inputs'!H32="","",'Model inputs'!H32)</f>
        <v>-11088.738095238092</v>
      </c>
      <c r="I33" s="23">
        <f>IF('Model inputs'!I32="","",'Model inputs'!I32)</f>
        <v>-20320.401034151033</v>
      </c>
      <c r="J33" s="23">
        <f>IF('Model inputs'!J32="","",'Model inputs'!J32)</f>
        <v>-14036.086099086104</v>
      </c>
      <c r="K33" s="23">
        <f>IF('Model inputs'!K32="","",'Model inputs'!K32)</f>
        <v>-7204.047258297265</v>
      </c>
      <c r="L33" s="23">
        <f>IF('Model inputs'!L32="","",'Model inputs'!L32)</f>
        <v>175.71548821550095</v>
      </c>
      <c r="M33" s="23">
        <f>IF('Model inputs'!M32="","",'Model inputs'!M32)</f>
        <v>8103.2021404521365</v>
      </c>
      <c r="N33" s="23">
        <f>IF('Model inputs'!N32="","",'Model inputs'!N32)</f>
        <v>16578.412698412678</v>
      </c>
      <c r="O33" s="23">
        <f>IF('Model inputs'!O32="","",'Model inputs'!O32)</f>
        <v>3067.993626743628</v>
      </c>
      <c r="P33" s="23">
        <f>IF('Model inputs'!P32="","",'Model inputs'!P32)</f>
        <v>23557.139009138977</v>
      </c>
      <c r="Q33" s="23">
        <f>IF('Model inputs'!Q32="","",'Model inputs'!Q32)</f>
        <v>45115.690115440084</v>
      </c>
      <c r="R33" s="23">
        <f>IF('Model inputs'!R32="","",'Model inputs'!R32)</f>
        <v>67743.646945647</v>
      </c>
      <c r="S33" s="23">
        <f>IF('Model inputs'!S32="","",'Model inputs'!S32)</f>
        <v>91441.00949975947</v>
      </c>
      <c r="T33" s="23">
        <f>IF('Model inputs'!T32="","",'Model inputs'!T32)</f>
        <v>116207.77777777775</v>
      </c>
      <c r="U33" s="23">
        <f>IF('Model inputs'!U32="","",'Model inputs'!U32)</f>
        <v>139162.69841269843</v>
      </c>
      <c r="V33" s="23">
        <f>IF('Model inputs'!V32="","",'Model inputs'!V32)</f>
        <v>165665.71428571432</v>
      </c>
      <c r="W33" s="23">
        <f>IF('Model inputs'!W32="","",'Model inputs'!W32)</f>
        <v>192723.17460317456</v>
      </c>
      <c r="X33" s="23">
        <f>IF('Model inputs'!X32="","",'Model inputs'!X32)</f>
        <v>220335.0793650794</v>
      </c>
      <c r="Y33" s="23">
        <f>IF('Model inputs'!Y32="","",'Model inputs'!Y32)</f>
        <v>248501.42857142852</v>
      </c>
      <c r="Z33" s="23">
        <f>IF('Model inputs'!Z32="","",'Model inputs'!Z32)</f>
        <v>277222.2222222222</v>
      </c>
      <c r="AA33" s="23">
        <f>IF('Model inputs'!AA32="","",'Model inputs'!AA32)</f>
        <v>311104.47420634923</v>
      </c>
      <c r="AB33" s="23">
        <f>IF('Model inputs'!AB32="","",'Model inputs'!AB32)</f>
        <v>337987.73809523816</v>
      </c>
      <c r="AC33" s="23">
        <f>IF('Model inputs'!AC32="","",'Model inputs'!AC32)</f>
        <v>365356.1408730159</v>
      </c>
      <c r="AD33" s="23">
        <f>IF('Model inputs'!AD32="","",'Model inputs'!AD32)</f>
        <v>393209.68253968254</v>
      </c>
      <c r="AE33" s="23">
        <f>IF('Model inputs'!AE32="","",'Model inputs'!AE32)</f>
        <v>421548.3630952381</v>
      </c>
      <c r="AF33" s="23">
        <f>IF('Model inputs'!AF32="","",'Model inputs'!AF32)</f>
        <v>450372.1825396824</v>
      </c>
      <c r="AG33" s="23">
        <f>IF('Model inputs'!AG32="","",'Model inputs'!AG32)</f>
        <v>487046.001984127</v>
      </c>
      <c r="AH33" s="23">
        <f>IF('Model inputs'!AH32="","",'Model inputs'!AH32)</f>
        <v>509098.09523809515</v>
      </c>
      <c r="AI33" s="23">
        <f>IF('Model inputs'!AI32="","",'Model inputs'!AI32)</f>
        <v>531496.7162698414</v>
      </c>
      <c r="AJ33" s="23">
        <f>IF('Model inputs'!AJ32="","",'Model inputs'!AJ32)</f>
        <v>554241.8650793652</v>
      </c>
      <c r="AK33" s="23">
        <f>IF('Model inputs'!AK32="","",'Model inputs'!AK32)</f>
        <v>577333.5416666666</v>
      </c>
      <c r="AL33" s="23">
        <f>IF('Model inputs'!AL32="","",'Model inputs'!AL32)</f>
        <v>600771.7460317462</v>
      </c>
    </row>
    <row r="34">
      <c r="A34" t="inlineStr" s="25">
        <is>
          <t xml:space="preserve">Ending cash</t>
        </is>
      </c>
      <c r="B34" s="23">
        <v>0</v>
      </c>
      <c r="C34" s="23">
        <f>'Model inputs'!C97+'Model inputs'!C44</f>
        <v>482230.4583333333</v>
      </c>
      <c r="D34" s="23">
        <f>'Model inputs'!D97+'Model inputs'!D44</f>
        <v>465713.9107142857</v>
      </c>
      <c r="E34" s="23">
        <f>'Model inputs'!E97+'Model inputs'!E44</f>
        <v>450491.9404761904</v>
      </c>
      <c r="F34" s="23">
        <f>'Model inputs'!F97+'Model inputs'!F44</f>
        <v>436606.1309523809</v>
      </c>
      <c r="G34" s="23">
        <f>'Model inputs'!G97+'Model inputs'!G44</f>
        <v>424098.0654761904</v>
      </c>
      <c r="H34" s="23">
        <f>'Model inputs'!H97+'Model inputs'!H44</f>
        <v>413009.3273809523</v>
      </c>
      <c r="I34" s="23">
        <f>'Model inputs'!I97+'Model inputs'!I44</f>
        <v>392688.9263468013</v>
      </c>
      <c r="J34" s="23">
        <f>'Model inputs'!J97+'Model inputs'!J44</f>
        <v>378652.8402477152</v>
      </c>
      <c r="K34" s="23">
        <f>'Model inputs'!K97+'Model inputs'!K44</f>
        <v>371448.7929894179</v>
      </c>
      <c r="L34" s="23">
        <f>'Model inputs'!L97+'Model inputs'!L44</f>
        <v>371624.5084776334</v>
      </c>
      <c r="M34" s="23">
        <f>'Model inputs'!M97+'Model inputs'!M44</f>
        <v>379727.7106180856</v>
      </c>
      <c r="N34" s="23">
        <f>'Model inputs'!N97+'Model inputs'!N44</f>
        <v>396306.12331649824</v>
      </c>
      <c r="O34" s="23">
        <f>'Model inputs'!O97+'Model inputs'!O44</f>
        <v>399374.11694324185</v>
      </c>
      <c r="P34" s="23">
        <f>'Model inputs'!P97+'Model inputs'!P44</f>
        <v>422931.25595238083</v>
      </c>
      <c r="Q34" s="23">
        <f>'Model inputs'!Q97+'Model inputs'!Q44</f>
        <v>468046.9460678209</v>
      </c>
      <c r="R34" s="23">
        <f>'Model inputs'!R97+'Model inputs'!R44</f>
        <v>535790.5930134678</v>
      </c>
      <c r="S34" s="23">
        <f>'Model inputs'!S97+'Model inputs'!S44</f>
        <v>627231.6025132274</v>
      </c>
      <c r="T34" s="23">
        <f>'Model inputs'!T97+'Model inputs'!T44</f>
        <v>743439.3802910051</v>
      </c>
      <c r="U34" s="23">
        <f>'Model inputs'!U97+'Model inputs'!U44</f>
        <v>882602.0787037036</v>
      </c>
      <c r="V34" s="23">
        <f>'Model inputs'!V97+'Model inputs'!V44</f>
        <v>1048267.7929894179</v>
      </c>
      <c r="W34" s="23">
        <f>'Model inputs'!W97+'Model inputs'!W44</f>
        <v>1240990.9675925924</v>
      </c>
      <c r="X34" s="23">
        <f>'Model inputs'!X97+'Model inputs'!X44</f>
        <v>1461326.0469576719</v>
      </c>
      <c r="Y34" s="23">
        <f>'Model inputs'!Y97+'Model inputs'!Y44</f>
        <v>1709827.4755291003</v>
      </c>
      <c r="Z34" s="23">
        <f>'Model inputs'!Z97+'Model inputs'!Z44</f>
        <v>1987049.6977513225</v>
      </c>
      <c r="AA34" s="23">
        <f>'Model inputs'!AA97+'Model inputs'!AA44</f>
        <v>2298154.1719576716</v>
      </c>
      <c r="AB34" s="23">
        <f>'Model inputs'!AB97+'Model inputs'!AB44</f>
        <v>2636141.9100529095</v>
      </c>
      <c r="AC34" s="23">
        <f>'Model inputs'!AC97+'Model inputs'!AC44</f>
        <v>3001498.0509259254</v>
      </c>
      <c r="AD34" s="23">
        <f>'Model inputs'!AD97+'Model inputs'!AD44</f>
        <v>3394707.733465608</v>
      </c>
      <c r="AE34" s="23">
        <f>'Model inputs'!AE97+'Model inputs'!AE44</f>
        <v>3816256.096560846</v>
      </c>
      <c r="AF34" s="23">
        <f>'Model inputs'!AF97+'Model inputs'!AF44</f>
        <v>4266628.279100529</v>
      </c>
      <c r="AG34" s="23">
        <f>'Model inputs'!AG97+'Model inputs'!AG44</f>
        <v>4753674.281084656</v>
      </c>
      <c r="AH34" s="23">
        <f>'Model inputs'!AH97+'Model inputs'!AH44</f>
        <v>5262772.376322751</v>
      </c>
      <c r="AI34" s="23">
        <f>'Model inputs'!AI97+'Model inputs'!AI44</f>
        <v>5794269.092592592</v>
      </c>
      <c r="AJ34" s="23">
        <f>'Model inputs'!AJ97+'Model inputs'!AJ44</f>
        <v>6348510.957671957</v>
      </c>
      <c r="AK34" s="23">
        <f>'Model inputs'!AK97+'Model inputs'!AK44</f>
        <v>6925844.499338623</v>
      </c>
      <c r="AL34" s="23">
        <f>'Model inputs'!AL97+'Model inputs'!AL44</f>
        <v>7526616.245370369</v>
      </c>
    </row>
    <row r="35">
      <c r="A35" t="inlineStr" s="25">
        <is>
          <t xml:space="preserve">Gas cost per incident · POA — Monthly financial forecast</t>
        </is>
      </c>
      <c r="AM35" s="23">
        <f>0.02</f>
        <v>0.02</v>
      </c>
    </row>
    <row r="36">
      <c r="A36" t="inlineStr" s="25">
        <is>
          <t xml:space="preserve">Gross profit · POA — Three year summary</t>
        </is>
      </c>
      <c r="C36" s="23">
        <f>'Model inputs'!C85-'Model inputs'!C108</f>
        <v>3513.791666666667</v>
      </c>
      <c r="D36" s="23">
        <f>'Model inputs'!D85-'Model inputs'!D108</f>
        <v>7069.166666666666</v>
      </c>
      <c r="E36" s="23">
        <f>'Model inputs'!E85-'Model inputs'!E108</f>
        <v>10666.125</v>
      </c>
      <c r="F36" s="23">
        <f>'Model inputs'!F85-'Model inputs'!F108</f>
        <v>14304.666666666668</v>
      </c>
      <c r="G36" s="23">
        <f>'Model inputs'!G85-'Model inputs'!G108</f>
        <v>17984.791666666664</v>
      </c>
      <c r="H36" s="23">
        <f>'Model inputs'!H85-'Model inputs'!H108</f>
        <v>21706.5</v>
      </c>
      <c r="I36" s="23">
        <f>'Model inputs'!I85-'Model inputs'!I108</f>
        <v>32243.884680134677</v>
      </c>
      <c r="J36" s="23">
        <f>'Model inputs'!J85-'Model inputs'!J108</f>
        <v>43328.99326599326</v>
      </c>
      <c r="K36" s="23">
        <f>'Model inputs'!K85-'Model inputs'!K108</f>
        <v>54961.82575757576</v>
      </c>
      <c r="L36" s="23">
        <f>'Model inputs'!L85-'Model inputs'!L108</f>
        <v>67142.38215488214</v>
      </c>
      <c r="M36" s="23">
        <f>'Model inputs'!M85-'Model inputs'!M108</f>
        <v>79870.66245791246</v>
      </c>
      <c r="N36" s="23">
        <f>'Model inputs'!N85-'Model inputs'!N108</f>
        <v>93146.66666666666</v>
      </c>
      <c r="O36" s="23">
        <f>'Model inputs'!O85-'Model inputs'!O108</f>
        <v>122353.7079124579</v>
      </c>
      <c r="P36" s="23">
        <f>'Model inputs'!P85-'Model inputs'!P108</f>
        <v>152630.15488215483</v>
      </c>
      <c r="Q36" s="23">
        <f>'Model inputs'!Q85-'Model inputs'!Q108</f>
        <v>183976.00757575757</v>
      </c>
      <c r="R36" s="23">
        <f>'Model inputs'!R85-'Model inputs'!R108</f>
        <v>216391.265993266</v>
      </c>
      <c r="S36" s="23">
        <f>'Model inputs'!S85-'Model inputs'!S108</f>
        <v>249875.93013468012</v>
      </c>
      <c r="T36" s="23">
        <f>'Model inputs'!T85-'Model inputs'!T108</f>
        <v>284430</v>
      </c>
      <c r="U36" s="23">
        <f>'Model inputs'!U85-'Model inputs'!U108</f>
        <v>318805.5555555556</v>
      </c>
      <c r="V36" s="23">
        <f>'Model inputs'!V85-'Model inputs'!V108</f>
        <v>353735.5555555555</v>
      </c>
      <c r="W36" s="23">
        <f>'Model inputs'!W85-'Model inputs'!W108</f>
        <v>389220</v>
      </c>
      <c r="X36" s="23">
        <f>'Model inputs'!X85-'Model inputs'!X108</f>
        <v>425258.8888888888</v>
      </c>
      <c r="Y36" s="23">
        <f>'Model inputs'!Y85-'Model inputs'!Y108</f>
        <v>461852.2222222222</v>
      </c>
      <c r="Z36" s="23">
        <f>'Model inputs'!Z85-'Model inputs'!Z108</f>
        <v>499000</v>
      </c>
      <c r="AA36" s="23">
        <f>'Model inputs'!AA85-'Model inputs'!AA108</f>
        <v>532509.2361111111</v>
      </c>
      <c r="AB36" s="23">
        <f>'Model inputs'!AB85-'Model inputs'!AB108</f>
        <v>566503.6111111112</v>
      </c>
      <c r="AC36" s="23">
        <f>'Model inputs'!AC85-'Model inputs'!AC108</f>
        <v>600983.125</v>
      </c>
      <c r="AD36" s="23">
        <f>'Model inputs'!AD85-'Model inputs'!AD108</f>
        <v>635947.7777777778</v>
      </c>
      <c r="AE36" s="23">
        <f>'Model inputs'!AE85-'Model inputs'!AE108</f>
        <v>671397.5694444444</v>
      </c>
      <c r="AF36" s="23">
        <f>'Model inputs'!AF85-'Model inputs'!AF108</f>
        <v>707332.5</v>
      </c>
      <c r="AG36" s="23">
        <f>'Model inputs'!AG85-'Model inputs'!AG108</f>
        <v>734950.7638888888</v>
      </c>
      <c r="AH36" s="23">
        <f>'Model inputs'!AH85-'Model inputs'!AH108</f>
        <v>762915.5555555556</v>
      </c>
      <c r="AI36" s="23">
        <f>'Model inputs'!AI85-'Model inputs'!AI108</f>
        <v>791226.875</v>
      </c>
      <c r="AJ36" s="23">
        <f>'Model inputs'!AJ85-'Model inputs'!AJ108</f>
        <v>819884.7222222222</v>
      </c>
      <c r="AK36" s="23">
        <f>'Model inputs'!AK85-'Model inputs'!AK108</f>
        <v>848889.0972222224</v>
      </c>
      <c r="AL36" s="23">
        <f>'Model inputs'!AL85-'Model inputs'!AL108</f>
        <v>878240</v>
      </c>
    </row>
    <row r="37">
      <c r="A37" t="inlineStr" s="25">
        <is>
          <t xml:space="preserve">Gross profit · POA — Monthly financial forecast</t>
        </is>
      </c>
      <c r="B37" s="23">
        <v>0</v>
      </c>
      <c r="C37" s="23">
        <f>IF('Model inputs'!C36="","",'Model inputs'!C36)</f>
        <v>3513.791666666667</v>
      </c>
      <c r="D37" s="23">
        <f>IF('Model inputs'!D36="","",'Model inputs'!D36)</f>
        <v>7069.166666666666</v>
      </c>
      <c r="E37" s="23">
        <f>IF('Model inputs'!E36="","",'Model inputs'!E36)</f>
        <v>10666.125</v>
      </c>
      <c r="F37" s="23">
        <f>IF('Model inputs'!F36="","",'Model inputs'!F36)</f>
        <v>14304.666666666668</v>
      </c>
      <c r="G37" s="23">
        <f>IF('Model inputs'!G36="","",'Model inputs'!G36)</f>
        <v>17984.791666666664</v>
      </c>
      <c r="H37" s="23">
        <f>IF('Model inputs'!H36="","",'Model inputs'!H36)</f>
        <v>21706.5</v>
      </c>
      <c r="I37" s="23">
        <f>IF('Model inputs'!I36="","",'Model inputs'!I36)</f>
        <v>32243.884680134677</v>
      </c>
      <c r="J37" s="23">
        <f>IF('Model inputs'!J36="","",'Model inputs'!J36)</f>
        <v>43328.99326599326</v>
      </c>
      <c r="K37" s="23">
        <f>IF('Model inputs'!K36="","",'Model inputs'!K36)</f>
        <v>54961.82575757576</v>
      </c>
      <c r="L37" s="23">
        <f>IF('Model inputs'!L36="","",'Model inputs'!L36)</f>
        <v>67142.38215488214</v>
      </c>
      <c r="M37" s="23">
        <f>IF('Model inputs'!M36="","",'Model inputs'!M36)</f>
        <v>79870.66245791246</v>
      </c>
      <c r="N37" s="23">
        <f>IF('Model inputs'!N36="","",'Model inputs'!N36)</f>
        <v>93146.66666666666</v>
      </c>
      <c r="O37" s="23">
        <f>IF('Model inputs'!O36="","",'Model inputs'!O36)</f>
        <v>122353.7079124579</v>
      </c>
      <c r="P37" s="23">
        <f>IF('Model inputs'!P36="","",'Model inputs'!P36)</f>
        <v>152630.15488215483</v>
      </c>
      <c r="Q37" s="23">
        <f>IF('Model inputs'!Q36="","",'Model inputs'!Q36)</f>
        <v>183976.00757575757</v>
      </c>
      <c r="R37" s="23">
        <f>IF('Model inputs'!R36="","",'Model inputs'!R36)</f>
        <v>216391.265993266</v>
      </c>
      <c r="S37" s="23">
        <f>IF('Model inputs'!S36="","",'Model inputs'!S36)</f>
        <v>249875.93013468012</v>
      </c>
      <c r="T37" s="23">
        <f>IF('Model inputs'!T36="","",'Model inputs'!T36)</f>
        <v>284430</v>
      </c>
      <c r="U37" s="23">
        <f>IF('Model inputs'!U36="","",'Model inputs'!U36)</f>
        <v>318805.5555555556</v>
      </c>
      <c r="V37" s="23">
        <f>IF('Model inputs'!V36="","",'Model inputs'!V36)</f>
        <v>353735.5555555555</v>
      </c>
      <c r="W37" s="23">
        <f>IF('Model inputs'!W36="","",'Model inputs'!W36)</f>
        <v>389220</v>
      </c>
      <c r="X37" s="23">
        <f>IF('Model inputs'!X36="","",'Model inputs'!X36)</f>
        <v>425258.8888888888</v>
      </c>
      <c r="Y37" s="23">
        <f>IF('Model inputs'!Y36="","",'Model inputs'!Y36)</f>
        <v>461852.2222222222</v>
      </c>
      <c r="Z37" s="23">
        <f>IF('Model inputs'!Z36="","",'Model inputs'!Z36)</f>
        <v>499000</v>
      </c>
      <c r="AA37" s="23">
        <f>IF('Model inputs'!AA36="","",'Model inputs'!AA36)</f>
        <v>532509.2361111111</v>
      </c>
      <c r="AB37" s="23">
        <f>IF('Model inputs'!AB36="","",'Model inputs'!AB36)</f>
        <v>566503.6111111112</v>
      </c>
      <c r="AC37" s="23">
        <f>IF('Model inputs'!AC36="","",'Model inputs'!AC36)</f>
        <v>600983.125</v>
      </c>
      <c r="AD37" s="23">
        <f>IF('Model inputs'!AD36="","",'Model inputs'!AD36)</f>
        <v>635947.7777777778</v>
      </c>
      <c r="AE37" s="23">
        <f>IF('Model inputs'!AE36="","",'Model inputs'!AE36)</f>
        <v>671397.5694444444</v>
      </c>
      <c r="AF37" s="23">
        <f>IF('Model inputs'!AF36="","",'Model inputs'!AF36)</f>
        <v>707332.5</v>
      </c>
      <c r="AG37" s="23">
        <f>IF('Model inputs'!AG36="","",'Model inputs'!AG36)</f>
        <v>734950.7638888888</v>
      </c>
      <c r="AH37" s="23">
        <f>IF('Model inputs'!AH36="","",'Model inputs'!AH36)</f>
        <v>762915.5555555556</v>
      </c>
      <c r="AI37" s="23">
        <f>IF('Model inputs'!AI36="","",'Model inputs'!AI36)</f>
        <v>791226.875</v>
      </c>
      <c r="AJ37" s="23">
        <f>IF('Model inputs'!AJ36="","",'Model inputs'!AJ36)</f>
        <v>819884.7222222222</v>
      </c>
      <c r="AK37" s="23">
        <f>IF('Model inputs'!AK36="","",'Model inputs'!AK36)</f>
        <v>848889.0972222224</v>
      </c>
      <c r="AL37" s="23">
        <f>IF('Model inputs'!AL36="","",'Model inputs'!AL36)</f>
        <v>878240</v>
      </c>
    </row>
    <row r="38">
      <c r="A38" t="inlineStr" s="25">
        <is>
          <t xml:space="preserve">Incident volume per protocol · POA — Monthly financial forecast</t>
        </is>
      </c>
      <c r="AM38" s="23">
        <f>100</f>
        <v>100</v>
      </c>
    </row>
    <row r="39">
      <c r="A39" t="inlineStr" s="25">
        <is>
          <t xml:space="preserve">LLM cost per incident · POA — Monthly financial forecast</t>
        </is>
      </c>
      <c r="AM39" s="23">
        <f>0.038</f>
        <v>0.038</v>
      </c>
    </row>
    <row r="40">
      <c r="A40" t="inlineStr" s="25">
        <is>
          <t xml:space="preserve">Minimum cash reserve</t>
        </is>
      </c>
      <c r="AM40" s="23">
        <f>100000</f>
        <v>100000</v>
      </c>
    </row>
    <row r="41">
      <c r="A41" t="inlineStr" s="25">
        <is>
          <t xml:space="preserve">Monthly capex assumption · POA — Monthly financial forecast</t>
        </is>
      </c>
      <c r="AM41" s="23">
        <f>0</f>
        <v>0</v>
      </c>
    </row>
    <row r="42">
      <c r="A42" t="inlineStr" s="25">
        <is>
          <t xml:space="preserve">Monthly financing assumption · POA — Monthly financial forecast</t>
        </is>
      </c>
      <c r="AM42" s="23">
        <f>0</f>
        <v>0</v>
      </c>
    </row>
    <row r="43">
      <c r="A43" t="inlineStr" s="25">
        <is>
          <t xml:space="preserve">Monthly subscription price · POA — Monthly financial forecast</t>
        </is>
      </c>
      <c r="AM43" s="23">
        <f>3500</f>
        <v>3500</v>
      </c>
    </row>
    <row r="44">
      <c r="A44" t="inlineStr" s="25">
        <is>
          <t xml:space="preserve">Net cash flow · POA — Three year summary</t>
        </is>
      </c>
      <c r="C44" s="23">
        <f>'Model inputs'!C91-'Model inputs'!C107+'Model inputs'!C94</f>
        <v>-17769.541666666668</v>
      </c>
      <c r="D44" s="23">
        <f>'Model inputs'!D91-'Model inputs'!D107+'Model inputs'!D94</f>
        <v>-16516.547619047622</v>
      </c>
      <c r="E44" s="23">
        <f>'Model inputs'!E91-'Model inputs'!E107+'Model inputs'!E94</f>
        <v>-15221.970238095237</v>
      </c>
      <c r="F44" s="23">
        <f>'Model inputs'!F91-'Model inputs'!F107+'Model inputs'!F94</f>
        <v>-13885.809523809525</v>
      </c>
      <c r="G44" s="23">
        <f>'Model inputs'!G91-'Model inputs'!G107+'Model inputs'!G94</f>
        <v>-12508.065476190477</v>
      </c>
      <c r="H44" s="23">
        <f>'Model inputs'!H91-'Model inputs'!H107+'Model inputs'!H94</f>
        <v>-11088.738095238092</v>
      </c>
      <c r="I44" s="23">
        <f>'Model inputs'!I91-'Model inputs'!I107+'Model inputs'!I94</f>
        <v>-20320.401034151037</v>
      </c>
      <c r="J44" s="23">
        <f>'Model inputs'!J91-'Model inputs'!J107+'Model inputs'!J94</f>
        <v>-14036.086099086104</v>
      </c>
      <c r="K44" s="23">
        <f>'Model inputs'!K91-'Model inputs'!K107+'Model inputs'!K94</f>
        <v>-7204.047258297265</v>
      </c>
      <c r="L44" s="23">
        <f>'Model inputs'!L91-'Model inputs'!L107+'Model inputs'!L94</f>
        <v>175.71548821550095</v>
      </c>
      <c r="M44" s="23">
        <f>'Model inputs'!M91-'Model inputs'!M107+'Model inputs'!M94</f>
        <v>8103.2021404521365</v>
      </c>
      <c r="N44" s="23">
        <f>'Model inputs'!N91-'Model inputs'!N107+'Model inputs'!N94</f>
        <v>16578.412698412678</v>
      </c>
      <c r="O44" s="23">
        <f>'Model inputs'!O91-'Model inputs'!O107+'Model inputs'!O94</f>
        <v>3067.993626743628</v>
      </c>
      <c r="P44" s="23">
        <f>'Model inputs'!P91-'Model inputs'!P107+'Model inputs'!P94</f>
        <v>23557.13900913899</v>
      </c>
      <c r="Q44" s="23">
        <f>'Model inputs'!Q91-'Model inputs'!Q107+'Model inputs'!Q94</f>
        <v>45115.690115440084</v>
      </c>
      <c r="R44" s="23">
        <f>'Model inputs'!R91-'Model inputs'!R107+'Model inputs'!R94</f>
        <v>67743.646945647</v>
      </c>
      <c r="S44" s="23">
        <f>'Model inputs'!S91-'Model inputs'!S107+'Model inputs'!S94</f>
        <v>91441.00949975947</v>
      </c>
      <c r="T44" s="23">
        <f>'Model inputs'!T91-'Model inputs'!T107+'Model inputs'!T94</f>
        <v>116207.77777777775</v>
      </c>
      <c r="U44" s="23">
        <f>'Model inputs'!U91-'Model inputs'!U107+'Model inputs'!U94</f>
        <v>139162.69841269843</v>
      </c>
      <c r="V44" s="23">
        <f>'Model inputs'!V91-'Model inputs'!V107+'Model inputs'!V94</f>
        <v>165665.71428571432</v>
      </c>
      <c r="W44" s="23">
        <f>'Model inputs'!W91-'Model inputs'!W107+'Model inputs'!W94</f>
        <v>192723.17460317456</v>
      </c>
      <c r="X44" s="23">
        <f>'Model inputs'!X91-'Model inputs'!X107+'Model inputs'!X94</f>
        <v>220335.07936507944</v>
      </c>
      <c r="Y44" s="23">
        <f>'Model inputs'!Y91-'Model inputs'!Y107+'Model inputs'!Y94</f>
        <v>248501.42857142852</v>
      </c>
      <c r="Z44" s="23">
        <f>'Model inputs'!Z91-'Model inputs'!Z107+'Model inputs'!Z94</f>
        <v>277222.2222222222</v>
      </c>
      <c r="AA44" s="23">
        <f>'Model inputs'!AA91-'Model inputs'!AA107+'Model inputs'!AA94</f>
        <v>311104.47420634923</v>
      </c>
      <c r="AB44" s="23">
        <f>'Model inputs'!AB91-'Model inputs'!AB107+'Model inputs'!AB94</f>
        <v>337987.7380952381</v>
      </c>
      <c r="AC44" s="23">
        <f>'Model inputs'!AC91-'Model inputs'!AC107+'Model inputs'!AC94</f>
        <v>365356.1408730159</v>
      </c>
      <c r="AD44" s="23">
        <f>'Model inputs'!AD91-'Model inputs'!AD107+'Model inputs'!AD94</f>
        <v>393209.6825396826</v>
      </c>
      <c r="AE44" s="23">
        <f>'Model inputs'!AE91-'Model inputs'!AE107+'Model inputs'!AE94</f>
        <v>421548.3630952381</v>
      </c>
      <c r="AF44" s="23">
        <f>'Model inputs'!AF91-'Model inputs'!AF107+'Model inputs'!AF94</f>
        <v>450372.1825396824</v>
      </c>
      <c r="AG44" s="23">
        <f>'Model inputs'!AG91-'Model inputs'!AG107+'Model inputs'!AG94</f>
        <v>487046.001984127</v>
      </c>
      <c r="AH44" s="23">
        <f>'Model inputs'!AH91-'Model inputs'!AH107+'Model inputs'!AH94</f>
        <v>509098.09523809515</v>
      </c>
      <c r="AI44" s="23">
        <f>'Model inputs'!AI91-'Model inputs'!AI107+'Model inputs'!AI94</f>
        <v>531496.7162698414</v>
      </c>
      <c r="AJ44" s="23">
        <f>'Model inputs'!AJ91-'Model inputs'!AJ107+'Model inputs'!AJ94</f>
        <v>554241.8650793652</v>
      </c>
      <c r="AK44" s="23">
        <f>'Model inputs'!AK91-'Model inputs'!AK107+'Model inputs'!AK94</f>
        <v>577333.5416666665</v>
      </c>
      <c r="AL44" s="23">
        <f>'Model inputs'!AL91-'Model inputs'!AL107+'Model inputs'!AL94</f>
        <v>600771.7460317462</v>
      </c>
    </row>
    <row r="45">
      <c r="A45" t="inlineStr" s="25">
        <is>
          <t xml:space="preserve">Net cash flow · POA — Monthly financial forecast</t>
        </is>
      </c>
      <c r="B45" s="23">
        <v>0</v>
      </c>
      <c r="C45" s="23">
        <f>IF('Model inputs'!C44="","",'Model inputs'!C44)</f>
        <v>-17769.541666666668</v>
      </c>
      <c r="D45" s="23">
        <f>IF('Model inputs'!D44="","",'Model inputs'!D44)</f>
        <v>-16516.547619047622</v>
      </c>
      <c r="E45" s="23">
        <f>IF('Model inputs'!E44="","",'Model inputs'!E44)</f>
        <v>-15221.970238095237</v>
      </c>
      <c r="F45" s="23">
        <f>IF('Model inputs'!F44="","",'Model inputs'!F44)</f>
        <v>-13885.809523809525</v>
      </c>
      <c r="G45" s="23">
        <f>IF('Model inputs'!G44="","",'Model inputs'!G44)</f>
        <v>-12508.065476190477</v>
      </c>
      <c r="H45" s="23">
        <f>IF('Model inputs'!H44="","",'Model inputs'!H44)</f>
        <v>-11088.738095238092</v>
      </c>
      <c r="I45" s="23">
        <f>IF('Model inputs'!I44="","",'Model inputs'!I44)</f>
        <v>-20320.401034151037</v>
      </c>
      <c r="J45" s="23">
        <f>IF('Model inputs'!J44="","",'Model inputs'!J44)</f>
        <v>-14036.086099086104</v>
      </c>
      <c r="K45" s="23">
        <f>IF('Model inputs'!K44="","",'Model inputs'!K44)</f>
        <v>-7204.047258297265</v>
      </c>
      <c r="L45" s="23">
        <f>IF('Model inputs'!L44="","",'Model inputs'!L44)</f>
        <v>175.71548821550095</v>
      </c>
      <c r="M45" s="23">
        <f>IF('Model inputs'!M44="","",'Model inputs'!M44)</f>
        <v>8103.2021404521365</v>
      </c>
      <c r="N45" s="23">
        <f>IF('Model inputs'!N44="","",'Model inputs'!N44)</f>
        <v>16578.412698412678</v>
      </c>
      <c r="O45" s="23">
        <f>IF('Model inputs'!O44="","",'Model inputs'!O44)</f>
        <v>3067.993626743628</v>
      </c>
      <c r="P45" s="23">
        <f>IF('Model inputs'!P44="","",'Model inputs'!P44)</f>
        <v>23557.13900913899</v>
      </c>
      <c r="Q45" s="23">
        <f>IF('Model inputs'!Q44="","",'Model inputs'!Q44)</f>
        <v>45115.690115440084</v>
      </c>
      <c r="R45" s="23">
        <f>IF('Model inputs'!R44="","",'Model inputs'!R44)</f>
        <v>67743.646945647</v>
      </c>
      <c r="S45" s="23">
        <f>IF('Model inputs'!S44="","",'Model inputs'!S44)</f>
        <v>91441.00949975947</v>
      </c>
      <c r="T45" s="23">
        <f>IF('Model inputs'!T44="","",'Model inputs'!T44)</f>
        <v>116207.77777777775</v>
      </c>
      <c r="U45" s="23">
        <f>IF('Model inputs'!U44="","",'Model inputs'!U44)</f>
        <v>139162.69841269843</v>
      </c>
      <c r="V45" s="23">
        <f>IF('Model inputs'!V44="","",'Model inputs'!V44)</f>
        <v>165665.71428571432</v>
      </c>
      <c r="W45" s="23">
        <f>IF('Model inputs'!W44="","",'Model inputs'!W44)</f>
        <v>192723.17460317456</v>
      </c>
      <c r="X45" s="23">
        <f>IF('Model inputs'!X44="","",'Model inputs'!X44)</f>
        <v>220335.07936507944</v>
      </c>
      <c r="Y45" s="23">
        <f>IF('Model inputs'!Y44="","",'Model inputs'!Y44)</f>
        <v>248501.42857142852</v>
      </c>
      <c r="Z45" s="23">
        <f>IF('Model inputs'!Z44="","",'Model inputs'!Z44)</f>
        <v>277222.2222222222</v>
      </c>
      <c r="AA45" s="23">
        <f>IF('Model inputs'!AA44="","",'Model inputs'!AA44)</f>
        <v>311104.47420634923</v>
      </c>
      <c r="AB45" s="23">
        <f>IF('Model inputs'!AB44="","",'Model inputs'!AB44)</f>
        <v>337987.7380952381</v>
      </c>
      <c r="AC45" s="23">
        <f>IF('Model inputs'!AC44="","",'Model inputs'!AC44)</f>
        <v>365356.1408730159</v>
      </c>
      <c r="AD45" s="23">
        <f>IF('Model inputs'!AD44="","",'Model inputs'!AD44)</f>
        <v>393209.6825396826</v>
      </c>
      <c r="AE45" s="23">
        <f>IF('Model inputs'!AE44="","",'Model inputs'!AE44)</f>
        <v>421548.3630952381</v>
      </c>
      <c r="AF45" s="23">
        <f>IF('Model inputs'!AF44="","",'Model inputs'!AF44)</f>
        <v>450372.1825396824</v>
      </c>
      <c r="AG45" s="23">
        <f>IF('Model inputs'!AG44="","",'Model inputs'!AG44)</f>
        <v>487046.001984127</v>
      </c>
      <c r="AH45" s="23">
        <f>IF('Model inputs'!AH44="","",'Model inputs'!AH44)</f>
        <v>509098.09523809515</v>
      </c>
      <c r="AI45" s="23">
        <f>IF('Model inputs'!AI44="","",'Model inputs'!AI44)</f>
        <v>531496.7162698414</v>
      </c>
      <c r="AJ45" s="23">
        <f>IF('Model inputs'!AJ44="","",'Model inputs'!AJ44)</f>
        <v>554241.8650793652</v>
      </c>
      <c r="AK45" s="23">
        <f>IF('Model inputs'!AK44="","",'Model inputs'!AK44)</f>
        <v>577333.5416666665</v>
      </c>
      <c r="AL45" s="23">
        <f>IF('Model inputs'!AL44="","",'Model inputs'!AL44)</f>
        <v>600771.7460317462</v>
      </c>
    </row>
    <row r="46">
      <c r="A46" t="inlineStr" s="25">
        <is>
          <t xml:space="preserve">Opening cash assumption · POA — Monthly financial forecast</t>
        </is>
      </c>
      <c r="AM46" s="23">
        <f>500000</f>
        <v>500000</v>
      </c>
    </row>
    <row r="47">
      <c r="A47" t="inlineStr" s="25">
        <is>
          <t xml:space="preserve">Operating allocation share</t>
        </is>
      </c>
      <c r="AM47" s="22">
        <v>0</v>
      </c>
    </row>
    <row r="48" outlineLevel="1">
      <c r="A48" t="inlineStr" s="26">
        <is>
          <t xml:space="preserve">Operating allocation share &gt; General and administrative</t>
        </is>
      </c>
      <c r="AM48" s="23">
        <f>0.05</f>
        <v>0.05</v>
      </c>
    </row>
    <row r="49" outlineLevel="1">
      <c r="A49" t="inlineStr" s="26">
        <is>
          <t xml:space="preserve">Operating allocation share &gt; Legal security and insurance</t>
        </is>
      </c>
      <c r="AM49" s="23">
        <f>0.1</f>
        <v>0.1</v>
      </c>
    </row>
    <row r="50" outlineLevel="1">
      <c r="A50" t="inlineStr" s="26">
        <is>
          <t xml:space="preserve">Operating allocation share &gt; Payroll and benefits</t>
        </is>
      </c>
      <c r="AM50" s="23">
        <f>0.65</f>
        <v>0.65</v>
      </c>
    </row>
    <row r="51" outlineLevel="1">
      <c r="A51" t="inlineStr" s="26">
        <is>
          <t xml:space="preserve">Operating allocation share &gt; Product and infrastructure overhead</t>
        </is>
      </c>
      <c r="AM51" s="23">
        <f>0.12</f>
        <v>0.12</v>
      </c>
    </row>
    <row r="52" outlineLevel="1">
      <c r="A52" t="inlineStr" s="26">
        <is>
          <t xml:space="preserve">Operating allocation share &gt; Sales and marketing overhead</t>
        </is>
      </c>
      <c r="AM52" s="23">
        <f>0.08</f>
        <v>0.08</v>
      </c>
    </row>
    <row r="53">
      <c r="A53" t="inlineStr" s="25">
        <is>
          <t xml:space="preserve">Operating budget M0 · POA — Monthly financial forecast</t>
        </is>
      </c>
      <c r="AM53" s="23">
        <f>10000</f>
        <v>10000</v>
      </c>
    </row>
    <row r="54">
      <c r="A54" t="inlineStr" s="25">
        <is>
          <t xml:space="preserve">Operating budget M12 · POA — Monthly financial forecast</t>
        </is>
      </c>
      <c r="AM54" s="23">
        <f>47800</f>
        <v>47800</v>
      </c>
    </row>
    <row r="55">
      <c r="A55" t="inlineStr" s="25">
        <is>
          <t xml:space="preserve">Operating budget M18 · POA — Monthly financial forecast</t>
        </is>
      </c>
      <c r="AM55" s="23">
        <f>98200</f>
        <v>98200</v>
      </c>
    </row>
    <row r="56">
      <c r="A56" t="inlineStr" s="25">
        <is>
          <t xml:space="preserve">Operating budget M24 · POA — Monthly financial forecast</t>
        </is>
      </c>
      <c r="AM56" s="23">
        <f>140000</f>
        <v>140000</v>
      </c>
    </row>
    <row r="57">
      <c r="A57" t="inlineStr" s="25">
        <is>
          <t xml:space="preserve">Operating budget M30 · POA — Monthly financial forecast</t>
        </is>
      </c>
      <c r="AM57" s="23">
        <f>175000</f>
        <v>175000</v>
      </c>
    </row>
    <row r="58">
      <c r="A58" t="inlineStr" s="25">
        <is>
          <t xml:space="preserve">Operating budget M36 · POA — Monthly financial forecast</t>
        </is>
      </c>
      <c r="AM58" s="23">
        <f>205000</f>
        <v>205000</v>
      </c>
    </row>
    <row r="59">
      <c r="A59" t="inlineStr" s="25">
        <is>
          <t xml:space="preserve">Operating budget M6 · POA — Monthly financial forecast</t>
        </is>
      </c>
      <c r="AM59" s="23">
        <f>22500</f>
        <v>22500</v>
      </c>
    </row>
    <row r="60">
      <c r="A60" t="inlineStr" s="25">
        <is>
          <t xml:space="preserve">Operating cost multiplier · POA — Monthly financial forecast</t>
        </is>
      </c>
      <c r="AM60" s="23">
        <f>1</f>
        <v>1</v>
      </c>
    </row>
    <row r="61">
      <c r="A61" t="inlineStr" s="25">
        <is>
          <t xml:space="preserve">Operating expenses by category · by  · POA — Three year summary</t>
        </is>
      </c>
      <c r="C61" s="23">
        <f>SUM('Model inputs'!C63,'Model inputs'!C64,'Model inputs'!C65,'Model inputs'!C66,'Model inputs'!C67)</f>
        <v>12083.333333333332</v>
      </c>
      <c r="D61" s="23">
        <f>SUM('Model inputs'!D63,'Model inputs'!D64,'Model inputs'!D65,'Model inputs'!D66,'Model inputs'!D67)</f>
        <v>14166.666666666668</v>
      </c>
      <c r="E61" s="23">
        <f>SUM('Model inputs'!E63,'Model inputs'!E64,'Model inputs'!E65,'Model inputs'!E66,'Model inputs'!E67)</f>
        <v>16250</v>
      </c>
      <c r="F61" s="23">
        <f>SUM('Model inputs'!F63,'Model inputs'!F64,'Model inputs'!F65,'Model inputs'!F66,'Model inputs'!F67)</f>
        <v>18333.333333333332</v>
      </c>
      <c r="G61" s="23">
        <f>SUM('Model inputs'!G63,'Model inputs'!G64,'Model inputs'!G65,'Model inputs'!G66,'Model inputs'!G67)</f>
        <v>20416.666666666664</v>
      </c>
      <c r="H61" s="23">
        <f>SUM('Model inputs'!H63,'Model inputs'!H64,'Model inputs'!H65,'Model inputs'!H66,'Model inputs'!H67)</f>
        <v>22500</v>
      </c>
      <c r="I61" s="23">
        <f>SUM('Model inputs'!I63,'Model inputs'!I64,'Model inputs'!I65,'Model inputs'!I66,'Model inputs'!I67)</f>
        <v>26716.666666666664</v>
      </c>
      <c r="J61" s="23">
        <f>SUM('Model inputs'!J63,'Model inputs'!J64,'Model inputs'!J65,'Model inputs'!J66,'Model inputs'!J67)</f>
        <v>30933.333333333336</v>
      </c>
      <c r="K61" s="23">
        <f>SUM('Model inputs'!K63,'Model inputs'!K64,'Model inputs'!K65,'Model inputs'!K66,'Model inputs'!K67)</f>
        <v>35150</v>
      </c>
      <c r="L61" s="23">
        <f>SUM('Model inputs'!L63,'Model inputs'!L64,'Model inputs'!L65,'Model inputs'!L66,'Model inputs'!L67)</f>
        <v>39366.666666666664</v>
      </c>
      <c r="M61" s="23">
        <f>SUM('Model inputs'!M63,'Model inputs'!M64,'Model inputs'!M65,'Model inputs'!M66,'Model inputs'!M67)</f>
        <v>43583.33333333333</v>
      </c>
      <c r="N61" s="23">
        <f>SUM('Model inputs'!N63,'Model inputs'!N64,'Model inputs'!N65,'Model inputs'!N66,'Model inputs'!N67)</f>
        <v>47800</v>
      </c>
      <c r="O61" s="23">
        <f>SUM('Model inputs'!O63,'Model inputs'!O64,'Model inputs'!O65,'Model inputs'!O66,'Model inputs'!O67)</f>
        <v>56200</v>
      </c>
      <c r="P61" s="23">
        <f>SUM('Model inputs'!P63,'Model inputs'!P64,'Model inputs'!P65,'Model inputs'!P66,'Model inputs'!P67)</f>
        <v>64600</v>
      </c>
      <c r="Q61" s="23">
        <f>SUM('Model inputs'!Q63,'Model inputs'!Q64,'Model inputs'!Q65,'Model inputs'!Q66,'Model inputs'!Q67)</f>
        <v>73000</v>
      </c>
      <c r="R61" s="23">
        <f>SUM('Model inputs'!R63,'Model inputs'!R64,'Model inputs'!R65,'Model inputs'!R66,'Model inputs'!R67)</f>
        <v>81400</v>
      </c>
      <c r="S61" s="23">
        <f>SUM('Model inputs'!S63,'Model inputs'!S64,'Model inputs'!S65,'Model inputs'!S66,'Model inputs'!S67)</f>
        <v>89800</v>
      </c>
      <c r="T61" s="23">
        <f>SUM('Model inputs'!T63,'Model inputs'!T64,'Model inputs'!T65,'Model inputs'!T66,'Model inputs'!T67)</f>
        <v>98200</v>
      </c>
      <c r="U61" s="23">
        <f>SUM('Model inputs'!U63,'Model inputs'!U64,'Model inputs'!U65,'Model inputs'!U66,'Model inputs'!U67)</f>
        <v>105166.66666666667</v>
      </c>
      <c r="V61" s="23">
        <f>SUM('Model inputs'!V63,'Model inputs'!V64,'Model inputs'!V65,'Model inputs'!V66,'Model inputs'!V67)</f>
        <v>112133.33333333334</v>
      </c>
      <c r="W61" s="23">
        <f>SUM('Model inputs'!W63,'Model inputs'!W64,'Model inputs'!W65,'Model inputs'!W66,'Model inputs'!W67)</f>
        <v>119100</v>
      </c>
      <c r="X61" s="23">
        <f>SUM('Model inputs'!X63,'Model inputs'!X64,'Model inputs'!X65,'Model inputs'!X66,'Model inputs'!X67)</f>
        <v>126066.66666666666</v>
      </c>
      <c r="Y61" s="23">
        <f>SUM('Model inputs'!Y63,'Model inputs'!Y64,'Model inputs'!Y65,'Model inputs'!Y66,'Model inputs'!Y67)</f>
        <v>133033.3333333333</v>
      </c>
      <c r="Z61" s="23">
        <f>SUM('Model inputs'!Z63,'Model inputs'!Z64,'Model inputs'!Z65,'Model inputs'!Z66,'Model inputs'!Z67)</f>
        <v>140000</v>
      </c>
      <c r="AA61" s="23">
        <f>SUM('Model inputs'!AA63,'Model inputs'!AA64,'Model inputs'!AA65,'Model inputs'!AA66,'Model inputs'!AA67)</f>
        <v>145833.33333333334</v>
      </c>
      <c r="AB61" s="23">
        <f>SUM('Model inputs'!AB63,'Model inputs'!AB64,'Model inputs'!AB65,'Model inputs'!AB66,'Model inputs'!AB67)</f>
        <v>151666.66666666666</v>
      </c>
      <c r="AC61" s="23">
        <f>SUM('Model inputs'!AC63,'Model inputs'!AC64,'Model inputs'!AC65,'Model inputs'!AC66,'Model inputs'!AC67)</f>
        <v>157500</v>
      </c>
      <c r="AD61" s="23">
        <f>SUM('Model inputs'!AD63,'Model inputs'!AD64,'Model inputs'!AD65,'Model inputs'!AD66,'Model inputs'!AD67)</f>
        <v>163333.33333333334</v>
      </c>
      <c r="AE61" s="23">
        <f>SUM('Model inputs'!AE63,'Model inputs'!AE64,'Model inputs'!AE65,'Model inputs'!AE66,'Model inputs'!AE67)</f>
        <v>169166.66666666666</v>
      </c>
      <c r="AF61" s="23">
        <f>SUM('Model inputs'!AF63,'Model inputs'!AF64,'Model inputs'!AF65,'Model inputs'!AF66,'Model inputs'!AF67)</f>
        <v>175000</v>
      </c>
      <c r="AG61" s="23">
        <f>SUM('Model inputs'!AG63,'Model inputs'!AG64,'Model inputs'!AG65,'Model inputs'!AG66,'Model inputs'!AG67)</f>
        <v>180000</v>
      </c>
      <c r="AH61" s="23">
        <f>SUM('Model inputs'!AH63,'Model inputs'!AH64,'Model inputs'!AH65,'Model inputs'!AH66,'Model inputs'!AH67)</f>
        <v>185000</v>
      </c>
      <c r="AI61" s="23">
        <f>SUM('Model inputs'!AI63,'Model inputs'!AI64,'Model inputs'!AI65,'Model inputs'!AI66,'Model inputs'!AI67)</f>
        <v>190000</v>
      </c>
      <c r="AJ61" s="23">
        <f>SUM('Model inputs'!AJ63,'Model inputs'!AJ64,'Model inputs'!AJ65,'Model inputs'!AJ66,'Model inputs'!AJ67)</f>
        <v>195000</v>
      </c>
      <c r="AK61" s="23">
        <f>SUM('Model inputs'!AK63,'Model inputs'!AK64,'Model inputs'!AK65,'Model inputs'!AK66,'Model inputs'!AK67)</f>
        <v>200000</v>
      </c>
      <c r="AL61" s="23">
        <f>SUM('Model inputs'!AL63,'Model inputs'!AL64,'Model inputs'!AL65,'Model inputs'!AL66,'Model inputs'!AL67)</f>
        <v>205000</v>
      </c>
    </row>
    <row r="62">
      <c r="A62" t="inlineStr" s="25">
        <is>
          <t xml:space="preserve">Operating expenses by category</t>
        </is>
      </c>
      <c r="C62" s="22">
        <f>IF('Model inputs'!C61="","",'Model inputs'!C61)</f>
        <v>12083.333333333332</v>
      </c>
      <c r="D62" s="22">
        <f>IF('Model inputs'!D61="","",'Model inputs'!D61)</f>
        <v>14166.666666666668</v>
      </c>
      <c r="E62" s="22">
        <f>IF('Model inputs'!E61="","",'Model inputs'!E61)</f>
        <v>16250</v>
      </c>
      <c r="F62" s="22">
        <f>IF('Model inputs'!F61="","",'Model inputs'!F61)</f>
        <v>18333.333333333332</v>
      </c>
      <c r="G62" s="22">
        <f>IF('Model inputs'!G61="","",'Model inputs'!G61)</f>
        <v>20416.666666666664</v>
      </c>
      <c r="H62" s="22">
        <f>IF('Model inputs'!H61="","",'Model inputs'!H61)</f>
        <v>22500</v>
      </c>
      <c r="I62" s="22">
        <f>IF('Model inputs'!I61="","",'Model inputs'!I61)</f>
        <v>26716.666666666664</v>
      </c>
      <c r="J62" s="22">
        <f>IF('Model inputs'!J61="","",'Model inputs'!J61)</f>
        <v>30933.333333333336</v>
      </c>
      <c r="K62" s="22">
        <f>IF('Model inputs'!K61="","",'Model inputs'!K61)</f>
        <v>35150</v>
      </c>
      <c r="L62" s="22">
        <f>IF('Model inputs'!L61="","",'Model inputs'!L61)</f>
        <v>39366.666666666664</v>
      </c>
      <c r="M62" s="22">
        <f>IF('Model inputs'!M61="","",'Model inputs'!M61)</f>
        <v>43583.33333333333</v>
      </c>
      <c r="N62" s="22">
        <f>IF('Model inputs'!N61="","",'Model inputs'!N61)</f>
        <v>47800</v>
      </c>
      <c r="O62" s="22">
        <f>IF('Model inputs'!O61="","",'Model inputs'!O61)</f>
        <v>56200</v>
      </c>
      <c r="P62" s="22">
        <f>IF('Model inputs'!P61="","",'Model inputs'!P61)</f>
        <v>64600</v>
      </c>
      <c r="Q62" s="22">
        <f>IF('Model inputs'!Q61="","",'Model inputs'!Q61)</f>
        <v>73000</v>
      </c>
      <c r="R62" s="22">
        <f>IF('Model inputs'!R61="","",'Model inputs'!R61)</f>
        <v>81400</v>
      </c>
      <c r="S62" s="22">
        <f>IF('Model inputs'!S61="","",'Model inputs'!S61)</f>
        <v>89800</v>
      </c>
      <c r="T62" s="22">
        <f>IF('Model inputs'!T61="","",'Model inputs'!T61)</f>
        <v>98200</v>
      </c>
      <c r="U62" s="22">
        <f>IF('Model inputs'!U61="","",'Model inputs'!U61)</f>
        <v>105166.66666666667</v>
      </c>
      <c r="V62" s="22">
        <f>IF('Model inputs'!V61="","",'Model inputs'!V61)</f>
        <v>112133.33333333334</v>
      </c>
      <c r="W62" s="22">
        <f>IF('Model inputs'!W61="","",'Model inputs'!W61)</f>
        <v>119100</v>
      </c>
      <c r="X62" s="22">
        <f>IF('Model inputs'!X61="","",'Model inputs'!X61)</f>
        <v>126066.66666666666</v>
      </c>
      <c r="Y62" s="22">
        <f>IF('Model inputs'!Y61="","",'Model inputs'!Y61)</f>
        <v>133033.3333333333</v>
      </c>
      <c r="Z62" s="22">
        <f>IF('Model inputs'!Z61="","",'Model inputs'!Z61)</f>
        <v>140000</v>
      </c>
      <c r="AA62" s="22">
        <f>IF('Model inputs'!AA61="","",'Model inputs'!AA61)</f>
        <v>145833.33333333334</v>
      </c>
      <c r="AB62" s="22">
        <f>IF('Model inputs'!AB61="","",'Model inputs'!AB61)</f>
        <v>151666.66666666666</v>
      </c>
      <c r="AC62" s="22">
        <f>IF('Model inputs'!AC61="","",'Model inputs'!AC61)</f>
        <v>157500</v>
      </c>
      <c r="AD62" s="22">
        <f>IF('Model inputs'!AD61="","",'Model inputs'!AD61)</f>
        <v>163333.33333333334</v>
      </c>
      <c r="AE62" s="22">
        <f>IF('Model inputs'!AE61="","",'Model inputs'!AE61)</f>
        <v>169166.66666666666</v>
      </c>
      <c r="AF62" s="22">
        <f>IF('Model inputs'!AF61="","",'Model inputs'!AF61)</f>
        <v>175000</v>
      </c>
      <c r="AG62" s="22">
        <f>IF('Model inputs'!AG61="","",'Model inputs'!AG61)</f>
        <v>180000</v>
      </c>
      <c r="AH62" s="22">
        <f>IF('Model inputs'!AH61="","",'Model inputs'!AH61)</f>
        <v>185000</v>
      </c>
      <c r="AI62" s="22">
        <f>IF('Model inputs'!AI61="","",'Model inputs'!AI61)</f>
        <v>190000</v>
      </c>
      <c r="AJ62" s="22">
        <f>IF('Model inputs'!AJ61="","",'Model inputs'!AJ61)</f>
        <v>195000</v>
      </c>
      <c r="AK62" s="22">
        <f>IF('Model inputs'!AK61="","",'Model inputs'!AK61)</f>
        <v>200000</v>
      </c>
      <c r="AL62" s="22">
        <f>IF('Model inputs'!AL61="","",'Model inputs'!AL61)</f>
        <v>205000</v>
      </c>
    </row>
    <row r="63" outlineLevel="1">
      <c r="A63" t="inlineStr" s="26">
        <is>
          <t xml:space="preserve">Operating expenses by category &gt; General and administrative</t>
        </is>
      </c>
      <c r="C63" s="23">
        <f>'Model inputs'!C98*'Model inputs'!AM48</f>
        <v>604.1666666666666</v>
      </c>
      <c r="D63" s="23">
        <f>'Model inputs'!D98*'Model inputs'!AM48</f>
        <v>708.3333333333334</v>
      </c>
      <c r="E63" s="23">
        <f>'Model inputs'!E98*'Model inputs'!AM48</f>
        <v>812.5</v>
      </c>
      <c r="F63" s="23">
        <f>'Model inputs'!F98*'Model inputs'!AM48</f>
        <v>916.6666666666666</v>
      </c>
      <c r="G63" s="23">
        <f>'Model inputs'!G98*'Model inputs'!AM48</f>
        <v>1020.8333333333333</v>
      </c>
      <c r="H63" s="23">
        <f>'Model inputs'!H98*'Model inputs'!AM48</f>
        <v>1125</v>
      </c>
      <c r="I63" s="23">
        <f>'Model inputs'!I98*'Model inputs'!AM48</f>
        <v>1335.8333333333333</v>
      </c>
      <c r="J63" s="23">
        <f>'Model inputs'!J98*'Model inputs'!AM48</f>
        <v>1546.6666666666667</v>
      </c>
      <c r="K63" s="23">
        <f>'Model inputs'!K98*'Model inputs'!AM48</f>
        <v>1757.5</v>
      </c>
      <c r="L63" s="23">
        <f>'Model inputs'!L98*'Model inputs'!AM48</f>
        <v>1968.3333333333333</v>
      </c>
      <c r="M63" s="23">
        <f>'Model inputs'!M98*'Model inputs'!AM48</f>
        <v>2179.1666666666665</v>
      </c>
      <c r="N63" s="23">
        <f>'Model inputs'!N98*'Model inputs'!AM48</f>
        <v>2390</v>
      </c>
      <c r="O63" s="23">
        <f>'Model inputs'!O98*'Model inputs'!AM48</f>
        <v>2810</v>
      </c>
      <c r="P63" s="23">
        <f>'Model inputs'!P98*'Model inputs'!AM48</f>
        <v>3230</v>
      </c>
      <c r="Q63" s="23">
        <f>'Model inputs'!Q98*'Model inputs'!AM48</f>
        <v>3650</v>
      </c>
      <c r="R63" s="23">
        <f>'Model inputs'!R98*'Model inputs'!AM48</f>
        <v>4070</v>
      </c>
      <c r="S63" s="23">
        <f>'Model inputs'!S98*'Model inputs'!AM48</f>
        <v>4490</v>
      </c>
      <c r="T63" s="23">
        <f>'Model inputs'!T98*'Model inputs'!AM48</f>
        <v>4910</v>
      </c>
      <c r="U63" s="23">
        <f>'Model inputs'!U98*'Model inputs'!AM48</f>
        <v>5258.333333333334</v>
      </c>
      <c r="V63" s="23">
        <f>'Model inputs'!V98*'Model inputs'!AM48</f>
        <v>5606.666666666667</v>
      </c>
      <c r="W63" s="23">
        <f>'Model inputs'!W98*'Model inputs'!AM48</f>
        <v>5955</v>
      </c>
      <c r="X63" s="23">
        <f>'Model inputs'!X98*'Model inputs'!AM48</f>
        <v>6303.333333333333</v>
      </c>
      <c r="Y63" s="23">
        <f>'Model inputs'!Y98*'Model inputs'!AM48</f>
        <v>6651.666666666666</v>
      </c>
      <c r="Z63" s="23">
        <f>'Model inputs'!Z98*'Model inputs'!AM48</f>
        <v>7000</v>
      </c>
      <c r="AA63" s="23">
        <f>'Model inputs'!AA98*'Model inputs'!AM48</f>
        <v>7291.666666666668</v>
      </c>
      <c r="AB63" s="23">
        <f>'Model inputs'!AB98*'Model inputs'!AM48</f>
        <v>7583.333333333333</v>
      </c>
      <c r="AC63" s="23">
        <f>'Model inputs'!AC98*'Model inputs'!AM48</f>
        <v>7875</v>
      </c>
      <c r="AD63" s="23">
        <f>'Model inputs'!AD98*'Model inputs'!AM48</f>
        <v>8166.666666666668</v>
      </c>
      <c r="AE63" s="23">
        <f>'Model inputs'!AE98*'Model inputs'!AM48</f>
        <v>8458.333333333334</v>
      </c>
      <c r="AF63" s="23">
        <f>'Model inputs'!AF98*'Model inputs'!AM48</f>
        <v>8750</v>
      </c>
      <c r="AG63" s="23">
        <f>'Model inputs'!AG98*'Model inputs'!AM48</f>
        <v>9000</v>
      </c>
      <c r="AH63" s="23">
        <f>'Model inputs'!AH98*'Model inputs'!AM48</f>
        <v>9250</v>
      </c>
      <c r="AI63" s="23">
        <f>'Model inputs'!AI98*'Model inputs'!AM48</f>
        <v>9500</v>
      </c>
      <c r="AJ63" s="23">
        <f>'Model inputs'!AJ98*'Model inputs'!AM48</f>
        <v>9750</v>
      </c>
      <c r="AK63" s="23">
        <f>'Model inputs'!AK98*'Model inputs'!AM48</f>
        <v>10000</v>
      </c>
      <c r="AL63" s="23">
        <f>'Model inputs'!AL98*'Model inputs'!AM48</f>
        <v>10250</v>
      </c>
    </row>
    <row r="64" outlineLevel="1">
      <c r="A64" t="inlineStr" s="26">
        <is>
          <t xml:space="preserve">Operating expenses by category &gt; Legal security and insurance</t>
        </is>
      </c>
      <c r="C64" s="23">
        <f>'Model inputs'!C98*'Model inputs'!AM49</f>
        <v>1208.3333333333333</v>
      </c>
      <c r="D64" s="23">
        <f>'Model inputs'!D98*'Model inputs'!AM49</f>
        <v>1416.6666666666667</v>
      </c>
      <c r="E64" s="23">
        <f>'Model inputs'!E98*'Model inputs'!AM49</f>
        <v>1625</v>
      </c>
      <c r="F64" s="23">
        <f>'Model inputs'!F98*'Model inputs'!AM49</f>
        <v>1833.3333333333333</v>
      </c>
      <c r="G64" s="23">
        <f>'Model inputs'!G98*'Model inputs'!AM49</f>
        <v>2041.6666666666665</v>
      </c>
      <c r="H64" s="23">
        <f>'Model inputs'!H98*'Model inputs'!AM49</f>
        <v>2250</v>
      </c>
      <c r="I64" s="23">
        <f>'Model inputs'!I98*'Model inputs'!AM49</f>
        <v>2671.6666666666665</v>
      </c>
      <c r="J64" s="23">
        <f>'Model inputs'!J98*'Model inputs'!AM49</f>
        <v>3093.3333333333335</v>
      </c>
      <c r="K64" s="23">
        <f>'Model inputs'!K98*'Model inputs'!AM49</f>
        <v>3515</v>
      </c>
      <c r="L64" s="23">
        <f>'Model inputs'!L98*'Model inputs'!AM49</f>
        <v>3936.6666666666665</v>
      </c>
      <c r="M64" s="23">
        <f>'Model inputs'!M98*'Model inputs'!AM49</f>
        <v>4358.333333333333</v>
      </c>
      <c r="N64" s="23">
        <f>'Model inputs'!N98*'Model inputs'!AM49</f>
        <v>4780</v>
      </c>
      <c r="O64" s="23">
        <f>'Model inputs'!O98*'Model inputs'!AM49</f>
        <v>5620</v>
      </c>
      <c r="P64" s="23">
        <f>'Model inputs'!P98*'Model inputs'!AM49</f>
        <v>6460</v>
      </c>
      <c r="Q64" s="23">
        <f>'Model inputs'!Q98*'Model inputs'!AM49</f>
        <v>7300</v>
      </c>
      <c r="R64" s="23">
        <f>'Model inputs'!R98*'Model inputs'!AM49</f>
        <v>8140</v>
      </c>
      <c r="S64" s="23">
        <f>'Model inputs'!S98*'Model inputs'!AM49</f>
        <v>8980</v>
      </c>
      <c r="T64" s="23">
        <f>'Model inputs'!T98*'Model inputs'!AM49</f>
        <v>9820</v>
      </c>
      <c r="U64" s="23">
        <f>'Model inputs'!U98*'Model inputs'!AM49</f>
        <v>10516.666666666668</v>
      </c>
      <c r="V64" s="23">
        <f>'Model inputs'!V98*'Model inputs'!AM49</f>
        <v>11213.333333333334</v>
      </c>
      <c r="W64" s="23">
        <f>'Model inputs'!W98*'Model inputs'!AM49</f>
        <v>11910</v>
      </c>
      <c r="X64" s="23">
        <f>'Model inputs'!X98*'Model inputs'!AM49</f>
        <v>12606.666666666666</v>
      </c>
      <c r="Y64" s="23">
        <f>'Model inputs'!Y98*'Model inputs'!AM49</f>
        <v>13303.333333333332</v>
      </c>
      <c r="Z64" s="23">
        <f>'Model inputs'!Z98*'Model inputs'!AM49</f>
        <v>14000</v>
      </c>
      <c r="AA64" s="23">
        <f>'Model inputs'!AA98*'Model inputs'!AM49</f>
        <v>14583.333333333336</v>
      </c>
      <c r="AB64" s="23">
        <f>'Model inputs'!AB98*'Model inputs'!AM49</f>
        <v>15166.666666666666</v>
      </c>
      <c r="AC64" s="23">
        <f>'Model inputs'!AC98*'Model inputs'!AM49</f>
        <v>15750</v>
      </c>
      <c r="AD64" s="23">
        <f>'Model inputs'!AD98*'Model inputs'!AM49</f>
        <v>16333.333333333336</v>
      </c>
      <c r="AE64" s="23">
        <f>'Model inputs'!AE98*'Model inputs'!AM49</f>
        <v>16916.666666666668</v>
      </c>
      <c r="AF64" s="23">
        <f>'Model inputs'!AF98*'Model inputs'!AM49</f>
        <v>17500</v>
      </c>
      <c r="AG64" s="23">
        <f>'Model inputs'!AG98*'Model inputs'!AM49</f>
        <v>18000</v>
      </c>
      <c r="AH64" s="23">
        <f>'Model inputs'!AH98*'Model inputs'!AM49</f>
        <v>18500</v>
      </c>
      <c r="AI64" s="23">
        <f>'Model inputs'!AI98*'Model inputs'!AM49</f>
        <v>19000</v>
      </c>
      <c r="AJ64" s="23">
        <f>'Model inputs'!AJ98*'Model inputs'!AM49</f>
        <v>19500</v>
      </c>
      <c r="AK64" s="23">
        <f>'Model inputs'!AK98*'Model inputs'!AM49</f>
        <v>20000</v>
      </c>
      <c r="AL64" s="23">
        <f>'Model inputs'!AL98*'Model inputs'!AM49</f>
        <v>20500</v>
      </c>
    </row>
    <row r="65" outlineLevel="1">
      <c r="A65" t="inlineStr" s="26">
        <is>
          <t xml:space="preserve">Operating expenses by category &gt; Payroll and benefits</t>
        </is>
      </c>
      <c r="C65" s="23">
        <f>'Model inputs'!C98*'Model inputs'!AM50</f>
        <v>7854.166666666666</v>
      </c>
      <c r="D65" s="23">
        <f>'Model inputs'!D98*'Model inputs'!AM50</f>
        <v>9208.333333333334</v>
      </c>
      <c r="E65" s="23">
        <f>'Model inputs'!E98*'Model inputs'!AM50</f>
        <v>10562.5</v>
      </c>
      <c r="F65" s="23">
        <f>'Model inputs'!F98*'Model inputs'!AM50</f>
        <v>11916.666666666666</v>
      </c>
      <c r="G65" s="23">
        <f>'Model inputs'!G98*'Model inputs'!AM50</f>
        <v>13270.833333333332</v>
      </c>
      <c r="H65" s="23">
        <f>'Model inputs'!H98*'Model inputs'!AM50</f>
        <v>14625</v>
      </c>
      <c r="I65" s="23">
        <f>'Model inputs'!I98*'Model inputs'!AM50</f>
        <v>17365.833333333332</v>
      </c>
      <c r="J65" s="23">
        <f>'Model inputs'!J98*'Model inputs'!AM50</f>
        <v>20106.666666666668</v>
      </c>
      <c r="K65" s="23">
        <f>'Model inputs'!K98*'Model inputs'!AM50</f>
        <v>22847.5</v>
      </c>
      <c r="L65" s="23">
        <f>'Model inputs'!L98*'Model inputs'!AM50</f>
        <v>25588.333333333332</v>
      </c>
      <c r="M65" s="23">
        <f>'Model inputs'!M98*'Model inputs'!AM50</f>
        <v>28329.166666666664</v>
      </c>
      <c r="N65" s="23">
        <f>'Model inputs'!N98*'Model inputs'!AM50</f>
        <v>31070</v>
      </c>
      <c r="O65" s="23">
        <f>'Model inputs'!O98*'Model inputs'!AM50</f>
        <v>36530</v>
      </c>
      <c r="P65" s="23">
        <f>'Model inputs'!P98*'Model inputs'!AM50</f>
        <v>41990</v>
      </c>
      <c r="Q65" s="23">
        <f>'Model inputs'!Q98*'Model inputs'!AM50</f>
        <v>47450</v>
      </c>
      <c r="R65" s="23">
        <f>'Model inputs'!R98*'Model inputs'!AM50</f>
        <v>52910</v>
      </c>
      <c r="S65" s="23">
        <f>'Model inputs'!S98*'Model inputs'!AM50</f>
        <v>58370</v>
      </c>
      <c r="T65" s="23">
        <f>'Model inputs'!T98*'Model inputs'!AM50</f>
        <v>63830</v>
      </c>
      <c r="U65" s="23">
        <f>'Model inputs'!U98*'Model inputs'!AM50</f>
        <v>68358.33333333334</v>
      </c>
      <c r="V65" s="23">
        <f>'Model inputs'!V98*'Model inputs'!AM50</f>
        <v>72886.66666666667</v>
      </c>
      <c r="W65" s="23">
        <f>'Model inputs'!W98*'Model inputs'!AM50</f>
        <v>77415</v>
      </c>
      <c r="X65" s="23">
        <f>'Model inputs'!X98*'Model inputs'!AM50</f>
        <v>81943.33333333333</v>
      </c>
      <c r="Y65" s="23">
        <f>'Model inputs'!Y98*'Model inputs'!AM50</f>
        <v>86471.66666666666</v>
      </c>
      <c r="Z65" s="23">
        <f>'Model inputs'!Z98*'Model inputs'!AM50</f>
        <v>91000</v>
      </c>
      <c r="AA65" s="23">
        <f>'Model inputs'!AA98*'Model inputs'!AM50</f>
        <v>94791.66666666667</v>
      </c>
      <c r="AB65" s="23">
        <f>'Model inputs'!AB98*'Model inputs'!AM50</f>
        <v>98583.33333333333</v>
      </c>
      <c r="AC65" s="23">
        <f>'Model inputs'!AC98*'Model inputs'!AM50</f>
        <v>102375</v>
      </c>
      <c r="AD65" s="23">
        <f>'Model inputs'!AD98*'Model inputs'!AM50</f>
        <v>106166.66666666667</v>
      </c>
      <c r="AE65" s="23">
        <f>'Model inputs'!AE98*'Model inputs'!AM50</f>
        <v>109958.33333333333</v>
      </c>
      <c r="AF65" s="23">
        <f>'Model inputs'!AF98*'Model inputs'!AM50</f>
        <v>113750</v>
      </c>
      <c r="AG65" s="23">
        <f>'Model inputs'!AG98*'Model inputs'!AM50</f>
        <v>117000</v>
      </c>
      <c r="AH65" s="23">
        <f>'Model inputs'!AH98*'Model inputs'!AM50</f>
        <v>120250</v>
      </c>
      <c r="AI65" s="23">
        <f>'Model inputs'!AI98*'Model inputs'!AM50</f>
        <v>123500</v>
      </c>
      <c r="AJ65" s="23">
        <f>'Model inputs'!AJ98*'Model inputs'!AM50</f>
        <v>126750</v>
      </c>
      <c r="AK65" s="23">
        <f>'Model inputs'!AK98*'Model inputs'!AM50</f>
        <v>130000</v>
      </c>
      <c r="AL65" s="23">
        <f>'Model inputs'!AL98*'Model inputs'!AM50</f>
        <v>133250</v>
      </c>
    </row>
    <row r="66" outlineLevel="1">
      <c r="A66" t="inlineStr" s="26">
        <is>
          <t xml:space="preserve">Operating expenses by category &gt; Product and infrastructure overhead</t>
        </is>
      </c>
      <c r="C66" s="23">
        <f>'Model inputs'!C98*'Model inputs'!AM51</f>
        <v>1449.9999999999998</v>
      </c>
      <c r="D66" s="23">
        <f>'Model inputs'!D98*'Model inputs'!AM51</f>
        <v>1699.9999999999998</v>
      </c>
      <c r="E66" s="23">
        <f>'Model inputs'!E98*'Model inputs'!AM51</f>
        <v>1950</v>
      </c>
      <c r="F66" s="23">
        <f>'Model inputs'!F98*'Model inputs'!AM51</f>
        <v>2200</v>
      </c>
      <c r="G66" s="23">
        <f>'Model inputs'!G98*'Model inputs'!AM51</f>
        <v>2449.9999999999995</v>
      </c>
      <c r="H66" s="23">
        <f>'Model inputs'!H98*'Model inputs'!AM51</f>
        <v>2700</v>
      </c>
      <c r="I66" s="23">
        <f>'Model inputs'!I98*'Model inputs'!AM51</f>
        <v>3205.9999999999995</v>
      </c>
      <c r="J66" s="23">
        <f>'Model inputs'!J98*'Model inputs'!AM51</f>
        <v>3711.9999999999995</v>
      </c>
      <c r="K66" s="23">
        <f>'Model inputs'!K98*'Model inputs'!AM51</f>
        <v>4218</v>
      </c>
      <c r="L66" s="23">
        <f>'Model inputs'!L98*'Model inputs'!AM51</f>
        <v>4723.999999999999</v>
      </c>
      <c r="M66" s="23">
        <f>'Model inputs'!M98*'Model inputs'!AM51</f>
        <v>5229.999999999999</v>
      </c>
      <c r="N66" s="23">
        <f>'Model inputs'!N98*'Model inputs'!AM51</f>
        <v>5736</v>
      </c>
      <c r="O66" s="23">
        <f>'Model inputs'!O98*'Model inputs'!AM51</f>
        <v>6744</v>
      </c>
      <c r="P66" s="23">
        <f>'Model inputs'!P98*'Model inputs'!AM51</f>
        <v>7752</v>
      </c>
      <c r="Q66" s="23">
        <f>'Model inputs'!Q98*'Model inputs'!AM51</f>
        <v>8760</v>
      </c>
      <c r="R66" s="23">
        <f>'Model inputs'!R98*'Model inputs'!AM51</f>
        <v>9768</v>
      </c>
      <c r="S66" s="23">
        <f>'Model inputs'!S98*'Model inputs'!AM51</f>
        <v>10776</v>
      </c>
      <c r="T66" s="23">
        <f>'Model inputs'!T98*'Model inputs'!AM51</f>
        <v>11784</v>
      </c>
      <c r="U66" s="23">
        <f>'Model inputs'!U98*'Model inputs'!AM51</f>
        <v>12620</v>
      </c>
      <c r="V66" s="23">
        <f>'Model inputs'!V98*'Model inputs'!AM51</f>
        <v>13455.999999999998</v>
      </c>
      <c r="W66" s="23">
        <f>'Model inputs'!W98*'Model inputs'!AM51</f>
        <v>14292</v>
      </c>
      <c r="X66" s="23">
        <f>'Model inputs'!X98*'Model inputs'!AM51</f>
        <v>15127.999999999998</v>
      </c>
      <c r="Y66" s="23">
        <f>'Model inputs'!Y98*'Model inputs'!AM51</f>
        <v>15963.999999999996</v>
      </c>
      <c r="Z66" s="23">
        <f>'Model inputs'!Z98*'Model inputs'!AM51</f>
        <v>16800</v>
      </c>
      <c r="AA66" s="23">
        <f>'Model inputs'!AA98*'Model inputs'!AM51</f>
        <v>17500</v>
      </c>
      <c r="AB66" s="23">
        <f>'Model inputs'!AB98*'Model inputs'!AM51</f>
        <v>18199.999999999996</v>
      </c>
      <c r="AC66" s="23">
        <f>'Model inputs'!AC98*'Model inputs'!AM51</f>
        <v>18900</v>
      </c>
      <c r="AD66" s="23">
        <f>'Model inputs'!AD98*'Model inputs'!AM51</f>
        <v>19600</v>
      </c>
      <c r="AE66" s="23">
        <f>'Model inputs'!AE98*'Model inputs'!AM51</f>
        <v>20299.999999999996</v>
      </c>
      <c r="AF66" s="23">
        <f>'Model inputs'!AF98*'Model inputs'!AM51</f>
        <v>21000</v>
      </c>
      <c r="AG66" s="23">
        <f>'Model inputs'!AG98*'Model inputs'!AM51</f>
        <v>21600</v>
      </c>
      <c r="AH66" s="23">
        <f>'Model inputs'!AH98*'Model inputs'!AM51</f>
        <v>22200</v>
      </c>
      <c r="AI66" s="23">
        <f>'Model inputs'!AI98*'Model inputs'!AM51</f>
        <v>22800</v>
      </c>
      <c r="AJ66" s="23">
        <f>'Model inputs'!AJ98*'Model inputs'!AM51</f>
        <v>23400</v>
      </c>
      <c r="AK66" s="23">
        <f>'Model inputs'!AK98*'Model inputs'!AM51</f>
        <v>24000</v>
      </c>
      <c r="AL66" s="23">
        <f>'Model inputs'!AL98*'Model inputs'!AM51</f>
        <v>24600</v>
      </c>
    </row>
    <row r="67" outlineLevel="1">
      <c r="A67" t="inlineStr" s="26">
        <is>
          <t xml:space="preserve">Operating expenses by category &gt; Sales and marketing overhead</t>
        </is>
      </c>
      <c r="C67" s="23">
        <f>'Model inputs'!C98*'Model inputs'!AM52</f>
        <v>966.6666666666666</v>
      </c>
      <c r="D67" s="23">
        <f>'Model inputs'!D98*'Model inputs'!AM52</f>
        <v>1133.3333333333333</v>
      </c>
      <c r="E67" s="23">
        <f>'Model inputs'!E98*'Model inputs'!AM52</f>
        <v>1300</v>
      </c>
      <c r="F67" s="23">
        <f>'Model inputs'!F98*'Model inputs'!AM52</f>
        <v>1466.6666666666665</v>
      </c>
      <c r="G67" s="23">
        <f>'Model inputs'!G98*'Model inputs'!AM52</f>
        <v>1633.3333333333333</v>
      </c>
      <c r="H67" s="23">
        <f>'Model inputs'!H98*'Model inputs'!AM52</f>
        <v>1800</v>
      </c>
      <c r="I67" s="23">
        <f>'Model inputs'!I98*'Model inputs'!AM52</f>
        <v>2137.333333333333</v>
      </c>
      <c r="J67" s="23">
        <f>'Model inputs'!J98*'Model inputs'!AM52</f>
        <v>2474.6666666666665</v>
      </c>
      <c r="K67" s="23">
        <f>'Model inputs'!K98*'Model inputs'!AM52</f>
        <v>2812</v>
      </c>
      <c r="L67" s="23">
        <f>'Model inputs'!L98*'Model inputs'!AM52</f>
        <v>3149.333333333333</v>
      </c>
      <c r="M67" s="23">
        <f>'Model inputs'!M98*'Model inputs'!AM52</f>
        <v>3486.6666666666665</v>
      </c>
      <c r="N67" s="23">
        <f>'Model inputs'!N98*'Model inputs'!AM52</f>
        <v>3824</v>
      </c>
      <c r="O67" s="23">
        <f>'Model inputs'!O98*'Model inputs'!AM52</f>
        <v>4496</v>
      </c>
      <c r="P67" s="23">
        <f>'Model inputs'!P98*'Model inputs'!AM52</f>
        <v>5168</v>
      </c>
      <c r="Q67" s="23">
        <f>'Model inputs'!Q98*'Model inputs'!AM52</f>
        <v>5840</v>
      </c>
      <c r="R67" s="23">
        <f>'Model inputs'!R98*'Model inputs'!AM52</f>
        <v>6512</v>
      </c>
      <c r="S67" s="23">
        <f>'Model inputs'!S98*'Model inputs'!AM52</f>
        <v>7184</v>
      </c>
      <c r="T67" s="23">
        <f>'Model inputs'!T98*'Model inputs'!AM52</f>
        <v>7856</v>
      </c>
      <c r="U67" s="23">
        <f>'Model inputs'!U98*'Model inputs'!AM52</f>
        <v>8413.333333333334</v>
      </c>
      <c r="V67" s="23">
        <f>'Model inputs'!V98*'Model inputs'!AM52</f>
        <v>8970.666666666666</v>
      </c>
      <c r="W67" s="23">
        <f>'Model inputs'!W98*'Model inputs'!AM52</f>
        <v>9528</v>
      </c>
      <c r="X67" s="23">
        <f>'Model inputs'!X98*'Model inputs'!AM52</f>
        <v>10085.333333333332</v>
      </c>
      <c r="Y67" s="23">
        <f>'Model inputs'!Y98*'Model inputs'!AM52</f>
        <v>10642.666666666666</v>
      </c>
      <c r="Z67" s="23">
        <f>'Model inputs'!Z98*'Model inputs'!AM52</f>
        <v>11200</v>
      </c>
      <c r="AA67" s="23">
        <f>'Model inputs'!AA98*'Model inputs'!AM52</f>
        <v>11666.666666666668</v>
      </c>
      <c r="AB67" s="23">
        <f>'Model inputs'!AB98*'Model inputs'!AM52</f>
        <v>12133.333333333332</v>
      </c>
      <c r="AC67" s="23">
        <f>'Model inputs'!AC98*'Model inputs'!AM52</f>
        <v>12600</v>
      </c>
      <c r="AD67" s="23">
        <f>'Model inputs'!AD98*'Model inputs'!AM52</f>
        <v>13066.666666666668</v>
      </c>
      <c r="AE67" s="23">
        <f>'Model inputs'!AE98*'Model inputs'!AM52</f>
        <v>13533.333333333332</v>
      </c>
      <c r="AF67" s="23">
        <f>'Model inputs'!AF98*'Model inputs'!AM52</f>
        <v>14000</v>
      </c>
      <c r="AG67" s="23">
        <f>'Model inputs'!AG98*'Model inputs'!AM52</f>
        <v>14400</v>
      </c>
      <c r="AH67" s="23">
        <f>'Model inputs'!AH98*'Model inputs'!AM52</f>
        <v>14800</v>
      </c>
      <c r="AI67" s="23">
        <f>'Model inputs'!AI98*'Model inputs'!AM52</f>
        <v>15200</v>
      </c>
      <c r="AJ67" s="23">
        <f>'Model inputs'!AJ98*'Model inputs'!AM52</f>
        <v>15600</v>
      </c>
      <c r="AK67" s="23">
        <f>'Model inputs'!AK98*'Model inputs'!AM52</f>
        <v>16000</v>
      </c>
      <c r="AL67" s="23">
        <f>'Model inputs'!AL98*'Model inputs'!AM52</f>
        <v>16400</v>
      </c>
    </row>
    <row r="68">
      <c r="A68" t="inlineStr" s="25">
        <is>
          <t xml:space="preserve">Operating expenses by category</t>
        </is>
      </c>
      <c r="B68" s="22">
        <f>SUM('Model inputs'!B69,'Model inputs'!B70,'Model inputs'!B71,'Model inputs'!B72,'Model inputs'!B73)</f>
        <v>0</v>
      </c>
      <c r="C68" s="22">
        <f>IF('Model inputs'!C61="","",'Model inputs'!C61)</f>
        <v>12083.333333333332</v>
      </c>
      <c r="D68" s="22">
        <f>IF('Model inputs'!D61="","",'Model inputs'!D61)</f>
        <v>14166.666666666668</v>
      </c>
      <c r="E68" s="22">
        <f>IF('Model inputs'!E61="","",'Model inputs'!E61)</f>
        <v>16250</v>
      </c>
      <c r="F68" s="22">
        <f>IF('Model inputs'!F61="","",'Model inputs'!F61)</f>
        <v>18333.333333333332</v>
      </c>
      <c r="G68" s="22">
        <f>IF('Model inputs'!G61="","",'Model inputs'!G61)</f>
        <v>20416.666666666664</v>
      </c>
      <c r="H68" s="22">
        <f>IF('Model inputs'!H61="","",'Model inputs'!H61)</f>
        <v>22500</v>
      </c>
      <c r="I68" s="22">
        <f>IF('Model inputs'!I61="","",'Model inputs'!I61)</f>
        <v>26716.666666666664</v>
      </c>
      <c r="J68" s="22">
        <f>IF('Model inputs'!J61="","",'Model inputs'!J61)</f>
        <v>30933.333333333336</v>
      </c>
      <c r="K68" s="22">
        <f>IF('Model inputs'!K61="","",'Model inputs'!K61)</f>
        <v>35150</v>
      </c>
      <c r="L68" s="22">
        <f>IF('Model inputs'!L61="","",'Model inputs'!L61)</f>
        <v>39366.666666666664</v>
      </c>
      <c r="M68" s="22">
        <f>IF('Model inputs'!M61="","",'Model inputs'!M61)</f>
        <v>43583.33333333333</v>
      </c>
      <c r="N68" s="22">
        <f>IF('Model inputs'!N61="","",'Model inputs'!N61)</f>
        <v>47800</v>
      </c>
      <c r="O68" s="22">
        <f>IF('Model inputs'!O61="","",'Model inputs'!O61)</f>
        <v>56200</v>
      </c>
      <c r="P68" s="22">
        <f>IF('Model inputs'!P61="","",'Model inputs'!P61)</f>
        <v>64600</v>
      </c>
      <c r="Q68" s="22">
        <f>IF('Model inputs'!Q61="","",'Model inputs'!Q61)</f>
        <v>73000</v>
      </c>
      <c r="R68" s="22">
        <f>IF('Model inputs'!R61="","",'Model inputs'!R61)</f>
        <v>81400</v>
      </c>
      <c r="S68" s="22">
        <f>IF('Model inputs'!S61="","",'Model inputs'!S61)</f>
        <v>89800</v>
      </c>
      <c r="T68" s="22">
        <f>IF('Model inputs'!T61="","",'Model inputs'!T61)</f>
        <v>98200</v>
      </c>
      <c r="U68" s="22">
        <f>IF('Model inputs'!U61="","",'Model inputs'!U61)</f>
        <v>105166.66666666667</v>
      </c>
      <c r="V68" s="22">
        <f>IF('Model inputs'!V61="","",'Model inputs'!V61)</f>
        <v>112133.33333333334</v>
      </c>
      <c r="W68" s="22">
        <f>IF('Model inputs'!W61="","",'Model inputs'!W61)</f>
        <v>119100</v>
      </c>
      <c r="X68" s="22">
        <f>IF('Model inputs'!X61="","",'Model inputs'!X61)</f>
        <v>126066.66666666666</v>
      </c>
      <c r="Y68" s="22">
        <f>IF('Model inputs'!Y61="","",'Model inputs'!Y61)</f>
        <v>133033.3333333333</v>
      </c>
      <c r="Z68" s="22">
        <f>IF('Model inputs'!Z61="","",'Model inputs'!Z61)</f>
        <v>140000</v>
      </c>
      <c r="AA68" s="22">
        <f>IF('Model inputs'!AA61="","",'Model inputs'!AA61)</f>
        <v>145833.33333333334</v>
      </c>
      <c r="AB68" s="22">
        <f>IF('Model inputs'!AB61="","",'Model inputs'!AB61)</f>
        <v>151666.66666666666</v>
      </c>
      <c r="AC68" s="22">
        <f>IF('Model inputs'!AC61="","",'Model inputs'!AC61)</f>
        <v>157500</v>
      </c>
      <c r="AD68" s="22">
        <f>IF('Model inputs'!AD61="","",'Model inputs'!AD61)</f>
        <v>163333.33333333334</v>
      </c>
      <c r="AE68" s="22">
        <f>IF('Model inputs'!AE61="","",'Model inputs'!AE61)</f>
        <v>169166.66666666666</v>
      </c>
      <c r="AF68" s="22">
        <f>IF('Model inputs'!AF61="","",'Model inputs'!AF61)</f>
        <v>175000</v>
      </c>
      <c r="AG68" s="22">
        <f>IF('Model inputs'!AG61="","",'Model inputs'!AG61)</f>
        <v>180000</v>
      </c>
      <c r="AH68" s="22">
        <f>IF('Model inputs'!AH61="","",'Model inputs'!AH61)</f>
        <v>185000</v>
      </c>
      <c r="AI68" s="22">
        <f>IF('Model inputs'!AI61="","",'Model inputs'!AI61)</f>
        <v>190000</v>
      </c>
      <c r="AJ68" s="22">
        <f>IF('Model inputs'!AJ61="","",'Model inputs'!AJ61)</f>
        <v>195000</v>
      </c>
      <c r="AK68" s="22">
        <f>IF('Model inputs'!AK61="","",'Model inputs'!AK61)</f>
        <v>200000</v>
      </c>
      <c r="AL68" s="22">
        <f>IF('Model inputs'!AL61="","",'Model inputs'!AL61)</f>
        <v>205000</v>
      </c>
    </row>
    <row r="69" outlineLevel="1">
      <c r="A69" t="inlineStr" s="26">
        <is>
          <t xml:space="preserve">Operating expenses by category &gt; General and administrative</t>
        </is>
      </c>
      <c r="B69" s="23">
        <f>0</f>
        <v>0</v>
      </c>
      <c r="C69" s="23">
        <f>IF('Model inputs'!C63="","",'Model inputs'!C63)</f>
        <v>604.1666666666666</v>
      </c>
      <c r="D69" s="23">
        <f>IF('Model inputs'!D63="","",'Model inputs'!D63)</f>
        <v>708.3333333333334</v>
      </c>
      <c r="E69" s="23">
        <f>IF('Model inputs'!E63="","",'Model inputs'!E63)</f>
        <v>812.5</v>
      </c>
      <c r="F69" s="23">
        <f>IF('Model inputs'!F63="","",'Model inputs'!F63)</f>
        <v>916.6666666666666</v>
      </c>
      <c r="G69" s="23">
        <f>IF('Model inputs'!G63="","",'Model inputs'!G63)</f>
        <v>1020.8333333333333</v>
      </c>
      <c r="H69" s="23">
        <f>IF('Model inputs'!H63="","",'Model inputs'!H63)</f>
        <v>1125</v>
      </c>
      <c r="I69" s="23">
        <f>IF('Model inputs'!I63="","",'Model inputs'!I63)</f>
        <v>1335.8333333333333</v>
      </c>
      <c r="J69" s="23">
        <f>IF('Model inputs'!J63="","",'Model inputs'!J63)</f>
        <v>1546.6666666666667</v>
      </c>
      <c r="K69" s="23">
        <f>IF('Model inputs'!K63="","",'Model inputs'!K63)</f>
        <v>1757.5</v>
      </c>
      <c r="L69" s="23">
        <f>IF('Model inputs'!L63="","",'Model inputs'!L63)</f>
        <v>1968.3333333333333</v>
      </c>
      <c r="M69" s="23">
        <f>IF('Model inputs'!M63="","",'Model inputs'!M63)</f>
        <v>2179.1666666666665</v>
      </c>
      <c r="N69" s="23">
        <f>IF('Model inputs'!N63="","",'Model inputs'!N63)</f>
        <v>2390</v>
      </c>
      <c r="O69" s="23">
        <f>IF('Model inputs'!O63="","",'Model inputs'!O63)</f>
        <v>2810</v>
      </c>
      <c r="P69" s="23">
        <f>IF('Model inputs'!P63="","",'Model inputs'!P63)</f>
        <v>3230</v>
      </c>
      <c r="Q69" s="23">
        <f>IF('Model inputs'!Q63="","",'Model inputs'!Q63)</f>
        <v>3650</v>
      </c>
      <c r="R69" s="23">
        <f>IF('Model inputs'!R63="","",'Model inputs'!R63)</f>
        <v>4070</v>
      </c>
      <c r="S69" s="23">
        <f>IF('Model inputs'!S63="","",'Model inputs'!S63)</f>
        <v>4490</v>
      </c>
      <c r="T69" s="23">
        <f>IF('Model inputs'!T63="","",'Model inputs'!T63)</f>
        <v>4910</v>
      </c>
      <c r="U69" s="23">
        <f>IF('Model inputs'!U63="","",'Model inputs'!U63)</f>
        <v>5258.333333333334</v>
      </c>
      <c r="V69" s="23">
        <f>IF('Model inputs'!V63="","",'Model inputs'!V63)</f>
        <v>5606.666666666667</v>
      </c>
      <c r="W69" s="23">
        <f>IF('Model inputs'!W63="","",'Model inputs'!W63)</f>
        <v>5955</v>
      </c>
      <c r="X69" s="23">
        <f>IF('Model inputs'!X63="","",'Model inputs'!X63)</f>
        <v>6303.333333333333</v>
      </c>
      <c r="Y69" s="23">
        <f>IF('Model inputs'!Y63="","",'Model inputs'!Y63)</f>
        <v>6651.666666666666</v>
      </c>
      <c r="Z69" s="23">
        <f>IF('Model inputs'!Z63="","",'Model inputs'!Z63)</f>
        <v>7000</v>
      </c>
      <c r="AA69" s="23">
        <f>IF('Model inputs'!AA63="","",'Model inputs'!AA63)</f>
        <v>7291.666666666668</v>
      </c>
      <c r="AB69" s="23">
        <f>IF('Model inputs'!AB63="","",'Model inputs'!AB63)</f>
        <v>7583.333333333333</v>
      </c>
      <c r="AC69" s="23">
        <f>IF('Model inputs'!AC63="","",'Model inputs'!AC63)</f>
        <v>7875</v>
      </c>
      <c r="AD69" s="23">
        <f>IF('Model inputs'!AD63="","",'Model inputs'!AD63)</f>
        <v>8166.666666666668</v>
      </c>
      <c r="AE69" s="23">
        <f>IF('Model inputs'!AE63="","",'Model inputs'!AE63)</f>
        <v>8458.333333333334</v>
      </c>
      <c r="AF69" s="23">
        <f>IF('Model inputs'!AF63="","",'Model inputs'!AF63)</f>
        <v>8750</v>
      </c>
      <c r="AG69" s="23">
        <f>IF('Model inputs'!AG63="","",'Model inputs'!AG63)</f>
        <v>9000</v>
      </c>
      <c r="AH69" s="23">
        <f>IF('Model inputs'!AH63="","",'Model inputs'!AH63)</f>
        <v>9250</v>
      </c>
      <c r="AI69" s="23">
        <f>IF('Model inputs'!AI63="","",'Model inputs'!AI63)</f>
        <v>9500</v>
      </c>
      <c r="AJ69" s="23">
        <f>IF('Model inputs'!AJ63="","",'Model inputs'!AJ63)</f>
        <v>9750</v>
      </c>
      <c r="AK69" s="23">
        <f>IF('Model inputs'!AK63="","",'Model inputs'!AK63)</f>
        <v>10000</v>
      </c>
      <c r="AL69" s="23">
        <f>IF('Model inputs'!AL63="","",'Model inputs'!AL63)</f>
        <v>10250</v>
      </c>
    </row>
    <row r="70" outlineLevel="1">
      <c r="A70" t="inlineStr" s="26">
        <is>
          <t xml:space="preserve">Operating expenses by category &gt; Legal security and insurance</t>
        </is>
      </c>
      <c r="B70" s="23">
        <f>0</f>
        <v>0</v>
      </c>
      <c r="C70" s="23">
        <f>IF('Model inputs'!C64="","",'Model inputs'!C64)</f>
        <v>1208.3333333333333</v>
      </c>
      <c r="D70" s="23">
        <f>IF('Model inputs'!D64="","",'Model inputs'!D64)</f>
        <v>1416.6666666666667</v>
      </c>
      <c r="E70" s="23">
        <f>IF('Model inputs'!E64="","",'Model inputs'!E64)</f>
        <v>1625</v>
      </c>
      <c r="F70" s="23">
        <f>IF('Model inputs'!F64="","",'Model inputs'!F64)</f>
        <v>1833.3333333333333</v>
      </c>
      <c r="G70" s="23">
        <f>IF('Model inputs'!G64="","",'Model inputs'!G64)</f>
        <v>2041.6666666666665</v>
      </c>
      <c r="H70" s="23">
        <f>IF('Model inputs'!H64="","",'Model inputs'!H64)</f>
        <v>2250</v>
      </c>
      <c r="I70" s="23">
        <f>IF('Model inputs'!I64="","",'Model inputs'!I64)</f>
        <v>2671.6666666666665</v>
      </c>
      <c r="J70" s="23">
        <f>IF('Model inputs'!J64="","",'Model inputs'!J64)</f>
        <v>3093.3333333333335</v>
      </c>
      <c r="K70" s="23">
        <f>IF('Model inputs'!K64="","",'Model inputs'!K64)</f>
        <v>3515</v>
      </c>
      <c r="L70" s="23">
        <f>IF('Model inputs'!L64="","",'Model inputs'!L64)</f>
        <v>3936.6666666666665</v>
      </c>
      <c r="M70" s="23">
        <f>IF('Model inputs'!M64="","",'Model inputs'!M64)</f>
        <v>4358.333333333333</v>
      </c>
      <c r="N70" s="23">
        <f>IF('Model inputs'!N64="","",'Model inputs'!N64)</f>
        <v>4780</v>
      </c>
      <c r="O70" s="23">
        <f>IF('Model inputs'!O64="","",'Model inputs'!O64)</f>
        <v>5620</v>
      </c>
      <c r="P70" s="23">
        <f>IF('Model inputs'!P64="","",'Model inputs'!P64)</f>
        <v>6460</v>
      </c>
      <c r="Q70" s="23">
        <f>IF('Model inputs'!Q64="","",'Model inputs'!Q64)</f>
        <v>7300</v>
      </c>
      <c r="R70" s="23">
        <f>IF('Model inputs'!R64="","",'Model inputs'!R64)</f>
        <v>8140</v>
      </c>
      <c r="S70" s="23">
        <f>IF('Model inputs'!S64="","",'Model inputs'!S64)</f>
        <v>8980</v>
      </c>
      <c r="T70" s="23">
        <f>IF('Model inputs'!T64="","",'Model inputs'!T64)</f>
        <v>9820</v>
      </c>
      <c r="U70" s="23">
        <f>IF('Model inputs'!U64="","",'Model inputs'!U64)</f>
        <v>10516.666666666668</v>
      </c>
      <c r="V70" s="23">
        <f>IF('Model inputs'!V64="","",'Model inputs'!V64)</f>
        <v>11213.333333333334</v>
      </c>
      <c r="W70" s="23">
        <f>IF('Model inputs'!W64="","",'Model inputs'!W64)</f>
        <v>11910</v>
      </c>
      <c r="X70" s="23">
        <f>IF('Model inputs'!X64="","",'Model inputs'!X64)</f>
        <v>12606.666666666666</v>
      </c>
      <c r="Y70" s="23">
        <f>IF('Model inputs'!Y64="","",'Model inputs'!Y64)</f>
        <v>13303.333333333332</v>
      </c>
      <c r="Z70" s="23">
        <f>IF('Model inputs'!Z64="","",'Model inputs'!Z64)</f>
        <v>14000</v>
      </c>
      <c r="AA70" s="23">
        <f>IF('Model inputs'!AA64="","",'Model inputs'!AA64)</f>
        <v>14583.333333333336</v>
      </c>
      <c r="AB70" s="23">
        <f>IF('Model inputs'!AB64="","",'Model inputs'!AB64)</f>
        <v>15166.666666666666</v>
      </c>
      <c r="AC70" s="23">
        <f>IF('Model inputs'!AC64="","",'Model inputs'!AC64)</f>
        <v>15750</v>
      </c>
      <c r="AD70" s="23">
        <f>IF('Model inputs'!AD64="","",'Model inputs'!AD64)</f>
        <v>16333.333333333336</v>
      </c>
      <c r="AE70" s="23">
        <f>IF('Model inputs'!AE64="","",'Model inputs'!AE64)</f>
        <v>16916.666666666668</v>
      </c>
      <c r="AF70" s="23">
        <f>IF('Model inputs'!AF64="","",'Model inputs'!AF64)</f>
        <v>17500</v>
      </c>
      <c r="AG70" s="23">
        <f>IF('Model inputs'!AG64="","",'Model inputs'!AG64)</f>
        <v>18000</v>
      </c>
      <c r="AH70" s="23">
        <f>IF('Model inputs'!AH64="","",'Model inputs'!AH64)</f>
        <v>18500</v>
      </c>
      <c r="AI70" s="23">
        <f>IF('Model inputs'!AI64="","",'Model inputs'!AI64)</f>
        <v>19000</v>
      </c>
      <c r="AJ70" s="23">
        <f>IF('Model inputs'!AJ64="","",'Model inputs'!AJ64)</f>
        <v>19500</v>
      </c>
      <c r="AK70" s="23">
        <f>IF('Model inputs'!AK64="","",'Model inputs'!AK64)</f>
        <v>20000</v>
      </c>
      <c r="AL70" s="23">
        <f>IF('Model inputs'!AL64="","",'Model inputs'!AL64)</f>
        <v>20500</v>
      </c>
    </row>
    <row r="71" outlineLevel="1">
      <c r="A71" t="inlineStr" s="26">
        <is>
          <t xml:space="preserve">Operating expenses by category &gt; Payroll and benefits</t>
        </is>
      </c>
      <c r="B71" s="23">
        <f>0</f>
        <v>0</v>
      </c>
      <c r="C71" s="23">
        <f>IF('Model inputs'!C65="","",'Model inputs'!C65)</f>
        <v>7854.166666666666</v>
      </c>
      <c r="D71" s="23">
        <f>IF('Model inputs'!D65="","",'Model inputs'!D65)</f>
        <v>9208.333333333334</v>
      </c>
      <c r="E71" s="23">
        <f>IF('Model inputs'!E65="","",'Model inputs'!E65)</f>
        <v>10562.5</v>
      </c>
      <c r="F71" s="23">
        <f>IF('Model inputs'!F65="","",'Model inputs'!F65)</f>
        <v>11916.666666666666</v>
      </c>
      <c r="G71" s="23">
        <f>IF('Model inputs'!G65="","",'Model inputs'!G65)</f>
        <v>13270.833333333332</v>
      </c>
      <c r="H71" s="23">
        <f>IF('Model inputs'!H65="","",'Model inputs'!H65)</f>
        <v>14625</v>
      </c>
      <c r="I71" s="23">
        <f>IF('Model inputs'!I65="","",'Model inputs'!I65)</f>
        <v>17365.833333333332</v>
      </c>
      <c r="J71" s="23">
        <f>IF('Model inputs'!J65="","",'Model inputs'!J65)</f>
        <v>20106.666666666668</v>
      </c>
      <c r="K71" s="23">
        <f>IF('Model inputs'!K65="","",'Model inputs'!K65)</f>
        <v>22847.5</v>
      </c>
      <c r="L71" s="23">
        <f>IF('Model inputs'!L65="","",'Model inputs'!L65)</f>
        <v>25588.333333333332</v>
      </c>
      <c r="M71" s="23">
        <f>IF('Model inputs'!M65="","",'Model inputs'!M65)</f>
        <v>28329.166666666664</v>
      </c>
      <c r="N71" s="23">
        <f>IF('Model inputs'!N65="","",'Model inputs'!N65)</f>
        <v>31070</v>
      </c>
      <c r="O71" s="23">
        <f>IF('Model inputs'!O65="","",'Model inputs'!O65)</f>
        <v>36530</v>
      </c>
      <c r="P71" s="23">
        <f>IF('Model inputs'!P65="","",'Model inputs'!P65)</f>
        <v>41990</v>
      </c>
      <c r="Q71" s="23">
        <f>IF('Model inputs'!Q65="","",'Model inputs'!Q65)</f>
        <v>47450</v>
      </c>
      <c r="R71" s="23">
        <f>IF('Model inputs'!R65="","",'Model inputs'!R65)</f>
        <v>52910</v>
      </c>
      <c r="S71" s="23">
        <f>IF('Model inputs'!S65="","",'Model inputs'!S65)</f>
        <v>58370</v>
      </c>
      <c r="T71" s="23">
        <f>IF('Model inputs'!T65="","",'Model inputs'!T65)</f>
        <v>63830</v>
      </c>
      <c r="U71" s="23">
        <f>IF('Model inputs'!U65="","",'Model inputs'!U65)</f>
        <v>68358.33333333334</v>
      </c>
      <c r="V71" s="23">
        <f>IF('Model inputs'!V65="","",'Model inputs'!V65)</f>
        <v>72886.66666666667</v>
      </c>
      <c r="W71" s="23">
        <f>IF('Model inputs'!W65="","",'Model inputs'!W65)</f>
        <v>77415</v>
      </c>
      <c r="X71" s="23">
        <f>IF('Model inputs'!X65="","",'Model inputs'!X65)</f>
        <v>81943.33333333333</v>
      </c>
      <c r="Y71" s="23">
        <f>IF('Model inputs'!Y65="","",'Model inputs'!Y65)</f>
        <v>86471.66666666666</v>
      </c>
      <c r="Z71" s="23">
        <f>IF('Model inputs'!Z65="","",'Model inputs'!Z65)</f>
        <v>91000</v>
      </c>
      <c r="AA71" s="23">
        <f>IF('Model inputs'!AA65="","",'Model inputs'!AA65)</f>
        <v>94791.66666666667</v>
      </c>
      <c r="AB71" s="23">
        <f>IF('Model inputs'!AB65="","",'Model inputs'!AB65)</f>
        <v>98583.33333333333</v>
      </c>
      <c r="AC71" s="23">
        <f>IF('Model inputs'!AC65="","",'Model inputs'!AC65)</f>
        <v>102375</v>
      </c>
      <c r="AD71" s="23">
        <f>IF('Model inputs'!AD65="","",'Model inputs'!AD65)</f>
        <v>106166.66666666667</v>
      </c>
      <c r="AE71" s="23">
        <f>IF('Model inputs'!AE65="","",'Model inputs'!AE65)</f>
        <v>109958.33333333333</v>
      </c>
      <c r="AF71" s="23">
        <f>IF('Model inputs'!AF65="","",'Model inputs'!AF65)</f>
        <v>113750</v>
      </c>
      <c r="AG71" s="23">
        <f>IF('Model inputs'!AG65="","",'Model inputs'!AG65)</f>
        <v>117000</v>
      </c>
      <c r="AH71" s="23">
        <f>IF('Model inputs'!AH65="","",'Model inputs'!AH65)</f>
        <v>120250</v>
      </c>
      <c r="AI71" s="23">
        <f>IF('Model inputs'!AI65="","",'Model inputs'!AI65)</f>
        <v>123500</v>
      </c>
      <c r="AJ71" s="23">
        <f>IF('Model inputs'!AJ65="","",'Model inputs'!AJ65)</f>
        <v>126750</v>
      </c>
      <c r="AK71" s="23">
        <f>IF('Model inputs'!AK65="","",'Model inputs'!AK65)</f>
        <v>130000</v>
      </c>
      <c r="AL71" s="23">
        <f>IF('Model inputs'!AL65="","",'Model inputs'!AL65)</f>
        <v>133250</v>
      </c>
    </row>
    <row r="72" outlineLevel="1">
      <c r="A72" t="inlineStr" s="26">
        <is>
          <t xml:space="preserve">Operating expenses by category &gt; Product and infrastructure overhead</t>
        </is>
      </c>
      <c r="B72" s="23">
        <f>0</f>
        <v>0</v>
      </c>
      <c r="C72" s="23">
        <f>IF('Model inputs'!C66="","",'Model inputs'!C66)</f>
        <v>1449.9999999999998</v>
      </c>
      <c r="D72" s="23">
        <f>IF('Model inputs'!D66="","",'Model inputs'!D66)</f>
        <v>1699.9999999999998</v>
      </c>
      <c r="E72" s="23">
        <f>IF('Model inputs'!E66="","",'Model inputs'!E66)</f>
        <v>1950</v>
      </c>
      <c r="F72" s="23">
        <f>IF('Model inputs'!F66="","",'Model inputs'!F66)</f>
        <v>2200</v>
      </c>
      <c r="G72" s="23">
        <f>IF('Model inputs'!G66="","",'Model inputs'!G66)</f>
        <v>2449.9999999999995</v>
      </c>
      <c r="H72" s="23">
        <f>IF('Model inputs'!H66="","",'Model inputs'!H66)</f>
        <v>2700</v>
      </c>
      <c r="I72" s="23">
        <f>IF('Model inputs'!I66="","",'Model inputs'!I66)</f>
        <v>3205.9999999999995</v>
      </c>
      <c r="J72" s="23">
        <f>IF('Model inputs'!J66="","",'Model inputs'!J66)</f>
        <v>3711.9999999999995</v>
      </c>
      <c r="K72" s="23">
        <f>IF('Model inputs'!K66="","",'Model inputs'!K66)</f>
        <v>4218</v>
      </c>
      <c r="L72" s="23">
        <f>IF('Model inputs'!L66="","",'Model inputs'!L66)</f>
        <v>4723.999999999999</v>
      </c>
      <c r="M72" s="23">
        <f>IF('Model inputs'!M66="","",'Model inputs'!M66)</f>
        <v>5229.999999999999</v>
      </c>
      <c r="N72" s="23">
        <f>IF('Model inputs'!N66="","",'Model inputs'!N66)</f>
        <v>5736</v>
      </c>
      <c r="O72" s="23">
        <f>IF('Model inputs'!O66="","",'Model inputs'!O66)</f>
        <v>6744</v>
      </c>
      <c r="P72" s="23">
        <f>IF('Model inputs'!P66="","",'Model inputs'!P66)</f>
        <v>7752</v>
      </c>
      <c r="Q72" s="23">
        <f>IF('Model inputs'!Q66="","",'Model inputs'!Q66)</f>
        <v>8760</v>
      </c>
      <c r="R72" s="23">
        <f>IF('Model inputs'!R66="","",'Model inputs'!R66)</f>
        <v>9768</v>
      </c>
      <c r="S72" s="23">
        <f>IF('Model inputs'!S66="","",'Model inputs'!S66)</f>
        <v>10776</v>
      </c>
      <c r="T72" s="23">
        <f>IF('Model inputs'!T66="","",'Model inputs'!T66)</f>
        <v>11784</v>
      </c>
      <c r="U72" s="23">
        <f>IF('Model inputs'!U66="","",'Model inputs'!U66)</f>
        <v>12620</v>
      </c>
      <c r="V72" s="23">
        <f>IF('Model inputs'!V66="","",'Model inputs'!V66)</f>
        <v>13455.999999999998</v>
      </c>
      <c r="W72" s="23">
        <f>IF('Model inputs'!W66="","",'Model inputs'!W66)</f>
        <v>14292</v>
      </c>
      <c r="X72" s="23">
        <f>IF('Model inputs'!X66="","",'Model inputs'!X66)</f>
        <v>15127.999999999998</v>
      </c>
      <c r="Y72" s="23">
        <f>IF('Model inputs'!Y66="","",'Model inputs'!Y66)</f>
        <v>15963.999999999996</v>
      </c>
      <c r="Z72" s="23">
        <f>IF('Model inputs'!Z66="","",'Model inputs'!Z66)</f>
        <v>16800</v>
      </c>
      <c r="AA72" s="23">
        <f>IF('Model inputs'!AA66="","",'Model inputs'!AA66)</f>
        <v>17500</v>
      </c>
      <c r="AB72" s="23">
        <f>IF('Model inputs'!AB66="","",'Model inputs'!AB66)</f>
        <v>18199.999999999996</v>
      </c>
      <c r="AC72" s="23">
        <f>IF('Model inputs'!AC66="","",'Model inputs'!AC66)</f>
        <v>18900</v>
      </c>
      <c r="AD72" s="23">
        <f>IF('Model inputs'!AD66="","",'Model inputs'!AD66)</f>
        <v>19600</v>
      </c>
      <c r="AE72" s="23">
        <f>IF('Model inputs'!AE66="","",'Model inputs'!AE66)</f>
        <v>20299.999999999996</v>
      </c>
      <c r="AF72" s="23">
        <f>IF('Model inputs'!AF66="","",'Model inputs'!AF66)</f>
        <v>21000</v>
      </c>
      <c r="AG72" s="23">
        <f>IF('Model inputs'!AG66="","",'Model inputs'!AG66)</f>
        <v>21600</v>
      </c>
      <c r="AH72" s="23">
        <f>IF('Model inputs'!AH66="","",'Model inputs'!AH66)</f>
        <v>22200</v>
      </c>
      <c r="AI72" s="23">
        <f>IF('Model inputs'!AI66="","",'Model inputs'!AI66)</f>
        <v>22800</v>
      </c>
      <c r="AJ72" s="23">
        <f>IF('Model inputs'!AJ66="","",'Model inputs'!AJ66)</f>
        <v>23400</v>
      </c>
      <c r="AK72" s="23">
        <f>IF('Model inputs'!AK66="","",'Model inputs'!AK66)</f>
        <v>24000</v>
      </c>
      <c r="AL72" s="23">
        <f>IF('Model inputs'!AL66="","",'Model inputs'!AL66)</f>
        <v>24600</v>
      </c>
    </row>
    <row r="73" outlineLevel="1">
      <c r="A73" t="inlineStr" s="26">
        <is>
          <t xml:space="preserve">Operating expenses by category &gt; Sales and marketing overhead</t>
        </is>
      </c>
      <c r="B73" s="23">
        <f>0</f>
        <v>0</v>
      </c>
      <c r="C73" s="23">
        <f>IF('Model inputs'!C67="","",'Model inputs'!C67)</f>
        <v>966.6666666666666</v>
      </c>
      <c r="D73" s="23">
        <f>IF('Model inputs'!D67="","",'Model inputs'!D67)</f>
        <v>1133.3333333333333</v>
      </c>
      <c r="E73" s="23">
        <f>IF('Model inputs'!E67="","",'Model inputs'!E67)</f>
        <v>1300</v>
      </c>
      <c r="F73" s="23">
        <f>IF('Model inputs'!F67="","",'Model inputs'!F67)</f>
        <v>1466.6666666666665</v>
      </c>
      <c r="G73" s="23">
        <f>IF('Model inputs'!G67="","",'Model inputs'!G67)</f>
        <v>1633.3333333333333</v>
      </c>
      <c r="H73" s="23">
        <f>IF('Model inputs'!H67="","",'Model inputs'!H67)</f>
        <v>1800</v>
      </c>
      <c r="I73" s="23">
        <f>IF('Model inputs'!I67="","",'Model inputs'!I67)</f>
        <v>2137.333333333333</v>
      </c>
      <c r="J73" s="23">
        <f>IF('Model inputs'!J67="","",'Model inputs'!J67)</f>
        <v>2474.6666666666665</v>
      </c>
      <c r="K73" s="23">
        <f>IF('Model inputs'!K67="","",'Model inputs'!K67)</f>
        <v>2812</v>
      </c>
      <c r="L73" s="23">
        <f>IF('Model inputs'!L67="","",'Model inputs'!L67)</f>
        <v>3149.333333333333</v>
      </c>
      <c r="M73" s="23">
        <f>IF('Model inputs'!M67="","",'Model inputs'!M67)</f>
        <v>3486.6666666666665</v>
      </c>
      <c r="N73" s="23">
        <f>IF('Model inputs'!N67="","",'Model inputs'!N67)</f>
        <v>3824</v>
      </c>
      <c r="O73" s="23">
        <f>IF('Model inputs'!O67="","",'Model inputs'!O67)</f>
        <v>4496</v>
      </c>
      <c r="P73" s="23">
        <f>IF('Model inputs'!P67="","",'Model inputs'!P67)</f>
        <v>5168</v>
      </c>
      <c r="Q73" s="23">
        <f>IF('Model inputs'!Q67="","",'Model inputs'!Q67)</f>
        <v>5840</v>
      </c>
      <c r="R73" s="23">
        <f>IF('Model inputs'!R67="","",'Model inputs'!R67)</f>
        <v>6512</v>
      </c>
      <c r="S73" s="23">
        <f>IF('Model inputs'!S67="","",'Model inputs'!S67)</f>
        <v>7184</v>
      </c>
      <c r="T73" s="23">
        <f>IF('Model inputs'!T67="","",'Model inputs'!T67)</f>
        <v>7856</v>
      </c>
      <c r="U73" s="23">
        <f>IF('Model inputs'!U67="","",'Model inputs'!U67)</f>
        <v>8413.333333333334</v>
      </c>
      <c r="V73" s="23">
        <f>IF('Model inputs'!V67="","",'Model inputs'!V67)</f>
        <v>8970.666666666666</v>
      </c>
      <c r="W73" s="23">
        <f>IF('Model inputs'!W67="","",'Model inputs'!W67)</f>
        <v>9528</v>
      </c>
      <c r="X73" s="23">
        <f>IF('Model inputs'!X67="","",'Model inputs'!X67)</f>
        <v>10085.333333333332</v>
      </c>
      <c r="Y73" s="23">
        <f>IF('Model inputs'!Y67="","",'Model inputs'!Y67)</f>
        <v>10642.666666666666</v>
      </c>
      <c r="Z73" s="23">
        <f>IF('Model inputs'!Z67="","",'Model inputs'!Z67)</f>
        <v>11200</v>
      </c>
      <c r="AA73" s="23">
        <f>IF('Model inputs'!AA67="","",'Model inputs'!AA67)</f>
        <v>11666.666666666668</v>
      </c>
      <c r="AB73" s="23">
        <f>IF('Model inputs'!AB67="","",'Model inputs'!AB67)</f>
        <v>12133.333333333332</v>
      </c>
      <c r="AC73" s="23">
        <f>IF('Model inputs'!AC67="","",'Model inputs'!AC67)</f>
        <v>12600</v>
      </c>
      <c r="AD73" s="23">
        <f>IF('Model inputs'!AD67="","",'Model inputs'!AD67)</f>
        <v>13066.666666666668</v>
      </c>
      <c r="AE73" s="23">
        <f>IF('Model inputs'!AE67="","",'Model inputs'!AE67)</f>
        <v>13533.333333333332</v>
      </c>
      <c r="AF73" s="23">
        <f>IF('Model inputs'!AF67="","",'Model inputs'!AF67)</f>
        <v>14000</v>
      </c>
      <c r="AG73" s="23">
        <f>IF('Model inputs'!AG67="","",'Model inputs'!AG67)</f>
        <v>14400</v>
      </c>
      <c r="AH73" s="23">
        <f>IF('Model inputs'!AH67="","",'Model inputs'!AH67)</f>
        <v>14800</v>
      </c>
      <c r="AI73" s="23">
        <f>IF('Model inputs'!AI67="","",'Model inputs'!AI67)</f>
        <v>15200</v>
      </c>
      <c r="AJ73" s="23">
        <f>IF('Model inputs'!AJ67="","",'Model inputs'!AJ67)</f>
        <v>15600</v>
      </c>
      <c r="AK73" s="23">
        <f>IF('Model inputs'!AK67="","",'Model inputs'!AK67)</f>
        <v>16000</v>
      </c>
      <c r="AL73" s="23">
        <f>IF('Model inputs'!AL67="","",'Model inputs'!AL67)</f>
        <v>16400</v>
      </c>
    </row>
    <row r="74">
      <c r="A74" t="inlineStr" s="25">
        <is>
          <t xml:space="preserve">Recovery yield multiplier · POA — Monthly financial forecast</t>
        </is>
      </c>
      <c r="AM74" s="23">
        <f>1</f>
        <v>1</v>
      </c>
    </row>
    <row r="75">
      <c r="A75" t="inlineStr" s="25">
        <is>
          <t xml:space="preserve">Segment share</t>
        </is>
      </c>
      <c r="AM75" s="22">
        <v>0</v>
      </c>
    </row>
    <row r="76" outlineLevel="1">
      <c r="A76" t="inlineStr" s="26">
        <is>
          <t xml:space="preserve">Segment share &gt; DEX</t>
        </is>
      </c>
      <c r="AM76" s="23">
        <f>0.3</f>
        <v>0.3</v>
      </c>
    </row>
    <row r="77" outlineLevel="1">
      <c r="A77" t="inlineStr" s="26">
        <is>
          <t xml:space="preserve">Segment share &gt; Lending</t>
        </is>
      </c>
      <c r="AM77" s="23">
        <f>0.4</f>
        <v>0.4</v>
      </c>
    </row>
    <row r="78" outlineLevel="1">
      <c r="A78" t="inlineStr" s="26">
        <is>
          <t xml:space="preserve">Segment share &gt; Liquid staking</t>
        </is>
      </c>
      <c r="AM78" s="23">
        <f>0.3</f>
        <v>0.3</v>
      </c>
    </row>
    <row r="79">
      <c r="A79" t="inlineStr" s="25">
        <is>
          <t xml:space="preserve">Subscription MRR · by  · POA — Three year summary</t>
        </is>
      </c>
      <c r="B79" s="23">
        <f>SUM('Model inputs'!B81,'Model inputs'!B82,'Model inputs'!B83)</f>
        <v>0</v>
      </c>
      <c r="C79" s="23">
        <f>SUM('Model inputs'!C81,'Model inputs'!C82,'Model inputs'!C83)</f>
        <v>3500</v>
      </c>
      <c r="D79" s="23">
        <f>SUM('Model inputs'!D81,'Model inputs'!D82,'Model inputs'!D83)</f>
        <v>7000</v>
      </c>
      <c r="E79" s="23">
        <f>SUM('Model inputs'!E81,'Model inputs'!E82,'Model inputs'!E83)</f>
        <v>10500</v>
      </c>
      <c r="F79" s="23">
        <f>SUM('Model inputs'!F81,'Model inputs'!F82,'Model inputs'!F83)</f>
        <v>14000</v>
      </c>
      <c r="G79" s="23">
        <f>SUM('Model inputs'!G81,'Model inputs'!G82,'Model inputs'!G83)</f>
        <v>17500</v>
      </c>
      <c r="H79" s="23">
        <f>SUM('Model inputs'!H81,'Model inputs'!H82,'Model inputs'!H83)</f>
        <v>21000</v>
      </c>
      <c r="I79" s="23">
        <f>SUM('Model inputs'!I81,'Model inputs'!I82,'Model inputs'!I83)</f>
        <v>30333.33333333333</v>
      </c>
      <c r="J79" s="23">
        <f>SUM('Model inputs'!J81,'Model inputs'!J82,'Model inputs'!J83)</f>
        <v>39666.666666666664</v>
      </c>
      <c r="K79" s="23">
        <f>SUM('Model inputs'!K81,'Model inputs'!K82,'Model inputs'!K83)</f>
        <v>49000</v>
      </c>
      <c r="L79" s="23">
        <f>SUM('Model inputs'!L81,'Model inputs'!L82,'Model inputs'!L83)</f>
        <v>58333.33333333333</v>
      </c>
      <c r="M79" s="23">
        <f>SUM('Model inputs'!M81,'Model inputs'!M82,'Model inputs'!M83)</f>
        <v>67666.66666666667</v>
      </c>
      <c r="N79" s="23">
        <f>SUM('Model inputs'!N81,'Model inputs'!N82,'Model inputs'!N83)</f>
        <v>77000</v>
      </c>
      <c r="O79" s="23">
        <f>SUM('Model inputs'!O81,'Model inputs'!O82,'Model inputs'!O83)</f>
        <v>99166.66666666667</v>
      </c>
      <c r="P79" s="23">
        <f>SUM('Model inputs'!P81,'Model inputs'!P82,'Model inputs'!P83)</f>
        <v>121333.33333333331</v>
      </c>
      <c r="Q79" s="23">
        <f>SUM('Model inputs'!Q81,'Model inputs'!Q82,'Model inputs'!Q83)</f>
        <v>143500</v>
      </c>
      <c r="R79" s="23">
        <f>SUM('Model inputs'!R81,'Model inputs'!R82,'Model inputs'!R83)</f>
        <v>165666.66666666666</v>
      </c>
      <c r="S79" s="23">
        <f>SUM('Model inputs'!S81,'Model inputs'!S82,'Model inputs'!S83)</f>
        <v>187833.33333333334</v>
      </c>
      <c r="T79" s="23">
        <f>SUM('Model inputs'!T81,'Model inputs'!T82,'Model inputs'!T83)</f>
        <v>210000</v>
      </c>
      <c r="U79" s="23">
        <f>SUM('Model inputs'!U81,'Model inputs'!U82,'Model inputs'!U83)</f>
        <v>233333.33333333334</v>
      </c>
      <c r="V79" s="23">
        <f>SUM('Model inputs'!V81,'Model inputs'!V82,'Model inputs'!V83)</f>
        <v>256666.66666666663</v>
      </c>
      <c r="W79" s="23">
        <f>SUM('Model inputs'!W81,'Model inputs'!W82,'Model inputs'!W83)</f>
        <v>280000</v>
      </c>
      <c r="X79" s="23">
        <f>SUM('Model inputs'!X81,'Model inputs'!X82,'Model inputs'!X83)</f>
        <v>303333.3333333333</v>
      </c>
      <c r="Y79" s="23">
        <f>SUM('Model inputs'!Y81,'Model inputs'!Y82,'Model inputs'!Y83)</f>
        <v>326666.6666666666</v>
      </c>
      <c r="Z79" s="23">
        <f>SUM('Model inputs'!Z81,'Model inputs'!Z82,'Model inputs'!Z83)</f>
        <v>350000</v>
      </c>
      <c r="AA79" s="23">
        <f>SUM('Model inputs'!AA81,'Model inputs'!AA82,'Model inputs'!AA83)</f>
        <v>370416.6666666667</v>
      </c>
      <c r="AB79" s="23">
        <f>SUM('Model inputs'!AB81,'Model inputs'!AB82,'Model inputs'!AB83)</f>
        <v>390833.3333333334</v>
      </c>
      <c r="AC79" s="23">
        <f>SUM('Model inputs'!AC81,'Model inputs'!AC82,'Model inputs'!AC83)</f>
        <v>411250</v>
      </c>
      <c r="AD79" s="23">
        <f>SUM('Model inputs'!AD81,'Model inputs'!AD82,'Model inputs'!AD83)</f>
        <v>431666.6666666667</v>
      </c>
      <c r="AE79" s="23">
        <f>SUM('Model inputs'!AE81,'Model inputs'!AE82,'Model inputs'!AE83)</f>
        <v>452083.33333333326</v>
      </c>
      <c r="AF79" s="23">
        <f>SUM('Model inputs'!AF81,'Model inputs'!AF82,'Model inputs'!AF83)</f>
        <v>472500</v>
      </c>
      <c r="AG79" s="23">
        <f>SUM('Model inputs'!AG81,'Model inputs'!AG82,'Model inputs'!AG83)</f>
        <v>487083.33333333326</v>
      </c>
      <c r="AH79" s="23">
        <f>SUM('Model inputs'!AH81,'Model inputs'!AH82,'Model inputs'!AH83)</f>
        <v>501666.6666666667</v>
      </c>
      <c r="AI79" s="23">
        <f>SUM('Model inputs'!AI81,'Model inputs'!AI82,'Model inputs'!AI83)</f>
        <v>516250</v>
      </c>
      <c r="AJ79" s="23">
        <f>SUM('Model inputs'!AJ81,'Model inputs'!AJ82,'Model inputs'!AJ83)</f>
        <v>530833.3333333333</v>
      </c>
      <c r="AK79" s="23">
        <f>SUM('Model inputs'!AK81,'Model inputs'!AK82,'Model inputs'!AK83)</f>
        <v>545416.6666666667</v>
      </c>
      <c r="AL79" s="23">
        <f>SUM('Model inputs'!AL81,'Model inputs'!AL82,'Model inputs'!AL83)</f>
        <v>560000</v>
      </c>
    </row>
    <row r="80">
      <c r="A80" t="inlineStr" s="25">
        <is>
          <t xml:space="preserve">Subscription MRR</t>
        </is>
      </c>
      <c r="B80" s="22">
        <f>IF('Model inputs'!B79="","",'Model inputs'!B79)</f>
        <v>0</v>
      </c>
      <c r="C80" s="22">
        <f>IF('Model inputs'!C79="","",'Model inputs'!C79)</f>
        <v>3500</v>
      </c>
      <c r="D80" s="22">
        <f>IF('Model inputs'!D79="","",'Model inputs'!D79)</f>
        <v>7000</v>
      </c>
      <c r="E80" s="22">
        <f>IF('Model inputs'!E79="","",'Model inputs'!E79)</f>
        <v>10500</v>
      </c>
      <c r="F80" s="22">
        <f>IF('Model inputs'!F79="","",'Model inputs'!F79)</f>
        <v>14000</v>
      </c>
      <c r="G80" s="22">
        <f>IF('Model inputs'!G79="","",'Model inputs'!G79)</f>
        <v>17500</v>
      </c>
      <c r="H80" s="22">
        <f>IF('Model inputs'!H79="","",'Model inputs'!H79)</f>
        <v>21000</v>
      </c>
      <c r="I80" s="22">
        <f>IF('Model inputs'!I79="","",'Model inputs'!I79)</f>
        <v>30333.33333333333</v>
      </c>
      <c r="J80" s="22">
        <f>IF('Model inputs'!J79="","",'Model inputs'!J79)</f>
        <v>39666.666666666664</v>
      </c>
      <c r="K80" s="22">
        <f>IF('Model inputs'!K79="","",'Model inputs'!K79)</f>
        <v>49000</v>
      </c>
      <c r="L80" s="22">
        <f>IF('Model inputs'!L79="","",'Model inputs'!L79)</f>
        <v>58333.33333333333</v>
      </c>
      <c r="M80" s="22">
        <f>IF('Model inputs'!M79="","",'Model inputs'!M79)</f>
        <v>67666.66666666667</v>
      </c>
      <c r="N80" s="22">
        <f>IF('Model inputs'!N79="","",'Model inputs'!N79)</f>
        <v>77000</v>
      </c>
      <c r="O80" s="22">
        <f>IF('Model inputs'!O79="","",'Model inputs'!O79)</f>
        <v>99166.66666666667</v>
      </c>
      <c r="P80" s="22">
        <f>IF('Model inputs'!P79="","",'Model inputs'!P79)</f>
        <v>121333.33333333331</v>
      </c>
      <c r="Q80" s="22">
        <f>IF('Model inputs'!Q79="","",'Model inputs'!Q79)</f>
        <v>143500</v>
      </c>
      <c r="R80" s="22">
        <f>IF('Model inputs'!R79="","",'Model inputs'!R79)</f>
        <v>165666.66666666666</v>
      </c>
      <c r="S80" s="22">
        <f>IF('Model inputs'!S79="","",'Model inputs'!S79)</f>
        <v>187833.33333333334</v>
      </c>
      <c r="T80" s="22">
        <f>IF('Model inputs'!T79="","",'Model inputs'!T79)</f>
        <v>210000</v>
      </c>
      <c r="U80" s="22">
        <f>IF('Model inputs'!U79="","",'Model inputs'!U79)</f>
        <v>233333.33333333334</v>
      </c>
      <c r="V80" s="22">
        <f>IF('Model inputs'!V79="","",'Model inputs'!V79)</f>
        <v>256666.66666666663</v>
      </c>
      <c r="W80" s="22">
        <f>IF('Model inputs'!W79="","",'Model inputs'!W79)</f>
        <v>280000</v>
      </c>
      <c r="X80" s="22">
        <f>IF('Model inputs'!X79="","",'Model inputs'!X79)</f>
        <v>303333.3333333333</v>
      </c>
      <c r="Y80" s="22">
        <f>IF('Model inputs'!Y79="","",'Model inputs'!Y79)</f>
        <v>326666.6666666666</v>
      </c>
      <c r="Z80" s="22">
        <f>IF('Model inputs'!Z79="","",'Model inputs'!Z79)</f>
        <v>350000</v>
      </c>
      <c r="AA80" s="22">
        <f>IF('Model inputs'!AA79="","",'Model inputs'!AA79)</f>
        <v>370416.6666666667</v>
      </c>
      <c r="AB80" s="22">
        <f>IF('Model inputs'!AB79="","",'Model inputs'!AB79)</f>
        <v>390833.3333333334</v>
      </c>
      <c r="AC80" s="22">
        <f>IF('Model inputs'!AC79="","",'Model inputs'!AC79)</f>
        <v>411250</v>
      </c>
      <c r="AD80" s="22">
        <f>IF('Model inputs'!AD79="","",'Model inputs'!AD79)</f>
        <v>431666.6666666667</v>
      </c>
      <c r="AE80" s="22">
        <f>IF('Model inputs'!AE79="","",'Model inputs'!AE79)</f>
        <v>452083.33333333326</v>
      </c>
      <c r="AF80" s="22">
        <f>IF('Model inputs'!AF79="","",'Model inputs'!AF79)</f>
        <v>472500</v>
      </c>
      <c r="AG80" s="22">
        <f>IF('Model inputs'!AG79="","",'Model inputs'!AG79)</f>
        <v>487083.33333333326</v>
      </c>
      <c r="AH80" s="22">
        <f>IF('Model inputs'!AH79="","",'Model inputs'!AH79)</f>
        <v>501666.6666666667</v>
      </c>
      <c r="AI80" s="22">
        <f>IF('Model inputs'!AI79="","",'Model inputs'!AI79)</f>
        <v>516250</v>
      </c>
      <c r="AJ80" s="22">
        <f>IF('Model inputs'!AJ79="","",'Model inputs'!AJ79)</f>
        <v>530833.3333333333</v>
      </c>
      <c r="AK80" s="22">
        <f>IF('Model inputs'!AK79="","",'Model inputs'!AK79)</f>
        <v>545416.6666666667</v>
      </c>
      <c r="AL80" s="22">
        <f>IF('Model inputs'!AL79="","",'Model inputs'!AL79)</f>
        <v>560000</v>
      </c>
    </row>
    <row r="81" outlineLevel="1">
      <c r="A81" t="inlineStr" s="26">
        <is>
          <t xml:space="preserve">Subscription MRR &gt; DEX</t>
        </is>
      </c>
      <c r="B81" s="23">
        <f>0</f>
        <v>0</v>
      </c>
      <c r="C81" s="23">
        <f>'Model inputs'!C88*'Model inputs'!AM43</f>
        <v>1050</v>
      </c>
      <c r="D81" s="23">
        <f>'Model inputs'!D88*'Model inputs'!AM43</f>
        <v>2100</v>
      </c>
      <c r="E81" s="23">
        <f>'Model inputs'!E88*'Model inputs'!AM43</f>
        <v>3149.9999999999995</v>
      </c>
      <c r="F81" s="23">
        <f>'Model inputs'!F88*'Model inputs'!AM43</f>
        <v>4200</v>
      </c>
      <c r="G81" s="23">
        <f>'Model inputs'!G88*'Model inputs'!AM43</f>
        <v>5250</v>
      </c>
      <c r="H81" s="23">
        <f>'Model inputs'!H88*'Model inputs'!AM43</f>
        <v>6299.999999999999</v>
      </c>
      <c r="I81" s="23">
        <f>'Model inputs'!I88*'Model inputs'!AM43</f>
        <v>9099.999999999998</v>
      </c>
      <c r="J81" s="23">
        <f>'Model inputs'!J88*'Model inputs'!AM43</f>
        <v>11899.999999999998</v>
      </c>
      <c r="K81" s="23">
        <f>'Model inputs'!K88*'Model inputs'!AM43</f>
        <v>14700</v>
      </c>
      <c r="L81" s="23">
        <f>'Model inputs'!L88*'Model inputs'!AM43</f>
        <v>17499.999999999996</v>
      </c>
      <c r="M81" s="23">
        <f>'Model inputs'!M88*'Model inputs'!AM43</f>
        <v>20300</v>
      </c>
      <c r="N81" s="23">
        <f>'Model inputs'!N88*'Model inputs'!AM43</f>
        <v>23100</v>
      </c>
      <c r="O81" s="23">
        <f>'Model inputs'!O88*'Model inputs'!AM43</f>
        <v>29750</v>
      </c>
      <c r="P81" s="23">
        <f>'Model inputs'!P88*'Model inputs'!AM43</f>
        <v>36399.99999999999</v>
      </c>
      <c r="Q81" s="23">
        <f>'Model inputs'!Q88*'Model inputs'!AM43</f>
        <v>43049.99999999999</v>
      </c>
      <c r="R81" s="23">
        <f>'Model inputs'!R88*'Model inputs'!AM43</f>
        <v>49699.99999999999</v>
      </c>
      <c r="S81" s="23">
        <f>'Model inputs'!S88*'Model inputs'!AM43</f>
        <v>56349.99999999999</v>
      </c>
      <c r="T81" s="23">
        <f>'Model inputs'!T88*'Model inputs'!AM43</f>
        <v>63000</v>
      </c>
      <c r="U81" s="23">
        <f>'Model inputs'!U88*'Model inputs'!AM43</f>
        <v>70000</v>
      </c>
      <c r="V81" s="23">
        <f>'Model inputs'!V88*'Model inputs'!AM43</f>
        <v>76999.99999999999</v>
      </c>
      <c r="W81" s="23">
        <f>'Model inputs'!W88*'Model inputs'!AM43</f>
        <v>84000</v>
      </c>
      <c r="X81" s="23">
        <f>'Model inputs'!X88*'Model inputs'!AM43</f>
        <v>90999.99999999999</v>
      </c>
      <c r="Y81" s="23">
        <f>'Model inputs'!Y88*'Model inputs'!AM43</f>
        <v>97999.99999999999</v>
      </c>
      <c r="Z81" s="23">
        <f>'Model inputs'!Z88*'Model inputs'!AM43</f>
        <v>105000</v>
      </c>
      <c r="AA81" s="23">
        <f>'Model inputs'!AA88*'Model inputs'!AM43</f>
        <v>111124.99999999999</v>
      </c>
      <c r="AB81" s="23">
        <f>'Model inputs'!AB88*'Model inputs'!AM43</f>
        <v>117250</v>
      </c>
      <c r="AC81" s="23">
        <f>'Model inputs'!AC88*'Model inputs'!AM43</f>
        <v>123375</v>
      </c>
      <c r="AD81" s="23">
        <f>'Model inputs'!AD88*'Model inputs'!AM43</f>
        <v>129500</v>
      </c>
      <c r="AE81" s="23">
        <f>'Model inputs'!AE88*'Model inputs'!AM43</f>
        <v>135624.99999999997</v>
      </c>
      <c r="AF81" s="23">
        <f>'Model inputs'!AF88*'Model inputs'!AM43</f>
        <v>141750</v>
      </c>
      <c r="AG81" s="23">
        <f>'Model inputs'!AG88*'Model inputs'!AM43</f>
        <v>146124.99999999997</v>
      </c>
      <c r="AH81" s="23">
        <f>'Model inputs'!AH88*'Model inputs'!AM43</f>
        <v>150500</v>
      </c>
      <c r="AI81" s="23">
        <f>'Model inputs'!AI88*'Model inputs'!AM43</f>
        <v>154875</v>
      </c>
      <c r="AJ81" s="23">
        <f>'Model inputs'!AJ88*'Model inputs'!AM43</f>
        <v>159249.99999999997</v>
      </c>
      <c r="AK81" s="23">
        <f>'Model inputs'!AK88*'Model inputs'!AM43</f>
        <v>163625</v>
      </c>
      <c r="AL81" s="23">
        <f>'Model inputs'!AL88*'Model inputs'!AM43</f>
        <v>168000</v>
      </c>
    </row>
    <row r="82" outlineLevel="1">
      <c r="A82" t="inlineStr" s="26">
        <is>
          <t xml:space="preserve">Subscription MRR &gt; Lending</t>
        </is>
      </c>
      <c r="B82" s="23">
        <f>0</f>
        <v>0</v>
      </c>
      <c r="C82" s="23">
        <f>'Model inputs'!C89*'Model inputs'!AM43</f>
        <v>1400</v>
      </c>
      <c r="D82" s="23">
        <f>'Model inputs'!D89*'Model inputs'!AM43</f>
        <v>2800</v>
      </c>
      <c r="E82" s="23">
        <f>'Model inputs'!E89*'Model inputs'!AM43</f>
        <v>4200.000000000001</v>
      </c>
      <c r="F82" s="23">
        <f>'Model inputs'!F89*'Model inputs'!AM43</f>
        <v>5600</v>
      </c>
      <c r="G82" s="23">
        <f>'Model inputs'!G89*'Model inputs'!AM43</f>
        <v>7000</v>
      </c>
      <c r="H82" s="23">
        <f>'Model inputs'!H89*'Model inputs'!AM43</f>
        <v>8400.000000000002</v>
      </c>
      <c r="I82" s="23">
        <f>'Model inputs'!I89*'Model inputs'!AM43</f>
        <v>12133.333333333334</v>
      </c>
      <c r="J82" s="23">
        <f>'Model inputs'!J89*'Model inputs'!AM43</f>
        <v>15866.666666666666</v>
      </c>
      <c r="K82" s="23">
        <f>'Model inputs'!K89*'Model inputs'!AM43</f>
        <v>19600.000000000004</v>
      </c>
      <c r="L82" s="23">
        <f>'Model inputs'!L89*'Model inputs'!AM43</f>
        <v>23333.333333333332</v>
      </c>
      <c r="M82" s="23">
        <f>'Model inputs'!M89*'Model inputs'!AM43</f>
        <v>27066.666666666668</v>
      </c>
      <c r="N82" s="23">
        <f>'Model inputs'!N89*'Model inputs'!AM43</f>
        <v>30800.000000000004</v>
      </c>
      <c r="O82" s="23">
        <f>'Model inputs'!O89*'Model inputs'!AM43</f>
        <v>39666.66666666667</v>
      </c>
      <c r="P82" s="23">
        <f>'Model inputs'!P89*'Model inputs'!AM43</f>
        <v>48533.333333333336</v>
      </c>
      <c r="Q82" s="23">
        <f>'Model inputs'!Q89*'Model inputs'!AM43</f>
        <v>57400.00000000001</v>
      </c>
      <c r="R82" s="23">
        <f>'Model inputs'!R89*'Model inputs'!AM43</f>
        <v>66266.66666666667</v>
      </c>
      <c r="S82" s="23">
        <f>'Model inputs'!S89*'Model inputs'!AM43</f>
        <v>75133.33333333334</v>
      </c>
      <c r="T82" s="23">
        <f>'Model inputs'!T89*'Model inputs'!AM43</f>
        <v>84000</v>
      </c>
      <c r="U82" s="23">
        <f>'Model inputs'!U89*'Model inputs'!AM43</f>
        <v>93333.33333333334</v>
      </c>
      <c r="V82" s="23">
        <f>'Model inputs'!V89*'Model inputs'!AM43</f>
        <v>102666.66666666666</v>
      </c>
      <c r="W82" s="23">
        <f>'Model inputs'!W89*'Model inputs'!AM43</f>
        <v>112000</v>
      </c>
      <c r="X82" s="23">
        <f>'Model inputs'!X89*'Model inputs'!AM43</f>
        <v>121333.33333333333</v>
      </c>
      <c r="Y82" s="23">
        <f>'Model inputs'!Y89*'Model inputs'!AM43</f>
        <v>130666.66666666667</v>
      </c>
      <c r="Z82" s="23">
        <f>'Model inputs'!Z89*'Model inputs'!AM43</f>
        <v>140000</v>
      </c>
      <c r="AA82" s="23">
        <f>'Model inputs'!AA89*'Model inputs'!AM43</f>
        <v>148166.6666666667</v>
      </c>
      <c r="AB82" s="23">
        <f>'Model inputs'!AB89*'Model inputs'!AM43</f>
        <v>156333.33333333334</v>
      </c>
      <c r="AC82" s="23">
        <f>'Model inputs'!AC89*'Model inputs'!AM43</f>
        <v>164500</v>
      </c>
      <c r="AD82" s="23">
        <f>'Model inputs'!AD89*'Model inputs'!AM43</f>
        <v>172666.6666666667</v>
      </c>
      <c r="AE82" s="23">
        <f>'Model inputs'!AE89*'Model inputs'!AM43</f>
        <v>180833.3333333333</v>
      </c>
      <c r="AF82" s="23">
        <f>'Model inputs'!AF89*'Model inputs'!AM43</f>
        <v>189000</v>
      </c>
      <c r="AG82" s="23">
        <f>'Model inputs'!AG89*'Model inputs'!AM43</f>
        <v>194833.3333333333</v>
      </c>
      <c r="AH82" s="23">
        <f>'Model inputs'!AH89*'Model inputs'!AM43</f>
        <v>200666.6666666667</v>
      </c>
      <c r="AI82" s="23">
        <f>'Model inputs'!AI89*'Model inputs'!AM43</f>
        <v>206500</v>
      </c>
      <c r="AJ82" s="23">
        <f>'Model inputs'!AJ89*'Model inputs'!AM43</f>
        <v>212333.3333333333</v>
      </c>
      <c r="AK82" s="23">
        <f>'Model inputs'!AK89*'Model inputs'!AM43</f>
        <v>218166.6666666667</v>
      </c>
      <c r="AL82" s="23">
        <f>'Model inputs'!AL89*'Model inputs'!AM43</f>
        <v>224000</v>
      </c>
    </row>
    <row r="83" outlineLevel="1">
      <c r="A83" t="inlineStr" s="26">
        <is>
          <t xml:space="preserve">Subscription MRR &gt; Liquid staking</t>
        </is>
      </c>
      <c r="B83" s="23">
        <f>0</f>
        <v>0</v>
      </c>
      <c r="C83" s="23">
        <f>'Model inputs'!C90*'Model inputs'!AM43</f>
        <v>1050</v>
      </c>
      <c r="D83" s="23">
        <f>'Model inputs'!D90*'Model inputs'!AM43</f>
        <v>2100</v>
      </c>
      <c r="E83" s="23">
        <f>'Model inputs'!E90*'Model inputs'!AM43</f>
        <v>3149.9999999999995</v>
      </c>
      <c r="F83" s="23">
        <f>'Model inputs'!F90*'Model inputs'!AM43</f>
        <v>4200</v>
      </c>
      <c r="G83" s="23">
        <f>'Model inputs'!G90*'Model inputs'!AM43</f>
        <v>5250</v>
      </c>
      <c r="H83" s="23">
        <f>'Model inputs'!H90*'Model inputs'!AM43</f>
        <v>6299.999999999999</v>
      </c>
      <c r="I83" s="23">
        <f>'Model inputs'!I90*'Model inputs'!AM43</f>
        <v>9099.999999999998</v>
      </c>
      <c r="J83" s="23">
        <f>'Model inputs'!J90*'Model inputs'!AM43</f>
        <v>11899.999999999998</v>
      </c>
      <c r="K83" s="23">
        <f>'Model inputs'!K90*'Model inputs'!AM43</f>
        <v>14700</v>
      </c>
      <c r="L83" s="23">
        <f>'Model inputs'!L90*'Model inputs'!AM43</f>
        <v>17499.999999999996</v>
      </c>
      <c r="M83" s="23">
        <f>'Model inputs'!M90*'Model inputs'!AM43</f>
        <v>20300</v>
      </c>
      <c r="N83" s="23">
        <f>'Model inputs'!N90*'Model inputs'!AM43</f>
        <v>23100</v>
      </c>
      <c r="O83" s="23">
        <f>'Model inputs'!O90*'Model inputs'!AM43</f>
        <v>29750</v>
      </c>
      <c r="P83" s="23">
        <f>'Model inputs'!P90*'Model inputs'!AM43</f>
        <v>36399.99999999999</v>
      </c>
      <c r="Q83" s="23">
        <f>'Model inputs'!Q90*'Model inputs'!AM43</f>
        <v>43049.99999999999</v>
      </c>
      <c r="R83" s="23">
        <f>'Model inputs'!R90*'Model inputs'!AM43</f>
        <v>49699.99999999999</v>
      </c>
      <c r="S83" s="23">
        <f>'Model inputs'!S90*'Model inputs'!AM43</f>
        <v>56349.99999999999</v>
      </c>
      <c r="T83" s="23">
        <f>'Model inputs'!T90*'Model inputs'!AM43</f>
        <v>63000</v>
      </c>
      <c r="U83" s="23">
        <f>'Model inputs'!U90*'Model inputs'!AM43</f>
        <v>70000</v>
      </c>
      <c r="V83" s="23">
        <f>'Model inputs'!V90*'Model inputs'!AM43</f>
        <v>76999.99999999999</v>
      </c>
      <c r="W83" s="23">
        <f>'Model inputs'!W90*'Model inputs'!AM43</f>
        <v>84000</v>
      </c>
      <c r="X83" s="23">
        <f>'Model inputs'!X90*'Model inputs'!AM43</f>
        <v>90999.99999999999</v>
      </c>
      <c r="Y83" s="23">
        <f>'Model inputs'!Y90*'Model inputs'!AM43</f>
        <v>97999.99999999999</v>
      </c>
      <c r="Z83" s="23">
        <f>'Model inputs'!Z90*'Model inputs'!AM43</f>
        <v>105000</v>
      </c>
      <c r="AA83" s="23">
        <f>'Model inputs'!AA90*'Model inputs'!AM43</f>
        <v>111124.99999999999</v>
      </c>
      <c r="AB83" s="23">
        <f>'Model inputs'!AB90*'Model inputs'!AM43</f>
        <v>117250</v>
      </c>
      <c r="AC83" s="23">
        <f>'Model inputs'!AC90*'Model inputs'!AM43</f>
        <v>123375</v>
      </c>
      <c r="AD83" s="23">
        <f>'Model inputs'!AD90*'Model inputs'!AM43</f>
        <v>129500</v>
      </c>
      <c r="AE83" s="23">
        <f>'Model inputs'!AE90*'Model inputs'!AM43</f>
        <v>135624.99999999997</v>
      </c>
      <c r="AF83" s="23">
        <f>'Model inputs'!AF90*'Model inputs'!AM43</f>
        <v>141750</v>
      </c>
      <c r="AG83" s="23">
        <f>'Model inputs'!AG90*'Model inputs'!AM43</f>
        <v>146124.99999999997</v>
      </c>
      <c r="AH83" s="23">
        <f>'Model inputs'!AH90*'Model inputs'!AM43</f>
        <v>150500</v>
      </c>
      <c r="AI83" s="23">
        <f>'Model inputs'!AI90*'Model inputs'!AM43</f>
        <v>154875</v>
      </c>
      <c r="AJ83" s="23">
        <f>'Model inputs'!AJ90*'Model inputs'!AM43</f>
        <v>159249.99999999997</v>
      </c>
      <c r="AK83" s="23">
        <f>'Model inputs'!AK90*'Model inputs'!AM43</f>
        <v>163625</v>
      </c>
      <c r="AL83" s="23">
        <f>'Model inputs'!AL90*'Model inputs'!AM43</f>
        <v>168000</v>
      </c>
    </row>
    <row r="84">
      <c r="A84" t="inlineStr" s="25">
        <is>
          <t xml:space="preserve">Telemetry cost per incident · POA — Monthly financial forecast</t>
        </is>
      </c>
      <c r="AM84" s="23">
        <f>0.001</f>
        <v>0.001</v>
      </c>
    </row>
    <row r="85">
      <c r="A85" t="inlineStr" s="25">
        <is>
          <t xml:space="preserve">Total revenue · POA — Three year summary</t>
        </is>
      </c>
      <c r="B85" s="23">
        <v>0</v>
      </c>
      <c r="C85" s="23">
        <f>'Model inputs'!C79+'Model inputs'!C15</f>
        <v>3520.8333333333335</v>
      </c>
      <c r="D85" s="23">
        <f>'Model inputs'!D79+'Model inputs'!D15</f>
        <v>7083.333333333333</v>
      </c>
      <c r="E85" s="23">
        <f>'Model inputs'!E79+'Model inputs'!E15</f>
        <v>10687.5</v>
      </c>
      <c r="F85" s="23">
        <f>'Model inputs'!F79+'Model inputs'!F15</f>
        <v>14333.333333333334</v>
      </c>
      <c r="G85" s="23">
        <f>'Model inputs'!G79+'Model inputs'!G15</f>
        <v>18020.833333333332</v>
      </c>
      <c r="H85" s="23">
        <f>'Model inputs'!H79+'Model inputs'!H15</f>
        <v>21750</v>
      </c>
      <c r="I85" s="23">
        <f>'Model inputs'!I79+'Model inputs'!I15</f>
        <v>32308.50168350168</v>
      </c>
      <c r="J85" s="23">
        <f>'Model inputs'!J79+'Model inputs'!J15</f>
        <v>43415.82491582491</v>
      </c>
      <c r="K85" s="23">
        <f>'Model inputs'!K79+'Model inputs'!K15</f>
        <v>55071.969696969696</v>
      </c>
      <c r="L85" s="23">
        <f>'Model inputs'!L79+'Model inputs'!L15</f>
        <v>67276.93602693602</v>
      </c>
      <c r="M85" s="23">
        <f>'Model inputs'!M79+'Model inputs'!M15</f>
        <v>80030.7239057239</v>
      </c>
      <c r="N85" s="23">
        <f>'Model inputs'!N79+'Model inputs'!N15</f>
        <v>93333.33333333333</v>
      </c>
      <c r="O85" s="23">
        <f>'Model inputs'!O79+'Model inputs'!O15</f>
        <v>122598.90572390571</v>
      </c>
      <c r="P85" s="23">
        <f>'Model inputs'!P79+'Model inputs'!P15</f>
        <v>152936.0269360269</v>
      </c>
      <c r="Q85" s="23">
        <f>'Model inputs'!Q79+'Model inputs'!Q15</f>
        <v>184344.69696969696</v>
      </c>
      <c r="R85" s="23">
        <f>'Model inputs'!R79+'Model inputs'!R15</f>
        <v>216824.9158249158</v>
      </c>
      <c r="S85" s="23">
        <f>'Model inputs'!S79+'Model inputs'!S15</f>
        <v>250376.6835016835</v>
      </c>
      <c r="T85" s="23">
        <f>'Model inputs'!T79+'Model inputs'!T15</f>
        <v>285000</v>
      </c>
      <c r="U85" s="23">
        <f>'Model inputs'!U79+'Model inputs'!U15</f>
        <v>319444.4444444445</v>
      </c>
      <c r="V85" s="23">
        <f>'Model inputs'!V79+'Model inputs'!V15</f>
        <v>354444.4444444444</v>
      </c>
      <c r="W85" s="23">
        <f>'Model inputs'!W79+'Model inputs'!W15</f>
        <v>390000</v>
      </c>
      <c r="X85" s="23">
        <f>'Model inputs'!X79+'Model inputs'!X15</f>
        <v>426111.11111111107</v>
      </c>
      <c r="Y85" s="23">
        <f>'Model inputs'!Y79+'Model inputs'!Y15</f>
        <v>462777.77777777775</v>
      </c>
      <c r="Z85" s="23">
        <f>'Model inputs'!Z79+'Model inputs'!Z15</f>
        <v>500000</v>
      </c>
      <c r="AA85" s="23">
        <f>'Model inputs'!AA79+'Model inputs'!AA15</f>
        <v>533576.3888888889</v>
      </c>
      <c r="AB85" s="23">
        <f>'Model inputs'!AB79+'Model inputs'!AB15</f>
        <v>567638.888888889</v>
      </c>
      <c r="AC85" s="23">
        <f>'Model inputs'!AC79+'Model inputs'!AC15</f>
        <v>602187.5</v>
      </c>
      <c r="AD85" s="23">
        <f>'Model inputs'!AD79+'Model inputs'!AD15</f>
        <v>637222.2222222222</v>
      </c>
      <c r="AE85" s="23">
        <f>'Model inputs'!AE79+'Model inputs'!AE15</f>
        <v>672743.0555555555</v>
      </c>
      <c r="AF85" s="23">
        <f>'Model inputs'!AF79+'Model inputs'!AF15</f>
        <v>708750</v>
      </c>
      <c r="AG85" s="23">
        <f>'Model inputs'!AG79+'Model inputs'!AG15</f>
        <v>736423.611111111</v>
      </c>
      <c r="AH85" s="23">
        <f>'Model inputs'!AH79+'Model inputs'!AH15</f>
        <v>764444.4444444445</v>
      </c>
      <c r="AI85" s="23">
        <f>'Model inputs'!AI79+'Model inputs'!AI15</f>
        <v>792812.5</v>
      </c>
      <c r="AJ85" s="23">
        <f>'Model inputs'!AJ79+'Model inputs'!AJ15</f>
        <v>821527.7777777778</v>
      </c>
      <c r="AK85" s="23">
        <f>'Model inputs'!AK79+'Model inputs'!AK15</f>
        <v>850590.2777777779</v>
      </c>
      <c r="AL85" s="23">
        <f>'Model inputs'!AL79+'Model inputs'!AL15</f>
        <v>880000</v>
      </c>
    </row>
    <row r="86">
      <c r="A86" t="inlineStr" s="25">
        <is>
          <t xml:space="preserve">Total revenue annualized run rate</t>
        </is>
      </c>
      <c r="C86" s="23">
        <f>'Model inputs'!C85*12</f>
        <v>42250</v>
      </c>
      <c r="D86" s="23">
        <f>'Model inputs'!D85*12</f>
        <v>85000</v>
      </c>
      <c r="E86" s="23">
        <f>'Model inputs'!E85*12</f>
        <v>128250</v>
      </c>
      <c r="F86" s="23">
        <f>'Model inputs'!F85*12</f>
        <v>172000</v>
      </c>
      <c r="G86" s="23">
        <f>'Model inputs'!G85*12</f>
        <v>216250</v>
      </c>
      <c r="H86" s="23">
        <f>'Model inputs'!H85*12</f>
        <v>261000</v>
      </c>
      <c r="I86" s="23">
        <f>'Model inputs'!I85*12</f>
        <v>387702.0202020202</v>
      </c>
      <c r="J86" s="23">
        <f>'Model inputs'!J85*12</f>
        <v>520989.8989898989</v>
      </c>
      <c r="K86" s="23">
        <f>'Model inputs'!K85*12</f>
        <v>660863.6363636364</v>
      </c>
      <c r="L86" s="23">
        <f>'Model inputs'!L85*12</f>
        <v>807323.2323232322</v>
      </c>
      <c r="M86" s="23">
        <f>'Model inputs'!M85*12</f>
        <v>960368.6868686869</v>
      </c>
      <c r="N86" s="23">
        <f>'Model inputs'!N85*12</f>
        <v>1120000</v>
      </c>
      <c r="O86" s="23">
        <f>'Model inputs'!O85*12</f>
        <v>1471186.8686868686</v>
      </c>
      <c r="P86" s="23">
        <f>'Model inputs'!P85*12</f>
        <v>1835232.323232323</v>
      </c>
      <c r="Q86" s="23">
        <f>'Model inputs'!Q85*12</f>
        <v>2212136.3636363633</v>
      </c>
      <c r="R86" s="23">
        <f>'Model inputs'!R85*12</f>
        <v>2601898.98989899</v>
      </c>
      <c r="S86" s="23">
        <f>'Model inputs'!S85*12</f>
        <v>3004520.202020202</v>
      </c>
      <c r="T86" s="23">
        <f>'Model inputs'!T85*12</f>
        <v>3420000</v>
      </c>
      <c r="U86" s="23">
        <f>'Model inputs'!U85*12</f>
        <v>3833333.333333334</v>
      </c>
      <c r="V86" s="23">
        <f>'Model inputs'!V85*12</f>
        <v>4253333.333333332</v>
      </c>
      <c r="W86" s="23">
        <f>'Model inputs'!W85*12</f>
        <v>4680000</v>
      </c>
      <c r="X86" s="23">
        <f>'Model inputs'!X85*12</f>
        <v>5113333.333333333</v>
      </c>
      <c r="Y86" s="23">
        <f>'Model inputs'!Y85*12</f>
        <v>5553333.333333333</v>
      </c>
      <c r="Z86" s="23">
        <f>'Model inputs'!Z85*12</f>
        <v>6000000</v>
      </c>
      <c r="AA86" s="23">
        <f>'Model inputs'!AA85*12</f>
        <v>6402916.666666666</v>
      </c>
      <c r="AB86" s="23">
        <f>'Model inputs'!AB85*12</f>
        <v>6811666.666666668</v>
      </c>
      <c r="AC86" s="23">
        <f>'Model inputs'!AC85*12</f>
        <v>7226250</v>
      </c>
      <c r="AD86" s="23">
        <f>'Model inputs'!AD85*12</f>
        <v>7646666.666666667</v>
      </c>
      <c r="AE86" s="23">
        <f>'Model inputs'!AE85*12</f>
        <v>8072916.666666666</v>
      </c>
      <c r="AF86" s="23">
        <f>'Model inputs'!AF85*12</f>
        <v>8505000</v>
      </c>
      <c r="AG86" s="23">
        <f>'Model inputs'!AG85*12</f>
        <v>8837083.333333332</v>
      </c>
      <c r="AH86" s="23">
        <f>'Model inputs'!AH85*12</f>
        <v>9173333.333333334</v>
      </c>
      <c r="AI86" s="23">
        <f>'Model inputs'!AI85*12</f>
        <v>9513750</v>
      </c>
      <c r="AJ86" s="23">
        <f>'Model inputs'!AJ85*12</f>
        <v>9858333.333333332</v>
      </c>
      <c r="AK86" s="23">
        <f>'Model inputs'!AK85*12</f>
        <v>10207083.333333334</v>
      </c>
      <c r="AL86" s="23">
        <f>'Model inputs'!AL85*12</f>
        <v>10560000</v>
      </c>
    </row>
    <row r="87">
      <c r="A87" t="inlineStr" s="25">
        <is>
          <t xml:space="preserve">Active protocols by segment</t>
        </is>
      </c>
      <c r="B87" s="22">
        <f>SUM('Model inputs'!B88,'Model inputs'!B89,'Model inputs'!B90)</f>
        <v>0</v>
      </c>
      <c r="C87" s="22">
        <f>SUM('Model inputs'!C88,'Model inputs'!C89,'Model inputs'!C90)</f>
        <v>1</v>
      </c>
      <c r="D87" s="22">
        <f>SUM('Model inputs'!D88,'Model inputs'!D89,'Model inputs'!D90)</f>
        <v>2</v>
      </c>
      <c r="E87" s="22">
        <f>SUM('Model inputs'!E88,'Model inputs'!E89,'Model inputs'!E90)</f>
        <v>3</v>
      </c>
      <c r="F87" s="22">
        <f>SUM('Model inputs'!F88,'Model inputs'!F89,'Model inputs'!F90)</f>
        <v>4</v>
      </c>
      <c r="G87" s="22">
        <f>SUM('Model inputs'!G88,'Model inputs'!G89,'Model inputs'!G90)</f>
        <v>5</v>
      </c>
      <c r="H87" s="22">
        <f>SUM('Model inputs'!H88,'Model inputs'!H89,'Model inputs'!H90)</f>
        <v>6</v>
      </c>
      <c r="I87" s="22">
        <f>SUM('Model inputs'!I88,'Model inputs'!I89,'Model inputs'!I90)</f>
        <v>8.666666666666666</v>
      </c>
      <c r="J87" s="22">
        <f>SUM('Model inputs'!J88,'Model inputs'!J89,'Model inputs'!J90)</f>
        <v>11.333333333333332</v>
      </c>
      <c r="K87" s="22">
        <f>SUM('Model inputs'!K88,'Model inputs'!K89,'Model inputs'!K90)</f>
        <v>14</v>
      </c>
      <c r="L87" s="22">
        <f>SUM('Model inputs'!L88,'Model inputs'!L89,'Model inputs'!L90)</f>
        <v>16.666666666666664</v>
      </c>
      <c r="M87" s="22">
        <f>SUM('Model inputs'!M88,'Model inputs'!M89,'Model inputs'!M90)</f>
        <v>19.333333333333332</v>
      </c>
      <c r="N87" s="22">
        <f>SUM('Model inputs'!N88,'Model inputs'!N89,'Model inputs'!N90)</f>
        <v>22</v>
      </c>
      <c r="O87" s="22">
        <f>SUM('Model inputs'!O88,'Model inputs'!O89,'Model inputs'!O90)</f>
        <v>28.333333333333336</v>
      </c>
      <c r="P87" s="22">
        <f>SUM('Model inputs'!P88,'Model inputs'!P89,'Model inputs'!P90)</f>
        <v>34.666666666666664</v>
      </c>
      <c r="Q87" s="22">
        <f>SUM('Model inputs'!Q88,'Model inputs'!Q89,'Model inputs'!Q90)</f>
        <v>41</v>
      </c>
      <c r="R87" s="22">
        <f>SUM('Model inputs'!R88,'Model inputs'!R89,'Model inputs'!R90)</f>
        <v>47.33333333333333</v>
      </c>
      <c r="S87" s="22">
        <f>SUM('Model inputs'!S88,'Model inputs'!S89,'Model inputs'!S90)</f>
        <v>53.666666666666664</v>
      </c>
      <c r="T87" s="22">
        <f>SUM('Model inputs'!T88,'Model inputs'!T89,'Model inputs'!T90)</f>
        <v>60</v>
      </c>
      <c r="U87" s="22">
        <f>SUM('Model inputs'!U88,'Model inputs'!U89,'Model inputs'!U90)</f>
        <v>66.66666666666667</v>
      </c>
      <c r="V87" s="22">
        <f>SUM('Model inputs'!V88,'Model inputs'!V89,'Model inputs'!V90)</f>
        <v>73.33333333333333</v>
      </c>
      <c r="W87" s="22">
        <f>SUM('Model inputs'!W88,'Model inputs'!W89,'Model inputs'!W90)</f>
        <v>80</v>
      </c>
      <c r="X87" s="22">
        <f>SUM('Model inputs'!X88,'Model inputs'!X89,'Model inputs'!X90)</f>
        <v>86.66666666666666</v>
      </c>
      <c r="Y87" s="22">
        <f>SUM('Model inputs'!Y88,'Model inputs'!Y89,'Model inputs'!Y90)</f>
        <v>93.33333333333333</v>
      </c>
      <c r="Z87" s="22">
        <f>SUM('Model inputs'!Z88,'Model inputs'!Z89,'Model inputs'!Z90)</f>
        <v>100</v>
      </c>
      <c r="AA87" s="22">
        <f>SUM('Model inputs'!AA88,'Model inputs'!AA89,'Model inputs'!AA90)</f>
        <v>105.83333333333333</v>
      </c>
      <c r="AB87" s="22">
        <f>SUM('Model inputs'!AB88,'Model inputs'!AB89,'Model inputs'!AB90)</f>
        <v>111.66666666666667</v>
      </c>
      <c r="AC87" s="22">
        <f>SUM('Model inputs'!AC88,'Model inputs'!AC89,'Model inputs'!AC90)</f>
        <v>117.5</v>
      </c>
      <c r="AD87" s="22">
        <f>SUM('Model inputs'!AD88,'Model inputs'!AD89,'Model inputs'!AD90)</f>
        <v>123.33333333333334</v>
      </c>
      <c r="AE87" s="22">
        <f>SUM('Model inputs'!AE88,'Model inputs'!AE89,'Model inputs'!AE90)</f>
        <v>129.16666666666666</v>
      </c>
      <c r="AF87" s="22">
        <f>SUM('Model inputs'!AF88,'Model inputs'!AF89,'Model inputs'!AF90)</f>
        <v>135</v>
      </c>
      <c r="AG87" s="22">
        <f>SUM('Model inputs'!AG88,'Model inputs'!AG89,'Model inputs'!AG90)</f>
        <v>139.16666666666666</v>
      </c>
      <c r="AH87" s="22">
        <f>SUM('Model inputs'!AH88,'Model inputs'!AH89,'Model inputs'!AH90)</f>
        <v>143.33333333333334</v>
      </c>
      <c r="AI87" s="22">
        <f>SUM('Model inputs'!AI88,'Model inputs'!AI89,'Model inputs'!AI90)</f>
        <v>147.5</v>
      </c>
      <c r="AJ87" s="22">
        <f>SUM('Model inputs'!AJ88,'Model inputs'!AJ89,'Model inputs'!AJ90)</f>
        <v>151.66666666666666</v>
      </c>
      <c r="AK87" s="22">
        <f>SUM('Model inputs'!AK88,'Model inputs'!AK89,'Model inputs'!AK90)</f>
        <v>155.83333333333334</v>
      </c>
      <c r="AL87" s="22">
        <f>SUM('Model inputs'!AL88,'Model inputs'!AL89,'Model inputs'!AL90)</f>
        <v>160</v>
      </c>
    </row>
    <row r="88" outlineLevel="1">
      <c r="A88" t="inlineStr" s="26">
        <is>
          <t xml:space="preserve">Active protocols by segment &gt; DEX</t>
        </is>
      </c>
      <c r="B88" s="23">
        <f>0</f>
        <v>0</v>
      </c>
      <c r="C88" s="23">
        <f>'Model inputs'!C7*'Model inputs'!AM76</f>
        <v>0.3</v>
      </c>
      <c r="D88" s="23">
        <f>'Model inputs'!D7*'Model inputs'!AM76</f>
        <v>0.6</v>
      </c>
      <c r="E88" s="23">
        <f>'Model inputs'!E7*'Model inputs'!AM76</f>
        <v>0.8999999999999999</v>
      </c>
      <c r="F88" s="23">
        <f>'Model inputs'!F7*'Model inputs'!AM76</f>
        <v>1.2</v>
      </c>
      <c r="G88" s="23">
        <f>'Model inputs'!G7*'Model inputs'!AM76</f>
        <v>1.5</v>
      </c>
      <c r="H88" s="23">
        <f>'Model inputs'!H7*'Model inputs'!AM76</f>
        <v>1.7999999999999998</v>
      </c>
      <c r="I88" s="23">
        <f>'Model inputs'!I7*'Model inputs'!AM76</f>
        <v>2.5999999999999996</v>
      </c>
      <c r="J88" s="23">
        <f>'Model inputs'!J7*'Model inputs'!AM76</f>
        <v>3.3999999999999995</v>
      </c>
      <c r="K88" s="23">
        <f>'Model inputs'!K7*'Model inputs'!AM76</f>
        <v>4.2</v>
      </c>
      <c r="L88" s="23">
        <f>'Model inputs'!L7*'Model inputs'!AM76</f>
        <v>4.999999999999999</v>
      </c>
      <c r="M88" s="23">
        <f>'Model inputs'!M7*'Model inputs'!AM76</f>
        <v>5.8</v>
      </c>
      <c r="N88" s="23">
        <f>'Model inputs'!N7*'Model inputs'!AM76</f>
        <v>6.6</v>
      </c>
      <c r="O88" s="23">
        <f>'Model inputs'!O7*'Model inputs'!AM76</f>
        <v>8.5</v>
      </c>
      <c r="P88" s="23">
        <f>'Model inputs'!P7*'Model inputs'!AM76</f>
        <v>10.399999999999999</v>
      </c>
      <c r="Q88" s="23">
        <f>'Model inputs'!Q7*'Model inputs'!AM76</f>
        <v>12.299999999999999</v>
      </c>
      <c r="R88" s="23">
        <f>'Model inputs'!R7*'Model inputs'!AM76</f>
        <v>14.199999999999998</v>
      </c>
      <c r="S88" s="23">
        <f>'Model inputs'!S7*'Model inputs'!AM76</f>
        <v>16.099999999999998</v>
      </c>
      <c r="T88" s="23">
        <f>'Model inputs'!T7*'Model inputs'!AM76</f>
        <v>18</v>
      </c>
      <c r="U88" s="23">
        <f>'Model inputs'!U7*'Model inputs'!AM76</f>
        <v>20</v>
      </c>
      <c r="V88" s="23">
        <f>'Model inputs'!V7*'Model inputs'!AM76</f>
        <v>21.999999999999996</v>
      </c>
      <c r="W88" s="23">
        <f>'Model inputs'!W7*'Model inputs'!AM76</f>
        <v>24</v>
      </c>
      <c r="X88" s="23">
        <f>'Model inputs'!X7*'Model inputs'!AM76</f>
        <v>25.999999999999996</v>
      </c>
      <c r="Y88" s="23">
        <f>'Model inputs'!Y7*'Model inputs'!AM76</f>
        <v>27.999999999999996</v>
      </c>
      <c r="Z88" s="23">
        <f>'Model inputs'!Z7*'Model inputs'!AM76</f>
        <v>30</v>
      </c>
      <c r="AA88" s="23">
        <f>'Model inputs'!AA7*'Model inputs'!AM76</f>
        <v>31.749999999999996</v>
      </c>
      <c r="AB88" s="23">
        <f>'Model inputs'!AB7*'Model inputs'!AM76</f>
        <v>33.5</v>
      </c>
      <c r="AC88" s="23">
        <f>'Model inputs'!AC7*'Model inputs'!AM76</f>
        <v>35.25</v>
      </c>
      <c r="AD88" s="23">
        <f>'Model inputs'!AD7*'Model inputs'!AM76</f>
        <v>37</v>
      </c>
      <c r="AE88" s="23">
        <f>'Model inputs'!AE7*'Model inputs'!AM76</f>
        <v>38.74999999999999</v>
      </c>
      <c r="AF88" s="23">
        <f>'Model inputs'!AF7*'Model inputs'!AM76</f>
        <v>40.5</v>
      </c>
      <c r="AG88" s="23">
        <f>'Model inputs'!AG7*'Model inputs'!AM76</f>
        <v>41.74999999999999</v>
      </c>
      <c r="AH88" s="23">
        <f>'Model inputs'!AH7*'Model inputs'!AM76</f>
        <v>43</v>
      </c>
      <c r="AI88" s="23">
        <f>'Model inputs'!AI7*'Model inputs'!AM76</f>
        <v>44.25</v>
      </c>
      <c r="AJ88" s="23">
        <f>'Model inputs'!AJ7*'Model inputs'!AM76</f>
        <v>45.49999999999999</v>
      </c>
      <c r="AK88" s="23">
        <f>'Model inputs'!AK7*'Model inputs'!AM76</f>
        <v>46.75</v>
      </c>
      <c r="AL88" s="23">
        <f>'Model inputs'!AL7*'Model inputs'!AM76</f>
        <v>48</v>
      </c>
    </row>
    <row r="89" outlineLevel="1">
      <c r="A89" t="inlineStr" s="26">
        <is>
          <t xml:space="preserve">Active protocols by segment &gt; Lending</t>
        </is>
      </c>
      <c r="B89" s="23">
        <f>0</f>
        <v>0</v>
      </c>
      <c r="C89" s="23">
        <f>'Model inputs'!C7*'Model inputs'!AM77</f>
        <v>0.4</v>
      </c>
      <c r="D89" s="23">
        <f>'Model inputs'!D7*'Model inputs'!AM77</f>
        <v>0.8</v>
      </c>
      <c r="E89" s="23">
        <f>'Model inputs'!E7*'Model inputs'!AM77</f>
        <v>1.2000000000000002</v>
      </c>
      <c r="F89" s="23">
        <f>'Model inputs'!F7*'Model inputs'!AM77</f>
        <v>1.6</v>
      </c>
      <c r="G89" s="23">
        <f>'Model inputs'!G7*'Model inputs'!AM77</f>
        <v>2</v>
      </c>
      <c r="H89" s="23">
        <f>'Model inputs'!H7*'Model inputs'!AM77</f>
        <v>2.4000000000000004</v>
      </c>
      <c r="I89" s="23">
        <f>'Model inputs'!I7*'Model inputs'!AM77</f>
        <v>3.466666666666667</v>
      </c>
      <c r="J89" s="23">
        <f>'Model inputs'!J7*'Model inputs'!AM77</f>
        <v>4.533333333333333</v>
      </c>
      <c r="K89" s="23">
        <f>'Model inputs'!K7*'Model inputs'!AM77</f>
        <v>5.6000000000000005</v>
      </c>
      <c r="L89" s="23">
        <f>'Model inputs'!L7*'Model inputs'!AM77</f>
        <v>6.666666666666666</v>
      </c>
      <c r="M89" s="23">
        <f>'Model inputs'!M7*'Model inputs'!AM77</f>
        <v>7.733333333333333</v>
      </c>
      <c r="N89" s="23">
        <f>'Model inputs'!N7*'Model inputs'!AM77</f>
        <v>8.8</v>
      </c>
      <c r="O89" s="23">
        <f>'Model inputs'!O7*'Model inputs'!AM77</f>
        <v>11.333333333333334</v>
      </c>
      <c r="P89" s="23">
        <f>'Model inputs'!P7*'Model inputs'!AM77</f>
        <v>13.866666666666667</v>
      </c>
      <c r="Q89" s="23">
        <f>'Model inputs'!Q7*'Model inputs'!AM77</f>
        <v>16.400000000000002</v>
      </c>
      <c r="R89" s="23">
        <f>'Model inputs'!R7*'Model inputs'!AM77</f>
        <v>18.933333333333334</v>
      </c>
      <c r="S89" s="23">
        <f>'Model inputs'!S7*'Model inputs'!AM77</f>
        <v>21.46666666666667</v>
      </c>
      <c r="T89" s="23">
        <f>'Model inputs'!T7*'Model inputs'!AM77</f>
        <v>24</v>
      </c>
      <c r="U89" s="23">
        <f>'Model inputs'!U7*'Model inputs'!AM77</f>
        <v>26.66666666666667</v>
      </c>
      <c r="V89" s="23">
        <f>'Model inputs'!V7*'Model inputs'!AM77</f>
        <v>29.333333333333332</v>
      </c>
      <c r="W89" s="23">
        <f>'Model inputs'!W7*'Model inputs'!AM77</f>
        <v>32</v>
      </c>
      <c r="X89" s="23">
        <f>'Model inputs'!X7*'Model inputs'!AM77</f>
        <v>34.666666666666664</v>
      </c>
      <c r="Y89" s="23">
        <f>'Model inputs'!Y7*'Model inputs'!AM77</f>
        <v>37.333333333333336</v>
      </c>
      <c r="Z89" s="23">
        <f>'Model inputs'!Z7*'Model inputs'!AM77</f>
        <v>40</v>
      </c>
      <c r="AA89" s="23">
        <f>'Model inputs'!AA7*'Model inputs'!AM77</f>
        <v>42.333333333333336</v>
      </c>
      <c r="AB89" s="23">
        <f>'Model inputs'!AB7*'Model inputs'!AM77</f>
        <v>44.66666666666667</v>
      </c>
      <c r="AC89" s="23">
        <f>'Model inputs'!AC7*'Model inputs'!AM77</f>
        <v>47</v>
      </c>
      <c r="AD89" s="23">
        <f>'Model inputs'!AD7*'Model inputs'!AM77</f>
        <v>49.333333333333336</v>
      </c>
      <c r="AE89" s="23">
        <f>'Model inputs'!AE7*'Model inputs'!AM77</f>
        <v>51.666666666666664</v>
      </c>
      <c r="AF89" s="23">
        <f>'Model inputs'!AF7*'Model inputs'!AM77</f>
        <v>54</v>
      </c>
      <c r="AG89" s="23">
        <f>'Model inputs'!AG7*'Model inputs'!AM77</f>
        <v>55.666666666666664</v>
      </c>
      <c r="AH89" s="23">
        <f>'Model inputs'!AH7*'Model inputs'!AM77</f>
        <v>57.33333333333334</v>
      </c>
      <c r="AI89" s="23">
        <f>'Model inputs'!AI7*'Model inputs'!AM77</f>
        <v>59</v>
      </c>
      <c r="AJ89" s="23">
        <f>'Model inputs'!AJ7*'Model inputs'!AM77</f>
        <v>60.666666666666664</v>
      </c>
      <c r="AK89" s="23">
        <f>'Model inputs'!AK7*'Model inputs'!AM77</f>
        <v>62.33333333333334</v>
      </c>
      <c r="AL89" s="23">
        <f>'Model inputs'!AL7*'Model inputs'!AM77</f>
        <v>64</v>
      </c>
    </row>
    <row r="90" outlineLevel="1">
      <c r="A90" t="inlineStr" s="26">
        <is>
          <t xml:space="preserve">Active protocols by segment &gt; Liquid staking</t>
        </is>
      </c>
      <c r="B90" s="23">
        <f>0</f>
        <v>0</v>
      </c>
      <c r="C90" s="23">
        <f>'Model inputs'!C7*'Model inputs'!AM78</f>
        <v>0.3</v>
      </c>
      <c r="D90" s="23">
        <f>'Model inputs'!D7*'Model inputs'!AM78</f>
        <v>0.6</v>
      </c>
      <c r="E90" s="23">
        <f>'Model inputs'!E7*'Model inputs'!AM78</f>
        <v>0.8999999999999999</v>
      </c>
      <c r="F90" s="23">
        <f>'Model inputs'!F7*'Model inputs'!AM78</f>
        <v>1.2</v>
      </c>
      <c r="G90" s="23">
        <f>'Model inputs'!G7*'Model inputs'!AM78</f>
        <v>1.5</v>
      </c>
      <c r="H90" s="23">
        <f>'Model inputs'!H7*'Model inputs'!AM78</f>
        <v>1.7999999999999998</v>
      </c>
      <c r="I90" s="23">
        <f>'Model inputs'!I7*'Model inputs'!AM78</f>
        <v>2.5999999999999996</v>
      </c>
      <c r="J90" s="23">
        <f>'Model inputs'!J7*'Model inputs'!AM78</f>
        <v>3.3999999999999995</v>
      </c>
      <c r="K90" s="23">
        <f>'Model inputs'!K7*'Model inputs'!AM78</f>
        <v>4.2</v>
      </c>
      <c r="L90" s="23">
        <f>'Model inputs'!L7*'Model inputs'!AM78</f>
        <v>4.999999999999999</v>
      </c>
      <c r="M90" s="23">
        <f>'Model inputs'!M7*'Model inputs'!AM78</f>
        <v>5.8</v>
      </c>
      <c r="N90" s="23">
        <f>'Model inputs'!N7*'Model inputs'!AM78</f>
        <v>6.6</v>
      </c>
      <c r="O90" s="23">
        <f>'Model inputs'!O7*'Model inputs'!AM78</f>
        <v>8.5</v>
      </c>
      <c r="P90" s="23">
        <f>'Model inputs'!P7*'Model inputs'!AM78</f>
        <v>10.399999999999999</v>
      </c>
      <c r="Q90" s="23">
        <f>'Model inputs'!Q7*'Model inputs'!AM78</f>
        <v>12.299999999999999</v>
      </c>
      <c r="R90" s="23">
        <f>'Model inputs'!R7*'Model inputs'!AM78</f>
        <v>14.199999999999998</v>
      </c>
      <c r="S90" s="23">
        <f>'Model inputs'!S7*'Model inputs'!AM78</f>
        <v>16.099999999999998</v>
      </c>
      <c r="T90" s="23">
        <f>'Model inputs'!T7*'Model inputs'!AM78</f>
        <v>18</v>
      </c>
      <c r="U90" s="23">
        <f>'Model inputs'!U7*'Model inputs'!AM78</f>
        <v>20</v>
      </c>
      <c r="V90" s="23">
        <f>'Model inputs'!V7*'Model inputs'!AM78</f>
        <v>21.999999999999996</v>
      </c>
      <c r="W90" s="23">
        <f>'Model inputs'!W7*'Model inputs'!AM78</f>
        <v>24</v>
      </c>
      <c r="X90" s="23">
        <f>'Model inputs'!X7*'Model inputs'!AM78</f>
        <v>25.999999999999996</v>
      </c>
      <c r="Y90" s="23">
        <f>'Model inputs'!Y7*'Model inputs'!AM78</f>
        <v>27.999999999999996</v>
      </c>
      <c r="Z90" s="23">
        <f>'Model inputs'!Z7*'Model inputs'!AM78</f>
        <v>30</v>
      </c>
      <c r="AA90" s="23">
        <f>'Model inputs'!AA7*'Model inputs'!AM78</f>
        <v>31.749999999999996</v>
      </c>
      <c r="AB90" s="23">
        <f>'Model inputs'!AB7*'Model inputs'!AM78</f>
        <v>33.5</v>
      </c>
      <c r="AC90" s="23">
        <f>'Model inputs'!AC7*'Model inputs'!AM78</f>
        <v>35.25</v>
      </c>
      <c r="AD90" s="23">
        <f>'Model inputs'!AD7*'Model inputs'!AM78</f>
        <v>37</v>
      </c>
      <c r="AE90" s="23">
        <f>'Model inputs'!AE7*'Model inputs'!AM78</f>
        <v>38.74999999999999</v>
      </c>
      <c r="AF90" s="23">
        <f>'Model inputs'!AF7*'Model inputs'!AM78</f>
        <v>40.5</v>
      </c>
      <c r="AG90" s="23">
        <f>'Model inputs'!AG7*'Model inputs'!AM78</f>
        <v>41.74999999999999</v>
      </c>
      <c r="AH90" s="23">
        <f>'Model inputs'!AH7*'Model inputs'!AM78</f>
        <v>43</v>
      </c>
      <c r="AI90" s="23">
        <f>'Model inputs'!AI7*'Model inputs'!AM78</f>
        <v>44.25</v>
      </c>
      <c r="AJ90" s="23">
        <f>'Model inputs'!AJ7*'Model inputs'!AM78</f>
        <v>45.49999999999999</v>
      </c>
      <c r="AK90" s="23">
        <f>'Model inputs'!AK7*'Model inputs'!AM78</f>
        <v>46.75</v>
      </c>
      <c r="AL90" s="23">
        <f>'Model inputs'!AL7*'Model inputs'!AM78</f>
        <v>48</v>
      </c>
    </row>
    <row r="91">
      <c r="A91" t="inlineStr" s="25">
        <is>
          <t xml:space="preserve">Cash collections · POA — Monthly financial forecast</t>
        </is>
      </c>
      <c r="B91" s="23">
        <v>0</v>
      </c>
      <c r="C91" s="23">
        <f>IF('Model inputs'!B2235=0,"",SUM('Model inputs'!B831,'Model inputs'!B2199,'Model inputs'!B2200,'Model inputs'!B2201,'Model inputs'!B2202,'Model inputs'!B2203,'Model inputs'!B2204,'Model inputs'!B2205,'Model inputs'!B2206,'Model inputs'!B2207,'Model inputs'!B2208,'Model inputs'!B2209,'Model inputs'!B2210,'Model inputs'!B2211,'Model inputs'!B2212,'Model inputs'!B2213,'Model inputs'!B2214,'Model inputs'!B2215,'Model inputs'!B2216,'Model inputs'!B2217,'Model inputs'!B2218,'Model inputs'!B2219,'Model inputs'!B2220,'Model inputs'!B2221,'Model inputs'!B2222,'Model inputs'!B2223,'Model inputs'!B2224,'Model inputs'!B2225,'Model inputs'!B2226,'Model inputs'!B2227,'Model inputs'!B2228,'Model inputs'!B2229,'Model inputs'!B2230,'Model inputs'!B2231,'Model inputs'!B2232,'Model inputs'!B2233,'Model inputs'!B2234))</f>
        <v>3520.8333333333335</v>
      </c>
      <c r="D91" s="23">
        <f>IF('Model inputs'!B2272=0,"",SUM('Model inputs'!B869,'Model inputs'!B2236,'Model inputs'!B2237,'Model inputs'!B2238,'Model inputs'!B2239,'Model inputs'!B2240,'Model inputs'!B2241,'Model inputs'!B2242,'Model inputs'!B2243,'Model inputs'!B2244,'Model inputs'!B2245,'Model inputs'!B2246,'Model inputs'!B2247,'Model inputs'!B2248,'Model inputs'!B2249,'Model inputs'!B2250,'Model inputs'!B2251,'Model inputs'!B2252,'Model inputs'!B2253,'Model inputs'!B2254,'Model inputs'!B2255,'Model inputs'!B2256,'Model inputs'!B2257,'Model inputs'!B2258,'Model inputs'!B2259,'Model inputs'!B2260,'Model inputs'!B2261,'Model inputs'!B2262,'Model inputs'!B2263,'Model inputs'!B2264,'Model inputs'!B2265,'Model inputs'!B2266,'Model inputs'!B2267,'Model inputs'!B2268,'Model inputs'!B2269,'Model inputs'!B2270,'Model inputs'!B2271))</f>
        <v>7083.333333333333</v>
      </c>
      <c r="E91" s="23">
        <f>IF('Model inputs'!B2309=0,"",SUM('Model inputs'!B907,'Model inputs'!B2273,'Model inputs'!B2274,'Model inputs'!B2275,'Model inputs'!B2276,'Model inputs'!B2277,'Model inputs'!B2278,'Model inputs'!B2279,'Model inputs'!B2280,'Model inputs'!B2281,'Model inputs'!B2282,'Model inputs'!B2283,'Model inputs'!B2284,'Model inputs'!B2285,'Model inputs'!B2286,'Model inputs'!B2287,'Model inputs'!B2288,'Model inputs'!B2289,'Model inputs'!B2290,'Model inputs'!B2291,'Model inputs'!B2292,'Model inputs'!B2293,'Model inputs'!B2294,'Model inputs'!B2295,'Model inputs'!B2296,'Model inputs'!B2297,'Model inputs'!B2298,'Model inputs'!B2299,'Model inputs'!B2300,'Model inputs'!B2301,'Model inputs'!B2302,'Model inputs'!B2303,'Model inputs'!B2304,'Model inputs'!B2305,'Model inputs'!B2306,'Model inputs'!B2307,'Model inputs'!B2308))</f>
        <v>10687.5</v>
      </c>
      <c r="F91" s="23">
        <f>IF('Model inputs'!B2346=0,"",SUM('Model inputs'!B945,'Model inputs'!B2310,'Model inputs'!B2311,'Model inputs'!B2312,'Model inputs'!B2313,'Model inputs'!B2314,'Model inputs'!B2315,'Model inputs'!B2316,'Model inputs'!B2317,'Model inputs'!B2318,'Model inputs'!B2319,'Model inputs'!B2320,'Model inputs'!B2321,'Model inputs'!B2322,'Model inputs'!B2323,'Model inputs'!B2324,'Model inputs'!B2325,'Model inputs'!B2326,'Model inputs'!B2327,'Model inputs'!B2328,'Model inputs'!B2329,'Model inputs'!B2330,'Model inputs'!B2331,'Model inputs'!B2332,'Model inputs'!B2333,'Model inputs'!B2334,'Model inputs'!B2335,'Model inputs'!B2336,'Model inputs'!B2337,'Model inputs'!B2338,'Model inputs'!B2339,'Model inputs'!B2340,'Model inputs'!B2341,'Model inputs'!B2342,'Model inputs'!B2343,'Model inputs'!B2344,'Model inputs'!B2345))</f>
        <v>14333.333333333334</v>
      </c>
      <c r="G91" s="23">
        <f>IF('Model inputs'!B2383=0,"",SUM('Model inputs'!B983,'Model inputs'!B2347,'Model inputs'!B2348,'Model inputs'!B2349,'Model inputs'!B2350,'Model inputs'!B2351,'Model inputs'!B2352,'Model inputs'!B2353,'Model inputs'!B2354,'Model inputs'!B2355,'Model inputs'!B2356,'Model inputs'!B2357,'Model inputs'!B2358,'Model inputs'!B2359,'Model inputs'!B2360,'Model inputs'!B2361,'Model inputs'!B2362,'Model inputs'!B2363,'Model inputs'!B2364,'Model inputs'!B2365,'Model inputs'!B2366,'Model inputs'!B2367,'Model inputs'!B2368,'Model inputs'!B2369,'Model inputs'!B2370,'Model inputs'!B2371,'Model inputs'!B2372,'Model inputs'!B2373,'Model inputs'!B2374,'Model inputs'!B2375,'Model inputs'!B2376,'Model inputs'!B2377,'Model inputs'!B2378,'Model inputs'!B2379,'Model inputs'!B2380,'Model inputs'!B2381,'Model inputs'!B2382))</f>
        <v>18020.833333333332</v>
      </c>
      <c r="H91" s="23">
        <f>IF('Model inputs'!B2420=0,"",SUM('Model inputs'!B1021,'Model inputs'!B2384,'Model inputs'!B2385,'Model inputs'!B2386,'Model inputs'!B2387,'Model inputs'!B2388,'Model inputs'!B2389,'Model inputs'!B2390,'Model inputs'!B2391,'Model inputs'!B2392,'Model inputs'!B2393,'Model inputs'!B2394,'Model inputs'!B2395,'Model inputs'!B2396,'Model inputs'!B2397,'Model inputs'!B2398,'Model inputs'!B2399,'Model inputs'!B2400,'Model inputs'!B2401,'Model inputs'!B2402,'Model inputs'!B2403,'Model inputs'!B2404,'Model inputs'!B2405,'Model inputs'!B2406,'Model inputs'!B2407,'Model inputs'!B2408,'Model inputs'!B2409,'Model inputs'!B2410,'Model inputs'!B2411,'Model inputs'!B2412,'Model inputs'!B2413,'Model inputs'!B2414,'Model inputs'!B2415,'Model inputs'!B2416,'Model inputs'!B2417,'Model inputs'!B2418,'Model inputs'!B2419))</f>
        <v>21750</v>
      </c>
      <c r="I91" s="23">
        <f>IF('Model inputs'!B2457=0,"",SUM('Model inputs'!B1059,'Model inputs'!B2421,'Model inputs'!B2422,'Model inputs'!B2423,'Model inputs'!B2424,'Model inputs'!B2425,'Model inputs'!B2426,'Model inputs'!B2427,'Model inputs'!B2428,'Model inputs'!B2429,'Model inputs'!B2430,'Model inputs'!B2431,'Model inputs'!B2432,'Model inputs'!B2433,'Model inputs'!B2434,'Model inputs'!B2435,'Model inputs'!B2436,'Model inputs'!B2437,'Model inputs'!B2438,'Model inputs'!B2439,'Model inputs'!B2440,'Model inputs'!B2441,'Model inputs'!B2442,'Model inputs'!B2443,'Model inputs'!B2444,'Model inputs'!B2445,'Model inputs'!B2446,'Model inputs'!B2447,'Model inputs'!B2448,'Model inputs'!B2449,'Model inputs'!B2450,'Model inputs'!B2451,'Model inputs'!B2452,'Model inputs'!B2453,'Model inputs'!B2454,'Model inputs'!B2455,'Model inputs'!B2456))</f>
        <v>32308.50168350168</v>
      </c>
      <c r="J91" s="23">
        <f>IF('Model inputs'!B2494=0,"",SUM('Model inputs'!B1097,'Model inputs'!B2458,'Model inputs'!B2459,'Model inputs'!B2460,'Model inputs'!B2461,'Model inputs'!B2462,'Model inputs'!B2463,'Model inputs'!B2464,'Model inputs'!B2465,'Model inputs'!B2466,'Model inputs'!B2467,'Model inputs'!B2468,'Model inputs'!B2469,'Model inputs'!B2470,'Model inputs'!B2471,'Model inputs'!B2472,'Model inputs'!B2473,'Model inputs'!B2474,'Model inputs'!B2475,'Model inputs'!B2476,'Model inputs'!B2477,'Model inputs'!B2478,'Model inputs'!B2479,'Model inputs'!B2480,'Model inputs'!B2481,'Model inputs'!B2482,'Model inputs'!B2483,'Model inputs'!B2484,'Model inputs'!B2485,'Model inputs'!B2486,'Model inputs'!B2487,'Model inputs'!B2488,'Model inputs'!B2489,'Model inputs'!B2490,'Model inputs'!B2491,'Model inputs'!B2492,'Model inputs'!B2493))</f>
        <v>43415.82491582491</v>
      </c>
      <c r="K91" s="23">
        <f>IF('Model inputs'!B2531=0,"",SUM('Model inputs'!B1135,'Model inputs'!B2495,'Model inputs'!B2496,'Model inputs'!B2497,'Model inputs'!B2498,'Model inputs'!B2499,'Model inputs'!B2500,'Model inputs'!B2501,'Model inputs'!B2502,'Model inputs'!B2503,'Model inputs'!B2504,'Model inputs'!B2505,'Model inputs'!B2506,'Model inputs'!B2507,'Model inputs'!B2508,'Model inputs'!B2509,'Model inputs'!B2510,'Model inputs'!B2511,'Model inputs'!B2512,'Model inputs'!B2513,'Model inputs'!B2514,'Model inputs'!B2515,'Model inputs'!B2516,'Model inputs'!B2517,'Model inputs'!B2518,'Model inputs'!B2519,'Model inputs'!B2520,'Model inputs'!B2521,'Model inputs'!B2522,'Model inputs'!B2523,'Model inputs'!B2524,'Model inputs'!B2525,'Model inputs'!B2526,'Model inputs'!B2527,'Model inputs'!B2528,'Model inputs'!B2529,'Model inputs'!B2530))</f>
        <v>55071.969696969696</v>
      </c>
      <c r="L91" s="23">
        <f>IF('Model inputs'!B2568=0,"",SUM('Model inputs'!B1173,'Model inputs'!B2532,'Model inputs'!B2533,'Model inputs'!B2534,'Model inputs'!B2535,'Model inputs'!B2536,'Model inputs'!B2537,'Model inputs'!B2538,'Model inputs'!B2539,'Model inputs'!B2540,'Model inputs'!B2541,'Model inputs'!B2542,'Model inputs'!B2543,'Model inputs'!B2544,'Model inputs'!B2545,'Model inputs'!B2546,'Model inputs'!B2547,'Model inputs'!B2548,'Model inputs'!B2549,'Model inputs'!B2550,'Model inputs'!B2551,'Model inputs'!B2552,'Model inputs'!B2553,'Model inputs'!B2554,'Model inputs'!B2555,'Model inputs'!B2556,'Model inputs'!B2557,'Model inputs'!B2558,'Model inputs'!B2559,'Model inputs'!B2560,'Model inputs'!B2561,'Model inputs'!B2562,'Model inputs'!B2563,'Model inputs'!B2564,'Model inputs'!B2565,'Model inputs'!B2566,'Model inputs'!B2567))</f>
        <v>67276.93602693602</v>
      </c>
      <c r="M91" s="23">
        <f>IF('Model inputs'!B2605=0,"",SUM('Model inputs'!B1211,'Model inputs'!B2569,'Model inputs'!B2570,'Model inputs'!B2571,'Model inputs'!B2572,'Model inputs'!B2573,'Model inputs'!B2574,'Model inputs'!B2575,'Model inputs'!B2576,'Model inputs'!B2577,'Model inputs'!B2578,'Model inputs'!B2579,'Model inputs'!B2580,'Model inputs'!B2581,'Model inputs'!B2582,'Model inputs'!B2583,'Model inputs'!B2584,'Model inputs'!B2585,'Model inputs'!B2586,'Model inputs'!B2587,'Model inputs'!B2588,'Model inputs'!B2589,'Model inputs'!B2590,'Model inputs'!B2591,'Model inputs'!B2592,'Model inputs'!B2593,'Model inputs'!B2594,'Model inputs'!B2595,'Model inputs'!B2596,'Model inputs'!B2597,'Model inputs'!B2598,'Model inputs'!B2599,'Model inputs'!B2600,'Model inputs'!B2601,'Model inputs'!B2602,'Model inputs'!B2603,'Model inputs'!B2604))</f>
        <v>80030.7239057239</v>
      </c>
      <c r="N91" s="23">
        <f>IF('Model inputs'!B2642=0,"",SUM('Model inputs'!B1249,'Model inputs'!B2606,'Model inputs'!B2607,'Model inputs'!B2608,'Model inputs'!B2609,'Model inputs'!B2610,'Model inputs'!B2611,'Model inputs'!B2612,'Model inputs'!B2613,'Model inputs'!B2614,'Model inputs'!B2615,'Model inputs'!B2616,'Model inputs'!B2617,'Model inputs'!B2618,'Model inputs'!B2619,'Model inputs'!B2620,'Model inputs'!B2621,'Model inputs'!B2622,'Model inputs'!B2623,'Model inputs'!B2624,'Model inputs'!B2625,'Model inputs'!B2626,'Model inputs'!B2627,'Model inputs'!B2628,'Model inputs'!B2629,'Model inputs'!B2630,'Model inputs'!B2631,'Model inputs'!B2632,'Model inputs'!B2633,'Model inputs'!B2634,'Model inputs'!B2635,'Model inputs'!B2636,'Model inputs'!B2637,'Model inputs'!B2638,'Model inputs'!B2639,'Model inputs'!B2640,'Model inputs'!B2641))</f>
        <v>93333.33333333333</v>
      </c>
      <c r="O91" s="23">
        <f>IF('Model inputs'!B2679=0,"",SUM('Model inputs'!B1287,'Model inputs'!B2643,'Model inputs'!B2644,'Model inputs'!B2645,'Model inputs'!B2646,'Model inputs'!B2647,'Model inputs'!B2648,'Model inputs'!B2649,'Model inputs'!B2650,'Model inputs'!B2651,'Model inputs'!B2652,'Model inputs'!B2653,'Model inputs'!B2654,'Model inputs'!B2655,'Model inputs'!B2656,'Model inputs'!B2657,'Model inputs'!B2658,'Model inputs'!B2659,'Model inputs'!B2660,'Model inputs'!B2661,'Model inputs'!B2662,'Model inputs'!B2663,'Model inputs'!B2664,'Model inputs'!B2665,'Model inputs'!B2666,'Model inputs'!B2667,'Model inputs'!B2668,'Model inputs'!B2669,'Model inputs'!B2670,'Model inputs'!B2671,'Model inputs'!B2672,'Model inputs'!B2673,'Model inputs'!B2674,'Model inputs'!B2675,'Model inputs'!B2676,'Model inputs'!B2677,'Model inputs'!B2678))</f>
        <v>122598.90572390571</v>
      </c>
      <c r="P91" s="23">
        <f>IF('Model inputs'!B2716=0,"",SUM('Model inputs'!B1325,'Model inputs'!B2680,'Model inputs'!B2681,'Model inputs'!B2682,'Model inputs'!B2683,'Model inputs'!B2684,'Model inputs'!B2685,'Model inputs'!B2686,'Model inputs'!B2687,'Model inputs'!B2688,'Model inputs'!B2689,'Model inputs'!B2690,'Model inputs'!B2691,'Model inputs'!B2692,'Model inputs'!B2693,'Model inputs'!B2694,'Model inputs'!B2695,'Model inputs'!B2696,'Model inputs'!B2697,'Model inputs'!B2698,'Model inputs'!B2699,'Model inputs'!B2700,'Model inputs'!B2701,'Model inputs'!B2702,'Model inputs'!B2703,'Model inputs'!B2704,'Model inputs'!B2705,'Model inputs'!B2706,'Model inputs'!B2707,'Model inputs'!B2708,'Model inputs'!B2709,'Model inputs'!B2710,'Model inputs'!B2711,'Model inputs'!B2712,'Model inputs'!B2713,'Model inputs'!B2714,'Model inputs'!B2715))</f>
        <v>152936.0269360269</v>
      </c>
      <c r="Q91" s="23">
        <f>IF('Model inputs'!B2753=0,"",SUM('Model inputs'!B1363,'Model inputs'!B2717,'Model inputs'!B2718,'Model inputs'!B2719,'Model inputs'!B2720,'Model inputs'!B2721,'Model inputs'!B2722,'Model inputs'!B2723,'Model inputs'!B2724,'Model inputs'!B2725,'Model inputs'!B2726,'Model inputs'!B2727,'Model inputs'!B2728,'Model inputs'!B2729,'Model inputs'!B2730,'Model inputs'!B2731,'Model inputs'!B2732,'Model inputs'!B2733,'Model inputs'!B2734,'Model inputs'!B2735,'Model inputs'!B2736,'Model inputs'!B2737,'Model inputs'!B2738,'Model inputs'!B2739,'Model inputs'!B2740,'Model inputs'!B2741,'Model inputs'!B2742,'Model inputs'!B2743,'Model inputs'!B2744,'Model inputs'!B2745,'Model inputs'!B2746,'Model inputs'!B2747,'Model inputs'!B2748,'Model inputs'!B2749,'Model inputs'!B2750,'Model inputs'!B2751,'Model inputs'!B2752))</f>
        <v>184344.69696969696</v>
      </c>
      <c r="R91" s="23">
        <f>IF('Model inputs'!B2790=0,"",SUM('Model inputs'!B1401,'Model inputs'!B2754,'Model inputs'!B2755,'Model inputs'!B2756,'Model inputs'!B2757,'Model inputs'!B2758,'Model inputs'!B2759,'Model inputs'!B2760,'Model inputs'!B2761,'Model inputs'!B2762,'Model inputs'!B2763,'Model inputs'!B2764,'Model inputs'!B2765,'Model inputs'!B2766,'Model inputs'!B2767,'Model inputs'!B2768,'Model inputs'!B2769,'Model inputs'!B2770,'Model inputs'!B2771,'Model inputs'!B2772,'Model inputs'!B2773,'Model inputs'!B2774,'Model inputs'!B2775,'Model inputs'!B2776,'Model inputs'!B2777,'Model inputs'!B2778,'Model inputs'!B2779,'Model inputs'!B2780,'Model inputs'!B2781,'Model inputs'!B2782,'Model inputs'!B2783,'Model inputs'!B2784,'Model inputs'!B2785,'Model inputs'!B2786,'Model inputs'!B2787,'Model inputs'!B2788,'Model inputs'!B2789))</f>
        <v>216824.9158249158</v>
      </c>
      <c r="S91" s="23">
        <f>IF('Model inputs'!B2827=0,"",SUM('Model inputs'!B1439,'Model inputs'!B2791,'Model inputs'!B2792,'Model inputs'!B2793,'Model inputs'!B2794,'Model inputs'!B2795,'Model inputs'!B2796,'Model inputs'!B2797,'Model inputs'!B2798,'Model inputs'!B2799,'Model inputs'!B2800,'Model inputs'!B2801,'Model inputs'!B2802,'Model inputs'!B2803,'Model inputs'!B2804,'Model inputs'!B2805,'Model inputs'!B2806,'Model inputs'!B2807,'Model inputs'!B2808,'Model inputs'!B2809,'Model inputs'!B2810,'Model inputs'!B2811,'Model inputs'!B2812,'Model inputs'!B2813,'Model inputs'!B2814,'Model inputs'!B2815,'Model inputs'!B2816,'Model inputs'!B2817,'Model inputs'!B2818,'Model inputs'!B2819,'Model inputs'!B2820,'Model inputs'!B2821,'Model inputs'!B2822,'Model inputs'!B2823,'Model inputs'!B2824,'Model inputs'!B2825,'Model inputs'!B2826))</f>
        <v>250376.6835016835</v>
      </c>
      <c r="T91" s="23">
        <f>IF('Model inputs'!B2864=0,"",SUM('Model inputs'!B1477,'Model inputs'!B2828,'Model inputs'!B2829,'Model inputs'!B2830,'Model inputs'!B2831,'Model inputs'!B2832,'Model inputs'!B2833,'Model inputs'!B2834,'Model inputs'!B2835,'Model inputs'!B2836,'Model inputs'!B2837,'Model inputs'!B2838,'Model inputs'!B2839,'Model inputs'!B2840,'Model inputs'!B2841,'Model inputs'!B2842,'Model inputs'!B2843,'Model inputs'!B2844,'Model inputs'!B2845,'Model inputs'!B2846,'Model inputs'!B2847,'Model inputs'!B2848,'Model inputs'!B2849,'Model inputs'!B2850,'Model inputs'!B2851,'Model inputs'!B2852,'Model inputs'!B2853,'Model inputs'!B2854,'Model inputs'!B2855,'Model inputs'!B2856,'Model inputs'!B2857,'Model inputs'!B2858,'Model inputs'!B2859,'Model inputs'!B2860,'Model inputs'!B2861,'Model inputs'!B2862,'Model inputs'!B2863))</f>
        <v>285000</v>
      </c>
      <c r="U91" s="23">
        <f>IF('Model inputs'!B2901=0,"",SUM('Model inputs'!B1515,'Model inputs'!B2865,'Model inputs'!B2866,'Model inputs'!B2867,'Model inputs'!B2868,'Model inputs'!B2869,'Model inputs'!B2870,'Model inputs'!B2871,'Model inputs'!B2872,'Model inputs'!B2873,'Model inputs'!B2874,'Model inputs'!B2875,'Model inputs'!B2876,'Model inputs'!B2877,'Model inputs'!B2878,'Model inputs'!B2879,'Model inputs'!B2880,'Model inputs'!B2881,'Model inputs'!B2882,'Model inputs'!B2883,'Model inputs'!B2884,'Model inputs'!B2885,'Model inputs'!B2886,'Model inputs'!B2887,'Model inputs'!B2888,'Model inputs'!B2889,'Model inputs'!B2890,'Model inputs'!B2891,'Model inputs'!B2892,'Model inputs'!B2893,'Model inputs'!B2894,'Model inputs'!B2895,'Model inputs'!B2896,'Model inputs'!B2897,'Model inputs'!B2898,'Model inputs'!B2899,'Model inputs'!B2900))</f>
        <v>319444.4444444445</v>
      </c>
      <c r="V91" s="23">
        <f>IF('Model inputs'!B2938=0,"",SUM('Model inputs'!B1553,'Model inputs'!B2902,'Model inputs'!B2903,'Model inputs'!B2904,'Model inputs'!B2905,'Model inputs'!B2906,'Model inputs'!B2907,'Model inputs'!B2908,'Model inputs'!B2909,'Model inputs'!B2910,'Model inputs'!B2911,'Model inputs'!B2912,'Model inputs'!B2913,'Model inputs'!B2914,'Model inputs'!B2915,'Model inputs'!B2916,'Model inputs'!B2917,'Model inputs'!B2918,'Model inputs'!B2919,'Model inputs'!B2920,'Model inputs'!B2921,'Model inputs'!B2922,'Model inputs'!B2923,'Model inputs'!B2924,'Model inputs'!B2925,'Model inputs'!B2926,'Model inputs'!B2927,'Model inputs'!B2928,'Model inputs'!B2929,'Model inputs'!B2930,'Model inputs'!B2931,'Model inputs'!B2932,'Model inputs'!B2933,'Model inputs'!B2934,'Model inputs'!B2935,'Model inputs'!B2936,'Model inputs'!B2937))</f>
        <v>354444.4444444444</v>
      </c>
      <c r="W91" s="23">
        <f>IF('Model inputs'!B2975=0,"",SUM('Model inputs'!B1591,'Model inputs'!B2939,'Model inputs'!B2940,'Model inputs'!B2941,'Model inputs'!B2942,'Model inputs'!B2943,'Model inputs'!B2944,'Model inputs'!B2945,'Model inputs'!B2946,'Model inputs'!B2947,'Model inputs'!B2948,'Model inputs'!B2949,'Model inputs'!B2950,'Model inputs'!B2951,'Model inputs'!B2952,'Model inputs'!B2953,'Model inputs'!B2954,'Model inputs'!B2955,'Model inputs'!B2956,'Model inputs'!B2957,'Model inputs'!B2958,'Model inputs'!B2959,'Model inputs'!B2960,'Model inputs'!B2961,'Model inputs'!B2962,'Model inputs'!B2963,'Model inputs'!B2964,'Model inputs'!B2965,'Model inputs'!B2966,'Model inputs'!B2967,'Model inputs'!B2968,'Model inputs'!B2969,'Model inputs'!B2970,'Model inputs'!B2971,'Model inputs'!B2972,'Model inputs'!B2973,'Model inputs'!B2974))</f>
        <v>390000</v>
      </c>
      <c r="X91" s="23">
        <f>IF('Model inputs'!B3012=0,"",SUM('Model inputs'!B1629,'Model inputs'!B2976,'Model inputs'!B2977,'Model inputs'!B2978,'Model inputs'!B2979,'Model inputs'!B2980,'Model inputs'!B2981,'Model inputs'!B2982,'Model inputs'!B2983,'Model inputs'!B2984,'Model inputs'!B2985,'Model inputs'!B2986,'Model inputs'!B2987,'Model inputs'!B2988,'Model inputs'!B2989,'Model inputs'!B2990,'Model inputs'!B2991,'Model inputs'!B2992,'Model inputs'!B2993,'Model inputs'!B2994,'Model inputs'!B2995,'Model inputs'!B2996,'Model inputs'!B2997,'Model inputs'!B2998,'Model inputs'!B2999,'Model inputs'!B3000,'Model inputs'!B3001,'Model inputs'!B3002,'Model inputs'!B3003,'Model inputs'!B3004,'Model inputs'!B3005,'Model inputs'!B3006,'Model inputs'!B3007,'Model inputs'!B3008,'Model inputs'!B3009,'Model inputs'!B3010,'Model inputs'!B3011))</f>
        <v>426111.11111111107</v>
      </c>
      <c r="Y91" s="23">
        <f>IF('Model inputs'!B3049=0,"",SUM('Model inputs'!B1667,'Model inputs'!B3013,'Model inputs'!B3014,'Model inputs'!B3015,'Model inputs'!B3016,'Model inputs'!B3017,'Model inputs'!B3018,'Model inputs'!B3019,'Model inputs'!B3020,'Model inputs'!B3021,'Model inputs'!B3022,'Model inputs'!B3023,'Model inputs'!B3024,'Model inputs'!B3025,'Model inputs'!B3026,'Model inputs'!B3027,'Model inputs'!B3028,'Model inputs'!B3029,'Model inputs'!B3030,'Model inputs'!B3031,'Model inputs'!B3032,'Model inputs'!B3033,'Model inputs'!B3034,'Model inputs'!B3035,'Model inputs'!B3036,'Model inputs'!B3037,'Model inputs'!B3038,'Model inputs'!B3039,'Model inputs'!B3040,'Model inputs'!B3041,'Model inputs'!B3042,'Model inputs'!B3043,'Model inputs'!B3044,'Model inputs'!B3045,'Model inputs'!B3046,'Model inputs'!B3047,'Model inputs'!B3048))</f>
        <v>462777.77777777775</v>
      </c>
      <c r="Z91" s="23">
        <f>IF('Model inputs'!B3086=0,"",SUM('Model inputs'!B1705,'Model inputs'!B3050,'Model inputs'!B3051,'Model inputs'!B3052,'Model inputs'!B3053,'Model inputs'!B3054,'Model inputs'!B3055,'Model inputs'!B3056,'Model inputs'!B3057,'Model inputs'!B3058,'Model inputs'!B3059,'Model inputs'!B3060,'Model inputs'!B3061,'Model inputs'!B3062,'Model inputs'!B3063,'Model inputs'!B3064,'Model inputs'!B3065,'Model inputs'!B3066,'Model inputs'!B3067,'Model inputs'!B3068,'Model inputs'!B3069,'Model inputs'!B3070,'Model inputs'!B3071,'Model inputs'!B3072,'Model inputs'!B3073,'Model inputs'!B3074,'Model inputs'!B3075,'Model inputs'!B3076,'Model inputs'!B3077,'Model inputs'!B3078,'Model inputs'!B3079,'Model inputs'!B3080,'Model inputs'!B3081,'Model inputs'!B3082,'Model inputs'!B3083,'Model inputs'!B3084,'Model inputs'!B3085))</f>
        <v>500000</v>
      </c>
      <c r="AA91" s="23">
        <f>IF('Model inputs'!B3123=0,"",SUM('Model inputs'!B1743,'Model inputs'!B3087,'Model inputs'!B3088,'Model inputs'!B3089,'Model inputs'!B3090,'Model inputs'!B3091,'Model inputs'!B3092,'Model inputs'!B3093,'Model inputs'!B3094,'Model inputs'!B3095,'Model inputs'!B3096,'Model inputs'!B3097,'Model inputs'!B3098,'Model inputs'!B3099,'Model inputs'!B3100,'Model inputs'!B3101,'Model inputs'!B3102,'Model inputs'!B3103,'Model inputs'!B3104,'Model inputs'!B3105,'Model inputs'!B3106,'Model inputs'!B3107,'Model inputs'!B3108,'Model inputs'!B3109,'Model inputs'!B3110,'Model inputs'!B3111,'Model inputs'!B3112,'Model inputs'!B3113,'Model inputs'!B3114,'Model inputs'!B3115,'Model inputs'!B3116,'Model inputs'!B3117,'Model inputs'!B3118,'Model inputs'!B3119,'Model inputs'!B3120,'Model inputs'!B3121,'Model inputs'!B3122))</f>
        <v>533576.3888888889</v>
      </c>
      <c r="AB91" s="23">
        <f>IF('Model inputs'!B3160=0,"",SUM('Model inputs'!B1781,'Model inputs'!B3124,'Model inputs'!B3125,'Model inputs'!B3126,'Model inputs'!B3127,'Model inputs'!B3128,'Model inputs'!B3129,'Model inputs'!B3130,'Model inputs'!B3131,'Model inputs'!B3132,'Model inputs'!B3133,'Model inputs'!B3134,'Model inputs'!B3135,'Model inputs'!B3136,'Model inputs'!B3137,'Model inputs'!B3138,'Model inputs'!B3139,'Model inputs'!B3140,'Model inputs'!B3141,'Model inputs'!B3142,'Model inputs'!B3143,'Model inputs'!B3144,'Model inputs'!B3145,'Model inputs'!B3146,'Model inputs'!B3147,'Model inputs'!B3148,'Model inputs'!B3149,'Model inputs'!B3150,'Model inputs'!B3151,'Model inputs'!B3152,'Model inputs'!B3153,'Model inputs'!B3154,'Model inputs'!B3155,'Model inputs'!B3156,'Model inputs'!B3157,'Model inputs'!B3158,'Model inputs'!B3159))</f>
        <v>567638.888888889</v>
      </c>
      <c r="AC91" s="23">
        <f>IF('Model inputs'!B3197=0,"",SUM('Model inputs'!B1819,'Model inputs'!B3161,'Model inputs'!B3162,'Model inputs'!B3163,'Model inputs'!B3164,'Model inputs'!B3165,'Model inputs'!B3166,'Model inputs'!B3167,'Model inputs'!B3168,'Model inputs'!B3169,'Model inputs'!B3170,'Model inputs'!B3171,'Model inputs'!B3172,'Model inputs'!B3173,'Model inputs'!B3174,'Model inputs'!B3175,'Model inputs'!B3176,'Model inputs'!B3177,'Model inputs'!B3178,'Model inputs'!B3179,'Model inputs'!B3180,'Model inputs'!B3181,'Model inputs'!B3182,'Model inputs'!B3183,'Model inputs'!B3184,'Model inputs'!B3185,'Model inputs'!B3186,'Model inputs'!B3187,'Model inputs'!B3188,'Model inputs'!B3189,'Model inputs'!B3190,'Model inputs'!B3191,'Model inputs'!B3192,'Model inputs'!B3193,'Model inputs'!B3194,'Model inputs'!B3195,'Model inputs'!B3196))</f>
        <v>602187.5</v>
      </c>
      <c r="AD91" s="23">
        <f>IF('Model inputs'!B3234=0,"",SUM('Model inputs'!B1857,'Model inputs'!B3198,'Model inputs'!B3199,'Model inputs'!B3200,'Model inputs'!B3201,'Model inputs'!B3202,'Model inputs'!B3203,'Model inputs'!B3204,'Model inputs'!B3205,'Model inputs'!B3206,'Model inputs'!B3207,'Model inputs'!B3208,'Model inputs'!B3209,'Model inputs'!B3210,'Model inputs'!B3211,'Model inputs'!B3212,'Model inputs'!B3213,'Model inputs'!B3214,'Model inputs'!B3215,'Model inputs'!B3216,'Model inputs'!B3217,'Model inputs'!B3218,'Model inputs'!B3219,'Model inputs'!B3220,'Model inputs'!B3221,'Model inputs'!B3222,'Model inputs'!B3223,'Model inputs'!B3224,'Model inputs'!B3225,'Model inputs'!B3226,'Model inputs'!B3227,'Model inputs'!B3228,'Model inputs'!B3229,'Model inputs'!B3230,'Model inputs'!B3231,'Model inputs'!B3232,'Model inputs'!B3233))</f>
        <v>637222.2222222222</v>
      </c>
      <c r="AE91" s="23">
        <f>IF('Model inputs'!B3271=0,"",SUM('Model inputs'!B1895,'Model inputs'!B3235,'Model inputs'!B3236,'Model inputs'!B3237,'Model inputs'!B3238,'Model inputs'!B3239,'Model inputs'!B3240,'Model inputs'!B3241,'Model inputs'!B3242,'Model inputs'!B3243,'Model inputs'!B3244,'Model inputs'!B3245,'Model inputs'!B3246,'Model inputs'!B3247,'Model inputs'!B3248,'Model inputs'!B3249,'Model inputs'!B3250,'Model inputs'!B3251,'Model inputs'!B3252,'Model inputs'!B3253,'Model inputs'!B3254,'Model inputs'!B3255,'Model inputs'!B3256,'Model inputs'!B3257,'Model inputs'!B3258,'Model inputs'!B3259,'Model inputs'!B3260,'Model inputs'!B3261,'Model inputs'!B3262,'Model inputs'!B3263,'Model inputs'!B3264,'Model inputs'!B3265,'Model inputs'!B3266,'Model inputs'!B3267,'Model inputs'!B3268,'Model inputs'!B3269,'Model inputs'!B3270))</f>
        <v>672743.0555555555</v>
      </c>
      <c r="AF91" s="23">
        <f>IF('Model inputs'!B3308=0,"",SUM('Model inputs'!B1933,'Model inputs'!B3272,'Model inputs'!B3273,'Model inputs'!B3274,'Model inputs'!B3275,'Model inputs'!B3276,'Model inputs'!B3277,'Model inputs'!B3278,'Model inputs'!B3279,'Model inputs'!B3280,'Model inputs'!B3281,'Model inputs'!B3282,'Model inputs'!B3283,'Model inputs'!B3284,'Model inputs'!B3285,'Model inputs'!B3286,'Model inputs'!B3287,'Model inputs'!B3288,'Model inputs'!B3289,'Model inputs'!B3290,'Model inputs'!B3291,'Model inputs'!B3292,'Model inputs'!B3293,'Model inputs'!B3294,'Model inputs'!B3295,'Model inputs'!B3296,'Model inputs'!B3297,'Model inputs'!B3298,'Model inputs'!B3299,'Model inputs'!B3300,'Model inputs'!B3301,'Model inputs'!B3302,'Model inputs'!B3303,'Model inputs'!B3304,'Model inputs'!B3305,'Model inputs'!B3306,'Model inputs'!B3307))</f>
        <v>708750</v>
      </c>
      <c r="AG91" s="23">
        <f>IF('Model inputs'!B3345=0,"",SUM('Model inputs'!B1971,'Model inputs'!B3309,'Model inputs'!B3310,'Model inputs'!B3311,'Model inputs'!B3312,'Model inputs'!B3313,'Model inputs'!B3314,'Model inputs'!B3315,'Model inputs'!B3316,'Model inputs'!B3317,'Model inputs'!B3318,'Model inputs'!B3319,'Model inputs'!B3320,'Model inputs'!B3321,'Model inputs'!B3322,'Model inputs'!B3323,'Model inputs'!B3324,'Model inputs'!B3325,'Model inputs'!B3326,'Model inputs'!B3327,'Model inputs'!B3328,'Model inputs'!B3329,'Model inputs'!B3330,'Model inputs'!B3331,'Model inputs'!B3332,'Model inputs'!B3333,'Model inputs'!B3334,'Model inputs'!B3335,'Model inputs'!B3336,'Model inputs'!B3337,'Model inputs'!B3338,'Model inputs'!B3339,'Model inputs'!B3340,'Model inputs'!B3341,'Model inputs'!B3342,'Model inputs'!B3343,'Model inputs'!B3344))</f>
        <v>736423.611111111</v>
      </c>
      <c r="AH91" s="23">
        <f>IF('Model inputs'!B3382=0,"",SUM('Model inputs'!B2009,'Model inputs'!B3346,'Model inputs'!B3347,'Model inputs'!B3348,'Model inputs'!B3349,'Model inputs'!B3350,'Model inputs'!B3351,'Model inputs'!B3352,'Model inputs'!B3353,'Model inputs'!B3354,'Model inputs'!B3355,'Model inputs'!B3356,'Model inputs'!B3357,'Model inputs'!B3358,'Model inputs'!B3359,'Model inputs'!B3360,'Model inputs'!B3361,'Model inputs'!B3362,'Model inputs'!B3363,'Model inputs'!B3364,'Model inputs'!B3365,'Model inputs'!B3366,'Model inputs'!B3367,'Model inputs'!B3368,'Model inputs'!B3369,'Model inputs'!B3370,'Model inputs'!B3371,'Model inputs'!B3372,'Model inputs'!B3373,'Model inputs'!B3374,'Model inputs'!B3375,'Model inputs'!B3376,'Model inputs'!B3377,'Model inputs'!B3378,'Model inputs'!B3379,'Model inputs'!B3380,'Model inputs'!B3381))</f>
        <v>764444.4444444445</v>
      </c>
      <c r="AI91" s="23">
        <f>IF('Model inputs'!B3419=0,"",SUM('Model inputs'!B2047,'Model inputs'!B3383,'Model inputs'!B3384,'Model inputs'!B3385,'Model inputs'!B3386,'Model inputs'!B3387,'Model inputs'!B3388,'Model inputs'!B3389,'Model inputs'!B3390,'Model inputs'!B3391,'Model inputs'!B3392,'Model inputs'!B3393,'Model inputs'!B3394,'Model inputs'!B3395,'Model inputs'!B3396,'Model inputs'!B3397,'Model inputs'!B3398,'Model inputs'!B3399,'Model inputs'!B3400,'Model inputs'!B3401,'Model inputs'!B3402,'Model inputs'!B3403,'Model inputs'!B3404,'Model inputs'!B3405,'Model inputs'!B3406,'Model inputs'!B3407,'Model inputs'!B3408,'Model inputs'!B3409,'Model inputs'!B3410,'Model inputs'!B3411,'Model inputs'!B3412,'Model inputs'!B3413,'Model inputs'!B3414,'Model inputs'!B3415,'Model inputs'!B3416,'Model inputs'!B3417,'Model inputs'!B3418))</f>
        <v>792812.5</v>
      </c>
      <c r="AJ91" s="23">
        <f>IF('Model inputs'!B3456=0,"",SUM('Model inputs'!B2085,'Model inputs'!B3420,'Model inputs'!B3421,'Model inputs'!B3422,'Model inputs'!B3423,'Model inputs'!B3424,'Model inputs'!B3425,'Model inputs'!B3426,'Model inputs'!B3427,'Model inputs'!B3428,'Model inputs'!B3429,'Model inputs'!B3430,'Model inputs'!B3431,'Model inputs'!B3432,'Model inputs'!B3433,'Model inputs'!B3434,'Model inputs'!B3435,'Model inputs'!B3436,'Model inputs'!B3437,'Model inputs'!B3438,'Model inputs'!B3439,'Model inputs'!B3440,'Model inputs'!B3441,'Model inputs'!B3442,'Model inputs'!B3443,'Model inputs'!B3444,'Model inputs'!B3445,'Model inputs'!B3446,'Model inputs'!B3447,'Model inputs'!B3448,'Model inputs'!B3449,'Model inputs'!B3450,'Model inputs'!B3451,'Model inputs'!B3452,'Model inputs'!B3453,'Model inputs'!B3454,'Model inputs'!B3455))</f>
        <v>821527.7777777778</v>
      </c>
      <c r="AK91" s="23">
        <f>IF('Model inputs'!B3493=0,"",SUM('Model inputs'!B2123,'Model inputs'!B3457,'Model inputs'!B3458,'Model inputs'!B3459,'Model inputs'!B3460,'Model inputs'!B3461,'Model inputs'!B3462,'Model inputs'!B3463,'Model inputs'!B3464,'Model inputs'!B3465,'Model inputs'!B3466,'Model inputs'!B3467,'Model inputs'!B3468,'Model inputs'!B3469,'Model inputs'!B3470,'Model inputs'!B3471,'Model inputs'!B3472,'Model inputs'!B3473,'Model inputs'!B3474,'Model inputs'!B3475,'Model inputs'!B3476,'Model inputs'!B3477,'Model inputs'!B3478,'Model inputs'!B3479,'Model inputs'!B3480,'Model inputs'!B3481,'Model inputs'!B3482,'Model inputs'!B3483,'Model inputs'!B3484,'Model inputs'!B3485,'Model inputs'!B3486,'Model inputs'!B3487,'Model inputs'!B3488,'Model inputs'!B3489,'Model inputs'!B3490,'Model inputs'!B3491,'Model inputs'!B3492))</f>
        <v>850590.2777777779</v>
      </c>
      <c r="AL91" s="23">
        <f>IF('Model inputs'!B3530=0,"",SUM('Model inputs'!B2161,'Model inputs'!B3494,'Model inputs'!B3495,'Model inputs'!B3496,'Model inputs'!B3497,'Model inputs'!B3498,'Model inputs'!B3499,'Model inputs'!B3500,'Model inputs'!B3501,'Model inputs'!B3502,'Model inputs'!B3503,'Model inputs'!B3504,'Model inputs'!B3505,'Model inputs'!B3506,'Model inputs'!B3507,'Model inputs'!B3508,'Model inputs'!B3509,'Model inputs'!B3510,'Model inputs'!B3511,'Model inputs'!B3512,'Model inputs'!B3513,'Model inputs'!B3514,'Model inputs'!B3515,'Model inputs'!B3516,'Model inputs'!B3517,'Model inputs'!B3518,'Model inputs'!B3519,'Model inputs'!B3520,'Model inputs'!B3521,'Model inputs'!B3522,'Model inputs'!B3523,'Model inputs'!B3524,'Model inputs'!B3525,'Model inputs'!B3526,'Model inputs'!B3527,'Model inputs'!B3528,'Model inputs'!B3529))</f>
        <v>880000</v>
      </c>
    </row>
    <row r="92">
      <c r="A92" t="inlineStr" s="25">
        <is>
          <t xml:space="preserve">Contingency revenue per active protocol · POA — Monthly financial forecast</t>
        </is>
      </c>
      <c r="B92" s="23">
        <v>0</v>
      </c>
      <c r="C92" s="23">
        <f>'Model inputs'!B3531*'Model inputs'!AM14*'Model inputs'!AM74</f>
        <v>20.833333333333332</v>
      </c>
      <c r="D92" s="23">
        <f>'Model inputs'!B3532*'Model inputs'!AM14*'Model inputs'!AM74</f>
        <v>41.666666666666664</v>
      </c>
      <c r="E92" s="23">
        <f>'Model inputs'!B3533*'Model inputs'!AM14*'Model inputs'!AM74</f>
        <v>62.5</v>
      </c>
      <c r="F92" s="23">
        <f>'Model inputs'!B3534*'Model inputs'!AM14*'Model inputs'!AM74</f>
        <v>83.33333333333333</v>
      </c>
      <c r="G92" s="23">
        <f>'Model inputs'!B3535*'Model inputs'!AM14*'Model inputs'!AM74</f>
        <v>104.16666666666666</v>
      </c>
      <c r="H92" s="23">
        <f>'Model inputs'!B3536*'Model inputs'!AM14*'Model inputs'!AM74</f>
        <v>125</v>
      </c>
      <c r="I92" s="23">
        <f>'Model inputs'!B3537*'Model inputs'!AM14*'Model inputs'!AM74</f>
        <v>227.90404040404033</v>
      </c>
      <c r="J92" s="23">
        <f>'Model inputs'!B3538*'Model inputs'!AM14*'Model inputs'!AM74</f>
        <v>330.80808080808066</v>
      </c>
      <c r="K92" s="23">
        <f>'Model inputs'!B3539*'Model inputs'!AM14*'Model inputs'!AM74</f>
        <v>433.712121212121</v>
      </c>
      <c r="L92" s="23">
        <f>'Model inputs'!B3540*'Model inputs'!AM14*'Model inputs'!AM74</f>
        <v>536.6161616161613</v>
      </c>
      <c r="M92" s="23">
        <f>'Model inputs'!B3541*'Model inputs'!AM14*'Model inputs'!AM74</f>
        <v>639.5202020202016</v>
      </c>
      <c r="N92" s="23">
        <f>'Model inputs'!B3542*'Model inputs'!AM14*'Model inputs'!AM74</f>
        <v>742.424242424242</v>
      </c>
      <c r="O92" s="23">
        <f>'Model inputs'!B3543*'Model inputs'!AM14*'Model inputs'!AM74</f>
        <v>827.0202020202019</v>
      </c>
      <c r="P92" s="23">
        <f>'Model inputs'!B3544*'Model inputs'!AM14*'Model inputs'!AM74</f>
        <v>911.6161616161613</v>
      </c>
      <c r="Q92" s="23">
        <f>'Model inputs'!B3545*'Model inputs'!AM14*'Model inputs'!AM74</f>
        <v>996.212121212121</v>
      </c>
      <c r="R92" s="23">
        <f>'Model inputs'!B3546*'Model inputs'!AM14*'Model inputs'!AM74</f>
        <v>1080.8080808080806</v>
      </c>
      <c r="S92" s="23">
        <f>'Model inputs'!B3547*'Model inputs'!AM14*'Model inputs'!AM74</f>
        <v>1165.4040404040402</v>
      </c>
      <c r="T92" s="23">
        <f>'Model inputs'!B3548*'Model inputs'!AM14*'Model inputs'!AM74</f>
        <v>1250</v>
      </c>
      <c r="U92" s="23">
        <f>'Model inputs'!B3549*'Model inputs'!AM14*'Model inputs'!AM74</f>
        <v>1291.6666666666667</v>
      </c>
      <c r="V92" s="23">
        <f>'Model inputs'!B3550*'Model inputs'!AM14*'Model inputs'!AM74</f>
        <v>1333.3333333333333</v>
      </c>
      <c r="W92" s="23">
        <f>'Model inputs'!B3551*'Model inputs'!AM14*'Model inputs'!AM74</f>
        <v>1375</v>
      </c>
      <c r="X92" s="23">
        <f>'Model inputs'!B3552*'Model inputs'!AM14*'Model inputs'!AM74</f>
        <v>1416.6666666666667</v>
      </c>
      <c r="Y92" s="23">
        <f>'Model inputs'!B3553*'Model inputs'!AM14*'Model inputs'!AM74</f>
        <v>1458.3333333333333</v>
      </c>
      <c r="Z92" s="23">
        <f>'Model inputs'!B3554*'Model inputs'!AM14*'Model inputs'!AM74</f>
        <v>1500</v>
      </c>
      <c r="AA92" s="23">
        <f>'Model inputs'!B3555*'Model inputs'!AM14*'Model inputs'!AM74</f>
        <v>1541.6666666666667</v>
      </c>
      <c r="AB92" s="23">
        <f>'Model inputs'!B3556*'Model inputs'!AM14*'Model inputs'!AM74</f>
        <v>1583.3333333333333</v>
      </c>
      <c r="AC92" s="23">
        <f>'Model inputs'!B3557*'Model inputs'!AM14*'Model inputs'!AM74</f>
        <v>1625</v>
      </c>
      <c r="AD92" s="23">
        <f>'Model inputs'!B3558*'Model inputs'!AM14*'Model inputs'!AM74</f>
        <v>1666.666666666667</v>
      </c>
      <c r="AE92" s="23">
        <f>'Model inputs'!B3559*'Model inputs'!AM14*'Model inputs'!AM74</f>
        <v>1708.3333333333333</v>
      </c>
      <c r="AF92" s="23">
        <f>'Model inputs'!B3560*'Model inputs'!AM14*'Model inputs'!AM74</f>
        <v>1750</v>
      </c>
      <c r="AG92" s="23">
        <f>'Model inputs'!B3561*'Model inputs'!AM14*'Model inputs'!AM74</f>
        <v>1791.666666666667</v>
      </c>
      <c r="AH92" s="23">
        <f>'Model inputs'!B3562*'Model inputs'!AM14*'Model inputs'!AM74</f>
        <v>1833.3333333333333</v>
      </c>
      <c r="AI92" s="23">
        <f>'Model inputs'!B3563*'Model inputs'!AM14*'Model inputs'!AM74</f>
        <v>1875</v>
      </c>
      <c r="AJ92" s="23">
        <f>'Model inputs'!B3564*'Model inputs'!AM14*'Model inputs'!AM74</f>
        <v>1916.666666666667</v>
      </c>
      <c r="AK92" s="23">
        <f>'Model inputs'!B3565*'Model inputs'!AM14*'Model inputs'!AM74</f>
        <v>1958.3333333333333</v>
      </c>
      <c r="AL92" s="23">
        <f>'Model inputs'!B3566*'Model inputs'!AM14*'Model inputs'!AM74</f>
        <v>2000</v>
      </c>
    </row>
    <row r="93">
      <c r="A93" t="inlineStr" s="25">
        <is>
          <t xml:space="preserve">Customer ramp multiplier · POA — Monthly financial forecast</t>
        </is>
      </c>
      <c r="AM93" s="23">
        <f>1</f>
        <v>1</v>
      </c>
    </row>
    <row r="94">
      <c r="A94" t="inlineStr" s="25">
        <is>
          <t xml:space="preserve">Financing inflow · POA — Monthly financial forecast</t>
        </is>
      </c>
      <c r="B94" s="23">
        <v>0</v>
      </c>
      <c r="C94" s="23">
        <f>IF('Model inputs'!AM42="","",'Model inputs'!AM42)</f>
        <v>0</v>
      </c>
      <c r="D94" s="23">
        <f>IF('Model inputs'!AM42="","",'Model inputs'!AM42)</f>
        <v>0</v>
      </c>
      <c r="E94" s="23">
        <f>IF('Model inputs'!AM42="","",'Model inputs'!AM42)</f>
        <v>0</v>
      </c>
      <c r="F94" s="23">
        <f>IF('Model inputs'!AM42="","",'Model inputs'!AM42)</f>
        <v>0</v>
      </c>
      <c r="G94" s="23">
        <f>IF('Model inputs'!AM42="","",'Model inputs'!AM42)</f>
        <v>0</v>
      </c>
      <c r="H94" s="23">
        <f>IF('Model inputs'!AM42="","",'Model inputs'!AM42)</f>
        <v>0</v>
      </c>
      <c r="I94" s="23">
        <f>IF('Model inputs'!AM42="","",'Model inputs'!AM42)</f>
        <v>0</v>
      </c>
      <c r="J94" s="23">
        <f>IF('Model inputs'!AM42="","",'Model inputs'!AM42)</f>
        <v>0</v>
      </c>
      <c r="K94" s="23">
        <f>IF('Model inputs'!AM42="","",'Model inputs'!AM42)</f>
        <v>0</v>
      </c>
      <c r="L94" s="23">
        <f>IF('Model inputs'!AM42="","",'Model inputs'!AM42)</f>
        <v>0</v>
      </c>
      <c r="M94" s="23">
        <f>IF('Model inputs'!AM42="","",'Model inputs'!AM42)</f>
        <v>0</v>
      </c>
      <c r="N94" s="23">
        <f>IF('Model inputs'!AM42="","",'Model inputs'!AM42)</f>
        <v>0</v>
      </c>
      <c r="O94" s="23">
        <f>IF('Model inputs'!AM42="","",'Model inputs'!AM42)</f>
        <v>0</v>
      </c>
      <c r="P94" s="23">
        <f>IF('Model inputs'!AM42="","",'Model inputs'!AM42)</f>
        <v>0</v>
      </c>
      <c r="Q94" s="23">
        <f>IF('Model inputs'!AM42="","",'Model inputs'!AM42)</f>
        <v>0</v>
      </c>
      <c r="R94" s="23">
        <f>IF('Model inputs'!AM42="","",'Model inputs'!AM42)</f>
        <v>0</v>
      </c>
      <c r="S94" s="23">
        <f>IF('Model inputs'!AM42="","",'Model inputs'!AM42)</f>
        <v>0</v>
      </c>
      <c r="T94" s="23">
        <f>IF('Model inputs'!AM42="","",'Model inputs'!AM42)</f>
        <v>0</v>
      </c>
      <c r="U94" s="23">
        <f>IF('Model inputs'!AM42="","",'Model inputs'!AM42)</f>
        <v>0</v>
      </c>
      <c r="V94" s="23">
        <f>IF('Model inputs'!AM42="","",'Model inputs'!AM42)</f>
        <v>0</v>
      </c>
      <c r="W94" s="23">
        <f>IF('Model inputs'!AM42="","",'Model inputs'!AM42)</f>
        <v>0</v>
      </c>
      <c r="X94" s="23">
        <f>IF('Model inputs'!AM42="","",'Model inputs'!AM42)</f>
        <v>0</v>
      </c>
      <c r="Y94" s="23">
        <f>IF('Model inputs'!AM42="","",'Model inputs'!AM42)</f>
        <v>0</v>
      </c>
      <c r="Z94" s="23">
        <f>IF('Model inputs'!AM42="","",'Model inputs'!AM42)</f>
        <v>0</v>
      </c>
      <c r="AA94" s="23">
        <f>IF('Model inputs'!AM42="","",'Model inputs'!AM42)</f>
        <v>0</v>
      </c>
      <c r="AB94" s="23">
        <f>IF('Model inputs'!AM42="","",'Model inputs'!AM42)</f>
        <v>0</v>
      </c>
      <c r="AC94" s="23">
        <f>IF('Model inputs'!AM42="","",'Model inputs'!AM42)</f>
        <v>0</v>
      </c>
      <c r="AD94" s="23">
        <f>IF('Model inputs'!AM42="","",'Model inputs'!AM42)</f>
        <v>0</v>
      </c>
      <c r="AE94" s="23">
        <f>IF('Model inputs'!AM42="","",'Model inputs'!AM42)</f>
        <v>0</v>
      </c>
      <c r="AF94" s="23">
        <f>IF('Model inputs'!AM42="","",'Model inputs'!AM42)</f>
        <v>0</v>
      </c>
      <c r="AG94" s="23">
        <f>IF('Model inputs'!AM42="","",'Model inputs'!AM42)</f>
        <v>0</v>
      </c>
      <c r="AH94" s="23">
        <f>IF('Model inputs'!AM42="","",'Model inputs'!AM42)</f>
        <v>0</v>
      </c>
      <c r="AI94" s="23">
        <f>IF('Model inputs'!AM42="","",'Model inputs'!AM42)</f>
        <v>0</v>
      </c>
      <c r="AJ94" s="23">
        <f>IF('Model inputs'!AM42="","",'Model inputs'!AM42)</f>
        <v>0</v>
      </c>
      <c r="AK94" s="23">
        <f>IF('Model inputs'!AM42="","",'Model inputs'!AM42)</f>
        <v>0</v>
      </c>
      <c r="AL94" s="23">
        <f>IF('Model inputs'!AM42="","",'Model inputs'!AM42)</f>
        <v>0</v>
      </c>
    </row>
    <row r="95">
      <c r="A95" t="inlineStr" s="25">
        <is>
          <t xml:space="preserve">Forecast month · POA — Monthly financial forecast</t>
        </is>
      </c>
      <c r="B95" s="23">
        <v>0</v>
      </c>
      <c r="C95" s="23">
        <f>DATEDIF(DATE(2026,10,1),DATE(2026,10,1),"M")+1</f>
        <v>1</v>
      </c>
      <c r="D95" s="23">
        <f>DATEDIF(DATE(2026,10,1),DATE(2026,11,1),"M")+1</f>
        <v>2</v>
      </c>
      <c r="E95" s="23">
        <f>DATEDIF(DATE(2026,10,1),DATE(2026,12,1),"M")+1</f>
        <v>3</v>
      </c>
      <c r="F95" s="23">
        <f>DATEDIF(DATE(2026,10,1),DATE(2027,1,1),"M")+1</f>
        <v>4</v>
      </c>
      <c r="G95" s="23">
        <f>DATEDIF(DATE(2026,10,1),DATE(2027,2,1),"M")+1</f>
        <v>5</v>
      </c>
      <c r="H95" s="23">
        <f>DATEDIF(DATE(2026,10,1),DATE(2027,3,1),"M")+1</f>
        <v>6</v>
      </c>
      <c r="I95" s="23">
        <f>DATEDIF(DATE(2026,10,1),DATE(2027,4,1),"M")+1</f>
        <v>7</v>
      </c>
      <c r="J95" s="23">
        <f>DATEDIF(DATE(2026,10,1),DATE(2027,5,1),"M")+1</f>
        <v>8</v>
      </c>
      <c r="K95" s="23">
        <f>DATEDIF(DATE(2026,10,1),DATE(2027,6,1),"M")+1</f>
        <v>9</v>
      </c>
      <c r="L95" s="23">
        <f>DATEDIF(DATE(2026,10,1),DATE(2027,7,1),"M")+1</f>
        <v>10</v>
      </c>
      <c r="M95" s="23">
        <f>DATEDIF(DATE(2026,10,1),DATE(2027,8,1),"M")+1</f>
        <v>11</v>
      </c>
      <c r="N95" s="23">
        <f>DATEDIF(DATE(2026,10,1),DATE(2027,9,1),"M")+1</f>
        <v>12</v>
      </c>
      <c r="O95" s="23">
        <f>DATEDIF(DATE(2026,10,1),DATE(2027,10,1),"M")+1</f>
        <v>13</v>
      </c>
      <c r="P95" s="23">
        <f>DATEDIF(DATE(2026,10,1),DATE(2027,11,1),"M")+1</f>
        <v>14</v>
      </c>
      <c r="Q95" s="23">
        <f>DATEDIF(DATE(2026,10,1),DATE(2027,12,1),"M")+1</f>
        <v>15</v>
      </c>
      <c r="R95" s="23">
        <f>DATEDIF(DATE(2026,10,1),DATE(2028,1,1),"M")+1</f>
        <v>16</v>
      </c>
      <c r="S95" s="23">
        <f>DATEDIF(DATE(2026,10,1),DATE(2028,2,1),"M")+1</f>
        <v>17</v>
      </c>
      <c r="T95" s="23">
        <f>DATEDIF(DATE(2026,10,1),DATE(2028,3,1),"M")+1</f>
        <v>18</v>
      </c>
      <c r="U95" s="23">
        <f>DATEDIF(DATE(2026,10,1),DATE(2028,4,1),"M")+1</f>
        <v>19</v>
      </c>
      <c r="V95" s="23">
        <f>DATEDIF(DATE(2026,10,1),DATE(2028,5,1),"M")+1</f>
        <v>20</v>
      </c>
      <c r="W95" s="23">
        <f>DATEDIF(DATE(2026,10,1),DATE(2028,6,1),"M")+1</f>
        <v>21</v>
      </c>
      <c r="X95" s="23">
        <f>DATEDIF(DATE(2026,10,1),DATE(2028,7,1),"M")+1</f>
        <v>22</v>
      </c>
      <c r="Y95" s="23">
        <f>DATEDIF(DATE(2026,10,1),DATE(2028,8,1),"M")+1</f>
        <v>23</v>
      </c>
      <c r="Z95" s="23">
        <f>DATEDIF(DATE(2026,10,1),DATE(2028,9,1),"M")+1</f>
        <v>24</v>
      </c>
      <c r="AA95" s="23">
        <f>DATEDIF(DATE(2026,10,1),DATE(2028,10,1),"M")+1</f>
        <v>25</v>
      </c>
      <c r="AB95" s="23">
        <f>DATEDIF(DATE(2026,10,1),DATE(2028,11,1),"M")+1</f>
        <v>26</v>
      </c>
      <c r="AC95" s="23">
        <f>DATEDIF(DATE(2026,10,1),DATE(2028,12,1),"M")+1</f>
        <v>27</v>
      </c>
      <c r="AD95" s="23">
        <f>DATEDIF(DATE(2026,10,1),DATE(2029,1,1),"M")+1</f>
        <v>28</v>
      </c>
      <c r="AE95" s="23">
        <f>DATEDIF(DATE(2026,10,1),DATE(2029,2,1),"M")+1</f>
        <v>29</v>
      </c>
      <c r="AF95" s="23">
        <f>DATEDIF(DATE(2026,10,1),DATE(2029,3,1),"M")+1</f>
        <v>30</v>
      </c>
      <c r="AG95" s="23">
        <f>DATEDIF(DATE(2026,10,1),DATE(2029,4,1),"M")+1</f>
        <v>31</v>
      </c>
      <c r="AH95" s="23">
        <f>DATEDIF(DATE(2026,10,1),DATE(2029,5,1),"M")+1</f>
        <v>32</v>
      </c>
      <c r="AI95" s="23">
        <f>DATEDIF(DATE(2026,10,1),DATE(2029,6,1),"M")+1</f>
        <v>33</v>
      </c>
      <c r="AJ95" s="23">
        <f>DATEDIF(DATE(2026,10,1),DATE(2029,7,1),"M")+1</f>
        <v>34</v>
      </c>
      <c r="AK95" s="23">
        <f>DATEDIF(DATE(2026,10,1),DATE(2029,8,1),"M")+1</f>
        <v>35</v>
      </c>
      <c r="AL95" s="23">
        <f>DATEDIF(DATE(2026,10,1),DATE(2029,9,1),"M")+1</f>
        <v>36</v>
      </c>
    </row>
    <row r="96">
      <c r="A96" t="inlineStr" s="25">
        <is>
          <t xml:space="preserve">Gross acquired protocols · POA — Monthly financial forecast</t>
        </is>
      </c>
      <c r="B96" s="23">
        <v>0</v>
      </c>
      <c r="C96" s="23">
        <f>MAX('Model inputs'!C114+'Model inputs'!C112,0)</f>
        <v>1</v>
      </c>
      <c r="D96" s="23">
        <f>MAX('Model inputs'!D114+'Model inputs'!D112,0)</f>
        <v>1.0238095238095237</v>
      </c>
      <c r="E96" s="23">
        <f>MAX('Model inputs'!E114+'Model inputs'!E112,0)</f>
        <v>1.0476190476190477</v>
      </c>
      <c r="F96" s="23">
        <f>MAX('Model inputs'!F114+'Model inputs'!F112,0)</f>
        <v>1.0714285714285714</v>
      </c>
      <c r="G96" s="23">
        <f>MAX('Model inputs'!G114+'Model inputs'!G112,0)</f>
        <v>1.0952380952380953</v>
      </c>
      <c r="H96" s="23">
        <f>MAX('Model inputs'!H114+'Model inputs'!H112,0)</f>
        <v>1.119047619047619</v>
      </c>
      <c r="I96" s="23">
        <f>MAX('Model inputs'!I114+'Model inputs'!I112,0)</f>
        <v>2.809523809523809</v>
      </c>
      <c r="J96" s="23">
        <f>MAX('Model inputs'!J114+'Model inputs'!J112,0)</f>
        <v>2.8730158730158726</v>
      </c>
      <c r="K96" s="23">
        <f>MAX('Model inputs'!K114+'Model inputs'!K112,0)</f>
        <v>2.9365079365079376</v>
      </c>
      <c r="L96" s="23">
        <f>MAX('Model inputs'!L114+'Model inputs'!L112,0)</f>
        <v>2.999999999999998</v>
      </c>
      <c r="M96" s="23">
        <f>MAX('Model inputs'!M114+'Model inputs'!M112,0)</f>
        <v>3.0634920634920646</v>
      </c>
      <c r="N96" s="23">
        <f>MAX('Model inputs'!N114+'Model inputs'!N112,0)</f>
        <v>3.1269841269841283</v>
      </c>
      <c r="O96" s="23">
        <f>MAX('Model inputs'!O114+'Model inputs'!O112,0)</f>
        <v>6.857142857142856</v>
      </c>
      <c r="P96" s="23">
        <f>MAX('Model inputs'!P114+'Model inputs'!P112,0)</f>
        <v>7.007936507936507</v>
      </c>
      <c r="Q96" s="23">
        <f>MAX('Model inputs'!Q114+'Model inputs'!Q112,0)</f>
        <v>7.158730158730161</v>
      </c>
      <c r="R96" s="23">
        <f>MAX('Model inputs'!R114+'Model inputs'!R112,0)</f>
        <v>7.309523809523805</v>
      </c>
      <c r="S96" s="23">
        <f>MAX('Model inputs'!S114+'Model inputs'!S112,0)</f>
        <v>7.460317460317462</v>
      </c>
      <c r="T96" s="23">
        <f>MAX('Model inputs'!T114+'Model inputs'!T112,0)</f>
        <v>7.611111111111113</v>
      </c>
      <c r="U96" s="23">
        <f>MAX('Model inputs'!U114+'Model inputs'!U112,0)</f>
        <v>8.0952380952381</v>
      </c>
      <c r="V96" s="23">
        <f>MAX('Model inputs'!V114+'Model inputs'!V112,0)</f>
        <v>8.253968253968244</v>
      </c>
      <c r="W96" s="23">
        <f>MAX('Model inputs'!W114+'Model inputs'!W112,0)</f>
        <v>8.412698412698417</v>
      </c>
      <c r="X96" s="23">
        <f>MAX('Model inputs'!X114+'Model inputs'!X112,0)</f>
        <v>8.571428571428562</v>
      </c>
      <c r="Y96" s="23">
        <f>MAX('Model inputs'!Y114+'Model inputs'!Y112,0)</f>
        <v>8.730158730158735</v>
      </c>
      <c r="Z96" s="23">
        <f>MAX('Model inputs'!Z114+'Model inputs'!Z112,0)</f>
        <v>8.888888888888893</v>
      </c>
      <c r="AA96" s="23">
        <f>MAX('Model inputs'!AA114+'Model inputs'!AA112,0)</f>
        <v>8.21428571428571</v>
      </c>
      <c r="AB96" s="23">
        <f>MAX('Model inputs'!AB114+'Model inputs'!AB112,0)</f>
        <v>8.353174603174612</v>
      </c>
      <c r="AC96" s="23">
        <f>MAX('Model inputs'!AC114+'Model inputs'!AC112,0)</f>
        <v>8.492063492063487</v>
      </c>
      <c r="AD96" s="23">
        <f>MAX('Model inputs'!AD114+'Model inputs'!AD112,0)</f>
        <v>8.630952380952376</v>
      </c>
      <c r="AE96" s="23">
        <f>MAX('Model inputs'!AE114+'Model inputs'!AE112,0)</f>
        <v>8.769841269841265</v>
      </c>
      <c r="AF96" s="23">
        <f>MAX('Model inputs'!AF114+'Model inputs'!AF112,0)</f>
        <v>8.908730158730169</v>
      </c>
      <c r="AG96" s="23">
        <f>MAX('Model inputs'!AG114+'Model inputs'!AG112,0)</f>
        <v>7.380952380952371</v>
      </c>
      <c r="AH96" s="23">
        <f>MAX('Model inputs'!AH114+'Model inputs'!AH112,0)</f>
        <v>7.480158730158749</v>
      </c>
      <c r="AI96" s="23">
        <f>MAX('Model inputs'!AI114+'Model inputs'!AI112,0)</f>
        <v>7.57936507936507</v>
      </c>
      <c r="AJ96" s="23">
        <f>MAX('Model inputs'!AJ114+'Model inputs'!AJ112,0)</f>
        <v>7.678571428571419</v>
      </c>
      <c r="AK96" s="23">
        <f>MAX('Model inputs'!AK114+'Model inputs'!AK112,0)</f>
        <v>7.777777777777796</v>
      </c>
      <c r="AL96" s="23">
        <f>MAX('Model inputs'!AL114+'Model inputs'!AL112,0)</f>
        <v>7.876984126984118</v>
      </c>
    </row>
    <row r="97">
      <c r="A97" t="inlineStr" s="25">
        <is>
          <t xml:space="preserve">Opening cash · POA — Monthly financial forecast</t>
        </is>
      </c>
      <c r="B97" s="23">
        <v>0</v>
      </c>
      <c r="C97" s="23">
        <f>IF(IF(IF(ISERROR('Model inputs'!C95=1),'Model inputs'!C95=1,IF('Model inputs'!C95="","",'Model inputs'!C95=1))="",FALSE,IF(ISERROR('Model inputs'!C95=1),'Model inputs'!C95=1,IF('Model inputs'!C95="","",'Model inputs'!C95=1))),IF('Model inputs'!AM46="","",'Model inputs'!AM46),IF('Model inputs'!B34="","",'Model inputs'!B34))</f>
        <v>500000</v>
      </c>
      <c r="D97" s="23">
        <f>IF(IF(IF(ISERROR('Model inputs'!D95=1),'Model inputs'!D95=1,IF('Model inputs'!D95="","",'Model inputs'!D95=1))="",FALSE,IF(ISERROR('Model inputs'!D95=1),'Model inputs'!D95=1,IF('Model inputs'!D95="","",'Model inputs'!D95=1))),IF('Model inputs'!AM46="","",'Model inputs'!AM46),IF('Model inputs'!C34="","",'Model inputs'!C34))</f>
        <v>482230.4583333333</v>
      </c>
      <c r="E97" s="23">
        <f>IF(IF(IF(ISERROR('Model inputs'!E95=1),'Model inputs'!E95=1,IF('Model inputs'!E95="","",'Model inputs'!E95=1))="",FALSE,IF(ISERROR('Model inputs'!E95=1),'Model inputs'!E95=1,IF('Model inputs'!E95="","",'Model inputs'!E95=1))),IF('Model inputs'!AM46="","",'Model inputs'!AM46),IF('Model inputs'!D34="","",'Model inputs'!D34))</f>
        <v>465713.9107142857</v>
      </c>
      <c r="F97" s="23">
        <f>IF(IF(IF(ISERROR('Model inputs'!F95=1),'Model inputs'!F95=1,IF('Model inputs'!F95="","",'Model inputs'!F95=1))="",FALSE,IF(ISERROR('Model inputs'!F95=1),'Model inputs'!F95=1,IF('Model inputs'!F95="","",'Model inputs'!F95=1))),IF('Model inputs'!AM46="","",'Model inputs'!AM46),IF('Model inputs'!E34="","",'Model inputs'!E34))</f>
        <v>450491.9404761904</v>
      </c>
      <c r="G97" s="23">
        <f>IF(IF(IF(ISERROR('Model inputs'!G95=1),'Model inputs'!G95=1,IF('Model inputs'!G95="","",'Model inputs'!G95=1))="",FALSE,IF(ISERROR('Model inputs'!G95=1),'Model inputs'!G95=1,IF('Model inputs'!G95="","",'Model inputs'!G95=1))),IF('Model inputs'!AM46="","",'Model inputs'!AM46),IF('Model inputs'!F34="","",'Model inputs'!F34))</f>
        <v>436606.1309523809</v>
      </c>
      <c r="H97" s="23">
        <f>IF(IF(IF(ISERROR('Model inputs'!H95=1),'Model inputs'!H95=1,IF('Model inputs'!H95="","",'Model inputs'!H95=1))="",FALSE,IF(ISERROR('Model inputs'!H95=1),'Model inputs'!H95=1,IF('Model inputs'!H95="","",'Model inputs'!H95=1))),IF('Model inputs'!AM46="","",'Model inputs'!AM46),IF('Model inputs'!G34="","",'Model inputs'!G34))</f>
        <v>424098.0654761904</v>
      </c>
      <c r="I97" s="23">
        <f>IF(IF(IF(ISERROR('Model inputs'!I95=1),'Model inputs'!I95=1,IF('Model inputs'!I95="","",'Model inputs'!I95=1))="",FALSE,IF(ISERROR('Model inputs'!I95=1),'Model inputs'!I95=1,IF('Model inputs'!I95="","",'Model inputs'!I95=1))),IF('Model inputs'!AM46="","",'Model inputs'!AM46),IF('Model inputs'!H34="","",'Model inputs'!H34))</f>
        <v>413009.3273809523</v>
      </c>
      <c r="J97" s="23">
        <f>IF(IF(IF(ISERROR('Model inputs'!J95=1),'Model inputs'!J95=1,IF('Model inputs'!J95="","",'Model inputs'!J95=1))="",FALSE,IF(ISERROR('Model inputs'!J95=1),'Model inputs'!J95=1,IF('Model inputs'!J95="","",'Model inputs'!J95=1))),IF('Model inputs'!AM46="","",'Model inputs'!AM46),IF('Model inputs'!I34="","",'Model inputs'!I34))</f>
        <v>392688.9263468013</v>
      </c>
      <c r="K97" s="23">
        <f>IF(IF(IF(ISERROR('Model inputs'!K95=1),'Model inputs'!K95=1,IF('Model inputs'!K95="","",'Model inputs'!K95=1))="",FALSE,IF(ISERROR('Model inputs'!K95=1),'Model inputs'!K95=1,IF('Model inputs'!K95="","",'Model inputs'!K95=1))),IF('Model inputs'!AM46="","",'Model inputs'!AM46),IF('Model inputs'!J34="","",'Model inputs'!J34))</f>
        <v>378652.8402477152</v>
      </c>
      <c r="L97" s="23">
        <f>IF(IF(IF(ISERROR('Model inputs'!L95=1),'Model inputs'!L95=1,IF('Model inputs'!L95="","",'Model inputs'!L95=1))="",FALSE,IF(ISERROR('Model inputs'!L95=1),'Model inputs'!L95=1,IF('Model inputs'!L95="","",'Model inputs'!L95=1))),IF('Model inputs'!AM46="","",'Model inputs'!AM46),IF('Model inputs'!K34="","",'Model inputs'!K34))</f>
        <v>371448.7929894179</v>
      </c>
      <c r="M97" s="23">
        <f>IF(IF(IF(ISERROR('Model inputs'!M95=1),'Model inputs'!M95=1,IF('Model inputs'!M95="","",'Model inputs'!M95=1))="",FALSE,IF(ISERROR('Model inputs'!M95=1),'Model inputs'!M95=1,IF('Model inputs'!M95="","",'Model inputs'!M95=1))),IF('Model inputs'!AM46="","",'Model inputs'!AM46),IF('Model inputs'!L34="","",'Model inputs'!L34))</f>
        <v>371624.5084776334</v>
      </c>
      <c r="N97" s="23">
        <f>IF(IF(IF(ISERROR('Model inputs'!N95=1),'Model inputs'!N95=1,IF('Model inputs'!N95="","",'Model inputs'!N95=1))="",FALSE,IF(ISERROR('Model inputs'!N95=1),'Model inputs'!N95=1,IF('Model inputs'!N95="","",'Model inputs'!N95=1))),IF('Model inputs'!AM46="","",'Model inputs'!AM46),IF('Model inputs'!M34="","",'Model inputs'!M34))</f>
        <v>379727.7106180856</v>
      </c>
      <c r="O97" s="23">
        <f>IF(IF(IF(ISERROR('Model inputs'!O95=1),'Model inputs'!O95=1,IF('Model inputs'!O95="","",'Model inputs'!O95=1))="",FALSE,IF(ISERROR('Model inputs'!O95=1),'Model inputs'!O95=1,IF('Model inputs'!O95="","",'Model inputs'!O95=1))),IF('Model inputs'!AM46="","",'Model inputs'!AM46),IF('Model inputs'!N34="","",'Model inputs'!N34))</f>
        <v>396306.12331649824</v>
      </c>
      <c r="P97" s="23">
        <f>IF(IF(IF(ISERROR('Model inputs'!P95=1),'Model inputs'!P95=1,IF('Model inputs'!P95="","",'Model inputs'!P95=1))="",FALSE,IF(ISERROR('Model inputs'!P95=1),'Model inputs'!P95=1,IF('Model inputs'!P95="","",'Model inputs'!P95=1))),IF('Model inputs'!AM46="","",'Model inputs'!AM46),IF('Model inputs'!O34="","",'Model inputs'!O34))</f>
        <v>399374.11694324185</v>
      </c>
      <c r="Q97" s="23">
        <f>IF(IF(IF(ISERROR('Model inputs'!Q95=1),'Model inputs'!Q95=1,IF('Model inputs'!Q95="","",'Model inputs'!Q95=1))="",FALSE,IF(ISERROR('Model inputs'!Q95=1),'Model inputs'!Q95=1,IF('Model inputs'!Q95="","",'Model inputs'!Q95=1))),IF('Model inputs'!AM46="","",'Model inputs'!AM46),IF('Model inputs'!P34="","",'Model inputs'!P34))</f>
        <v>422931.25595238083</v>
      </c>
      <c r="R97" s="23">
        <f>IF(IF(IF(ISERROR('Model inputs'!R95=1),'Model inputs'!R95=1,IF('Model inputs'!R95="","",'Model inputs'!R95=1))="",FALSE,IF(ISERROR('Model inputs'!R95=1),'Model inputs'!R95=1,IF('Model inputs'!R95="","",'Model inputs'!R95=1))),IF('Model inputs'!AM46="","",'Model inputs'!AM46),IF('Model inputs'!Q34="","",'Model inputs'!Q34))</f>
        <v>468046.9460678209</v>
      </c>
      <c r="S97" s="23">
        <f>IF(IF(IF(ISERROR('Model inputs'!S95=1),'Model inputs'!S95=1,IF('Model inputs'!S95="","",'Model inputs'!S95=1))="",FALSE,IF(ISERROR('Model inputs'!S95=1),'Model inputs'!S95=1,IF('Model inputs'!S95="","",'Model inputs'!S95=1))),IF('Model inputs'!AM46="","",'Model inputs'!AM46),IF('Model inputs'!R34="","",'Model inputs'!R34))</f>
        <v>535790.5930134678</v>
      </c>
      <c r="T97" s="23">
        <f>IF(IF(IF(ISERROR('Model inputs'!T95=1),'Model inputs'!T95=1,IF('Model inputs'!T95="","",'Model inputs'!T95=1))="",FALSE,IF(ISERROR('Model inputs'!T95=1),'Model inputs'!T95=1,IF('Model inputs'!T95="","",'Model inputs'!T95=1))),IF('Model inputs'!AM46="","",'Model inputs'!AM46),IF('Model inputs'!S34="","",'Model inputs'!S34))</f>
        <v>627231.6025132274</v>
      </c>
      <c r="U97" s="23">
        <f>IF(IF(IF(ISERROR('Model inputs'!U95=1),'Model inputs'!U95=1,IF('Model inputs'!U95="","",'Model inputs'!U95=1))="",FALSE,IF(ISERROR('Model inputs'!U95=1),'Model inputs'!U95=1,IF('Model inputs'!U95="","",'Model inputs'!U95=1))),IF('Model inputs'!AM46="","",'Model inputs'!AM46),IF('Model inputs'!T34="","",'Model inputs'!T34))</f>
        <v>743439.3802910051</v>
      </c>
      <c r="V97" s="23">
        <f>IF(IF(IF(ISERROR('Model inputs'!V95=1),'Model inputs'!V95=1,IF('Model inputs'!V95="","",'Model inputs'!V95=1))="",FALSE,IF(ISERROR('Model inputs'!V95=1),'Model inputs'!V95=1,IF('Model inputs'!V95="","",'Model inputs'!V95=1))),IF('Model inputs'!AM46="","",'Model inputs'!AM46),IF('Model inputs'!U34="","",'Model inputs'!U34))</f>
        <v>882602.0787037036</v>
      </c>
      <c r="W97" s="23">
        <f>IF(IF(IF(ISERROR('Model inputs'!W95=1),'Model inputs'!W95=1,IF('Model inputs'!W95="","",'Model inputs'!W95=1))="",FALSE,IF(ISERROR('Model inputs'!W95=1),'Model inputs'!W95=1,IF('Model inputs'!W95="","",'Model inputs'!W95=1))),IF('Model inputs'!AM46="","",'Model inputs'!AM46),IF('Model inputs'!V34="","",'Model inputs'!V34))</f>
        <v>1048267.7929894179</v>
      </c>
      <c r="X97" s="23">
        <f>IF(IF(IF(ISERROR('Model inputs'!X95=1),'Model inputs'!X95=1,IF('Model inputs'!X95="","",'Model inputs'!X95=1))="",FALSE,IF(ISERROR('Model inputs'!X95=1),'Model inputs'!X95=1,IF('Model inputs'!X95="","",'Model inputs'!X95=1))),IF('Model inputs'!AM46="","",'Model inputs'!AM46),IF('Model inputs'!W34="","",'Model inputs'!W34))</f>
        <v>1240990.9675925924</v>
      </c>
      <c r="Y97" s="23">
        <f>IF(IF(IF(ISERROR('Model inputs'!Y95=1),'Model inputs'!Y95=1,IF('Model inputs'!Y95="","",'Model inputs'!Y95=1))="",FALSE,IF(ISERROR('Model inputs'!Y95=1),'Model inputs'!Y95=1,IF('Model inputs'!Y95="","",'Model inputs'!Y95=1))),IF('Model inputs'!AM46="","",'Model inputs'!AM46),IF('Model inputs'!X34="","",'Model inputs'!X34))</f>
        <v>1461326.0469576719</v>
      </c>
      <c r="Z97" s="23">
        <f>IF(IF(IF(ISERROR('Model inputs'!Z95=1),'Model inputs'!Z95=1,IF('Model inputs'!Z95="","",'Model inputs'!Z95=1))="",FALSE,IF(ISERROR('Model inputs'!Z95=1),'Model inputs'!Z95=1,IF('Model inputs'!Z95="","",'Model inputs'!Z95=1))),IF('Model inputs'!AM46="","",'Model inputs'!AM46),IF('Model inputs'!Y34="","",'Model inputs'!Y34))</f>
        <v>1709827.4755291003</v>
      </c>
      <c r="AA97" s="23">
        <f>IF(IF(IF(ISERROR('Model inputs'!AA95=1),'Model inputs'!AA95=1,IF('Model inputs'!AA95="","",'Model inputs'!AA95=1))="",FALSE,IF(ISERROR('Model inputs'!AA95=1),'Model inputs'!AA95=1,IF('Model inputs'!AA95="","",'Model inputs'!AA95=1))),IF('Model inputs'!AM46="","",'Model inputs'!AM46),IF('Model inputs'!Z34="","",'Model inputs'!Z34))</f>
        <v>1987049.6977513225</v>
      </c>
      <c r="AB97" s="23">
        <f>IF(IF(IF(ISERROR('Model inputs'!AB95=1),'Model inputs'!AB95=1,IF('Model inputs'!AB95="","",'Model inputs'!AB95=1))="",FALSE,IF(ISERROR('Model inputs'!AB95=1),'Model inputs'!AB95=1,IF('Model inputs'!AB95="","",'Model inputs'!AB95=1))),IF('Model inputs'!AM46="","",'Model inputs'!AM46),IF('Model inputs'!AA34="","",'Model inputs'!AA34))</f>
        <v>2298154.1719576716</v>
      </c>
      <c r="AC97" s="23">
        <f>IF(IF(IF(ISERROR('Model inputs'!AC95=1),'Model inputs'!AC95=1,IF('Model inputs'!AC95="","",'Model inputs'!AC95=1))="",FALSE,IF(ISERROR('Model inputs'!AC95=1),'Model inputs'!AC95=1,IF('Model inputs'!AC95="","",'Model inputs'!AC95=1))),IF('Model inputs'!AM46="","",'Model inputs'!AM46),IF('Model inputs'!AB34="","",'Model inputs'!AB34))</f>
        <v>2636141.9100529095</v>
      </c>
      <c r="AD97" s="23">
        <f>IF(IF(IF(ISERROR('Model inputs'!AD95=1),'Model inputs'!AD95=1,IF('Model inputs'!AD95="","",'Model inputs'!AD95=1))="",FALSE,IF(ISERROR('Model inputs'!AD95=1),'Model inputs'!AD95=1,IF('Model inputs'!AD95="","",'Model inputs'!AD95=1))),IF('Model inputs'!AM46="","",'Model inputs'!AM46),IF('Model inputs'!AC34="","",'Model inputs'!AC34))</f>
        <v>3001498.0509259254</v>
      </c>
      <c r="AE97" s="23">
        <f>IF(IF(IF(ISERROR('Model inputs'!AE95=1),'Model inputs'!AE95=1,IF('Model inputs'!AE95="","",'Model inputs'!AE95=1))="",FALSE,IF(ISERROR('Model inputs'!AE95=1),'Model inputs'!AE95=1,IF('Model inputs'!AE95="","",'Model inputs'!AE95=1))),IF('Model inputs'!AM46="","",'Model inputs'!AM46),IF('Model inputs'!AD34="","",'Model inputs'!AD34))</f>
        <v>3394707.733465608</v>
      </c>
      <c r="AF97" s="23">
        <f>IF(IF(IF(ISERROR('Model inputs'!AF95=1),'Model inputs'!AF95=1,IF('Model inputs'!AF95="","",'Model inputs'!AF95=1))="",FALSE,IF(ISERROR('Model inputs'!AF95=1),'Model inputs'!AF95=1,IF('Model inputs'!AF95="","",'Model inputs'!AF95=1))),IF('Model inputs'!AM46="","",'Model inputs'!AM46),IF('Model inputs'!AE34="","",'Model inputs'!AE34))</f>
        <v>3816256.096560846</v>
      </c>
      <c r="AG97" s="23">
        <f>IF(IF(IF(ISERROR('Model inputs'!AG95=1),'Model inputs'!AG95=1,IF('Model inputs'!AG95="","",'Model inputs'!AG95=1))="",FALSE,IF(ISERROR('Model inputs'!AG95=1),'Model inputs'!AG95=1,IF('Model inputs'!AG95="","",'Model inputs'!AG95=1))),IF('Model inputs'!AM46="","",'Model inputs'!AM46),IF('Model inputs'!AF34="","",'Model inputs'!AF34))</f>
        <v>4266628.279100529</v>
      </c>
      <c r="AH97" s="23">
        <f>IF(IF(IF(ISERROR('Model inputs'!AH95=1),'Model inputs'!AH95=1,IF('Model inputs'!AH95="","",'Model inputs'!AH95=1))="",FALSE,IF(ISERROR('Model inputs'!AH95=1),'Model inputs'!AH95=1,IF('Model inputs'!AH95="","",'Model inputs'!AH95=1))),IF('Model inputs'!AM46="","",'Model inputs'!AM46),IF('Model inputs'!AG34="","",'Model inputs'!AG34))</f>
        <v>4753674.281084656</v>
      </c>
      <c r="AI97" s="23">
        <f>IF(IF(IF(ISERROR('Model inputs'!AI95=1),'Model inputs'!AI95=1,IF('Model inputs'!AI95="","",'Model inputs'!AI95=1))="",FALSE,IF(ISERROR('Model inputs'!AI95=1),'Model inputs'!AI95=1,IF('Model inputs'!AI95="","",'Model inputs'!AI95=1))),IF('Model inputs'!AM46="","",'Model inputs'!AM46),IF('Model inputs'!AH34="","",'Model inputs'!AH34))</f>
        <v>5262772.376322751</v>
      </c>
      <c r="AJ97" s="23">
        <f>IF(IF(IF(ISERROR('Model inputs'!AJ95=1),'Model inputs'!AJ95=1,IF('Model inputs'!AJ95="","",'Model inputs'!AJ95=1))="",FALSE,IF(ISERROR('Model inputs'!AJ95=1),'Model inputs'!AJ95=1,IF('Model inputs'!AJ95="","",'Model inputs'!AJ95=1))),IF('Model inputs'!AM46="","",'Model inputs'!AM46),IF('Model inputs'!AI34="","",'Model inputs'!AI34))</f>
        <v>5794269.092592592</v>
      </c>
      <c r="AK97" s="23">
        <f>IF(IF(IF(ISERROR('Model inputs'!AK95=1),'Model inputs'!AK95=1,IF('Model inputs'!AK95="","",'Model inputs'!AK95=1))="",FALSE,IF(ISERROR('Model inputs'!AK95=1),'Model inputs'!AK95=1,IF('Model inputs'!AK95="","",'Model inputs'!AK95=1))),IF('Model inputs'!AM46="","",'Model inputs'!AM46),IF('Model inputs'!AJ34="","",'Model inputs'!AJ34))</f>
        <v>6348510.957671957</v>
      </c>
      <c r="AL97" s="23">
        <f>IF(IF(IF(ISERROR('Model inputs'!AL95=1),'Model inputs'!AL95=1,IF('Model inputs'!AL95="","",'Model inputs'!AL95=1))="",FALSE,IF(ISERROR('Model inputs'!AL95=1),'Model inputs'!AL95=1,IF('Model inputs'!AL95="","",'Model inputs'!AL95=1))),IF('Model inputs'!AM46="","",'Model inputs'!AM46),IF('Model inputs'!AK34="","",'Model inputs'!AK34))</f>
        <v>6925844.499338623</v>
      </c>
    </row>
    <row r="98">
      <c r="A98" t="inlineStr" s="25">
        <is>
          <t xml:space="preserve">Operating budget · POA — Monthly financial forecast</t>
        </is>
      </c>
      <c r="B98" s="23">
        <v>0</v>
      </c>
      <c r="C98" s="23">
        <f>IF((IF(IF(IF(ISERROR('Model inputs'!C95&lt;=6),'Model inputs'!C95&lt;=6,IF('Model inputs'!C95="","",'Model inputs'!C95&lt;=6))="",FALSE,IF(ISERROR('Model inputs'!C95&lt;=6),'Model inputs'!C95&lt;=6,IF('Model inputs'!C95="","",'Model inputs'!C95&lt;=6))),'Model inputs'!AM53+('Model inputs'!AM59-'Model inputs'!AM53)*('Model inputs'!C95-0)/6,IF(IF(IF(ISERROR('Model inputs'!C95&lt;=12),'Model inputs'!C95&lt;=12,IF('Model inputs'!C95="","",'Model inputs'!C95&lt;=12))="",FALSE,IF(ISERROR('Model inputs'!C95&lt;=12),'Model inputs'!C95&lt;=12,IF('Model inputs'!C95="","",'Model inputs'!C95&lt;=12))),'Model inputs'!AM59+('Model inputs'!AM54-'Model inputs'!AM59)*('Model inputs'!C95-6)/6,IF(IF(IF(ISERROR('Model inputs'!C95&lt;=18),'Model inputs'!C95&lt;=18,IF('Model inputs'!C95="","",'Model inputs'!C95&lt;=18))="",FALSE,IF(ISERROR('Model inputs'!C95&lt;=18),'Model inputs'!C95&lt;=18,IF('Model inputs'!C95="","",'Model inputs'!C95&lt;=18))),'Model inputs'!AM54+('Model inputs'!AM55-'Model inputs'!AM54)*('Model inputs'!C95-12)/6,IF(IF(IF(ISERROR('Model inputs'!C95&lt;=24),'Model inputs'!C95&lt;=24,IF('Model inputs'!C95="","",'Model inputs'!C95&lt;=24))="",FALSE,IF(ISERROR('Model inputs'!C95&lt;=24),'Model inputs'!C95&lt;=24,IF('Model inputs'!C95="","",'Model inputs'!C95&lt;=24))),'Model inputs'!AM55+('Model inputs'!AM56-'Model inputs'!AM55)*('Model inputs'!C95-18)/6,IF(IF(IF(ISERROR('Model inputs'!C95&lt;=30),'Model inputs'!C95&lt;=30,IF('Model inputs'!C95="","",'Model inputs'!C95&lt;=30))="",FALSE,IF(ISERROR('Model inputs'!C95&lt;=30),'Model inputs'!C95&lt;=30,IF('Model inputs'!C95="","",'Model inputs'!C95&lt;=30))),'Model inputs'!AM56+('Model inputs'!AM57-'Model inputs'!AM56)*('Model inputs'!C95-24)/6,IF(IF(IF(ISERROR('Model inputs'!C95&lt;=36),'Model inputs'!C95&lt;=36,IF('Model inputs'!C95="","",'Model inputs'!C95&lt;=36))="",FALSE,IF(ISERROR('Model inputs'!C95&lt;=36),'Model inputs'!C95&lt;=36,IF('Model inputs'!C95="","",'Model inputs'!C95&lt;=36))),'Model inputs'!AM57+('Model inputs'!AM58-'Model inputs'!AM57)*('Model inputs'!C95-30)/6,IF('Model inputs'!AM58="","",'Model inputs'!AM58))))))))="",0,(IF(IF(IF(ISERROR('Model inputs'!C95&lt;=6),'Model inputs'!C95&lt;=6,IF('Model inputs'!C95="","",'Model inputs'!C95&lt;=6))="",FALSE,IF(ISERROR('Model inputs'!C95&lt;=6),'Model inputs'!C95&lt;=6,IF('Model inputs'!C95="","",'Model inputs'!C95&lt;=6))),'Model inputs'!AM53+('Model inputs'!AM59-'Model inputs'!AM53)*('Model inputs'!C95-0)/6,IF(IF(IF(ISERROR('Model inputs'!C95&lt;=12),'Model inputs'!C95&lt;=12,IF('Model inputs'!C95="","",'Model inputs'!C95&lt;=12))="",FALSE,IF(ISERROR('Model inputs'!C95&lt;=12),'Model inputs'!C95&lt;=12,IF('Model inputs'!C95="","",'Model inputs'!C95&lt;=12))),'Model inputs'!AM59+('Model inputs'!AM54-'Model inputs'!AM59)*('Model inputs'!C95-6)/6,IF(IF(IF(ISERROR('Model inputs'!C95&lt;=18),'Model inputs'!C95&lt;=18,IF('Model inputs'!C95="","",'Model inputs'!C95&lt;=18))="",FALSE,IF(ISERROR('Model inputs'!C95&lt;=18),'Model inputs'!C95&lt;=18,IF('Model inputs'!C95="","",'Model inputs'!C95&lt;=18))),'Model inputs'!AM54+('Model inputs'!AM55-'Model inputs'!AM54)*('Model inputs'!C95-12)/6,IF(IF(IF(ISERROR('Model inputs'!C95&lt;=24),'Model inputs'!C95&lt;=24,IF('Model inputs'!C95="","",'Model inputs'!C95&lt;=24))="",FALSE,IF(ISERROR('Model inputs'!C95&lt;=24),'Model inputs'!C95&lt;=24,IF('Model inputs'!C95="","",'Model inputs'!C95&lt;=24))),'Model inputs'!AM55+('Model inputs'!AM56-'Model inputs'!AM55)*('Model inputs'!C95-18)/6,IF(IF(IF(ISERROR('Model inputs'!C95&lt;=30),'Model inputs'!C95&lt;=30,IF('Model inputs'!C95="","",'Model inputs'!C95&lt;=30))="",FALSE,IF(ISERROR('Model inputs'!C95&lt;=30),'Model inputs'!C95&lt;=30,IF('Model inputs'!C95="","",'Model inputs'!C95&lt;=30))),'Model inputs'!AM56+('Model inputs'!AM57-'Model inputs'!AM56)*('Model inputs'!C95-24)/6,IF(IF(IF(ISERROR('Model inputs'!C95&lt;=36),'Model inputs'!C95&lt;=36,IF('Model inputs'!C95="","",'Model inputs'!C95&lt;=36))="",FALSE,IF(ISERROR('Model inputs'!C95&lt;=36),'Model inputs'!C95&lt;=36,IF('Model inputs'!C95="","",'Model inputs'!C95&lt;=36))),'Model inputs'!AM57+('Model inputs'!AM58-'Model inputs'!AM57)*('Model inputs'!C95-30)/6,IF('Model inputs'!AM58="","",'Model inputs'!AM58)))))))))*'Model inputs'!AM60</f>
        <v>12083.333333333332</v>
      </c>
      <c r="D98" s="23">
        <f>IF((IF(IF(IF(ISERROR('Model inputs'!D95&lt;=6),'Model inputs'!D95&lt;=6,IF('Model inputs'!D95="","",'Model inputs'!D95&lt;=6))="",FALSE,IF(ISERROR('Model inputs'!D95&lt;=6),'Model inputs'!D95&lt;=6,IF('Model inputs'!D95="","",'Model inputs'!D95&lt;=6))),'Model inputs'!AM53+('Model inputs'!AM59-'Model inputs'!AM53)*('Model inputs'!D95-0)/6,IF(IF(IF(ISERROR('Model inputs'!D95&lt;=12),'Model inputs'!D95&lt;=12,IF('Model inputs'!D95="","",'Model inputs'!D95&lt;=12))="",FALSE,IF(ISERROR('Model inputs'!D95&lt;=12),'Model inputs'!D95&lt;=12,IF('Model inputs'!D95="","",'Model inputs'!D95&lt;=12))),'Model inputs'!AM59+('Model inputs'!AM54-'Model inputs'!AM59)*('Model inputs'!D95-6)/6,IF(IF(IF(ISERROR('Model inputs'!D95&lt;=18),'Model inputs'!D95&lt;=18,IF('Model inputs'!D95="","",'Model inputs'!D95&lt;=18))="",FALSE,IF(ISERROR('Model inputs'!D95&lt;=18),'Model inputs'!D95&lt;=18,IF('Model inputs'!D95="","",'Model inputs'!D95&lt;=18))),'Model inputs'!AM54+('Model inputs'!AM55-'Model inputs'!AM54)*('Model inputs'!D95-12)/6,IF(IF(IF(ISERROR('Model inputs'!D95&lt;=24),'Model inputs'!D95&lt;=24,IF('Model inputs'!D95="","",'Model inputs'!D95&lt;=24))="",FALSE,IF(ISERROR('Model inputs'!D95&lt;=24),'Model inputs'!D95&lt;=24,IF('Model inputs'!D95="","",'Model inputs'!D95&lt;=24))),'Model inputs'!AM55+('Model inputs'!AM56-'Model inputs'!AM55)*('Model inputs'!D95-18)/6,IF(IF(IF(ISERROR('Model inputs'!D95&lt;=30),'Model inputs'!D95&lt;=30,IF('Model inputs'!D95="","",'Model inputs'!D95&lt;=30))="",FALSE,IF(ISERROR('Model inputs'!D95&lt;=30),'Model inputs'!D95&lt;=30,IF('Model inputs'!D95="","",'Model inputs'!D95&lt;=30))),'Model inputs'!AM56+('Model inputs'!AM57-'Model inputs'!AM56)*('Model inputs'!D95-24)/6,IF(IF(IF(ISERROR('Model inputs'!D95&lt;=36),'Model inputs'!D95&lt;=36,IF('Model inputs'!D95="","",'Model inputs'!D95&lt;=36))="",FALSE,IF(ISERROR('Model inputs'!D95&lt;=36),'Model inputs'!D95&lt;=36,IF('Model inputs'!D95="","",'Model inputs'!D95&lt;=36))),'Model inputs'!AM57+('Model inputs'!AM58-'Model inputs'!AM57)*('Model inputs'!D95-30)/6,IF('Model inputs'!AM58="","",'Model inputs'!AM58))))))))="",0,(IF(IF(IF(ISERROR('Model inputs'!D95&lt;=6),'Model inputs'!D95&lt;=6,IF('Model inputs'!D95="","",'Model inputs'!D95&lt;=6))="",FALSE,IF(ISERROR('Model inputs'!D95&lt;=6),'Model inputs'!D95&lt;=6,IF('Model inputs'!D95="","",'Model inputs'!D95&lt;=6))),'Model inputs'!AM53+('Model inputs'!AM59-'Model inputs'!AM53)*('Model inputs'!D95-0)/6,IF(IF(IF(ISERROR('Model inputs'!D95&lt;=12),'Model inputs'!D95&lt;=12,IF('Model inputs'!D95="","",'Model inputs'!D95&lt;=12))="",FALSE,IF(ISERROR('Model inputs'!D95&lt;=12),'Model inputs'!D95&lt;=12,IF('Model inputs'!D95="","",'Model inputs'!D95&lt;=12))),'Model inputs'!AM59+('Model inputs'!AM54-'Model inputs'!AM59)*('Model inputs'!D95-6)/6,IF(IF(IF(ISERROR('Model inputs'!D95&lt;=18),'Model inputs'!D95&lt;=18,IF('Model inputs'!D95="","",'Model inputs'!D95&lt;=18))="",FALSE,IF(ISERROR('Model inputs'!D95&lt;=18),'Model inputs'!D95&lt;=18,IF('Model inputs'!D95="","",'Model inputs'!D95&lt;=18))),'Model inputs'!AM54+('Model inputs'!AM55-'Model inputs'!AM54)*('Model inputs'!D95-12)/6,IF(IF(IF(ISERROR('Model inputs'!D95&lt;=24),'Model inputs'!D95&lt;=24,IF('Model inputs'!D95="","",'Model inputs'!D95&lt;=24))="",FALSE,IF(ISERROR('Model inputs'!D95&lt;=24),'Model inputs'!D95&lt;=24,IF('Model inputs'!D95="","",'Model inputs'!D95&lt;=24))),'Model inputs'!AM55+('Model inputs'!AM56-'Model inputs'!AM55)*('Model inputs'!D95-18)/6,IF(IF(IF(ISERROR('Model inputs'!D95&lt;=30),'Model inputs'!D95&lt;=30,IF('Model inputs'!D95="","",'Model inputs'!D95&lt;=30))="",FALSE,IF(ISERROR('Model inputs'!D95&lt;=30),'Model inputs'!D95&lt;=30,IF('Model inputs'!D95="","",'Model inputs'!D95&lt;=30))),'Model inputs'!AM56+('Model inputs'!AM57-'Model inputs'!AM56)*('Model inputs'!D95-24)/6,IF(IF(IF(ISERROR('Model inputs'!D95&lt;=36),'Model inputs'!D95&lt;=36,IF('Model inputs'!D95="","",'Model inputs'!D95&lt;=36))="",FALSE,IF(ISERROR('Model inputs'!D95&lt;=36),'Model inputs'!D95&lt;=36,IF('Model inputs'!D95="","",'Model inputs'!D95&lt;=36))),'Model inputs'!AM57+('Model inputs'!AM58-'Model inputs'!AM57)*('Model inputs'!D95-30)/6,IF('Model inputs'!AM58="","",'Model inputs'!AM58)))))))))*'Model inputs'!AM60</f>
        <v>14166.666666666666</v>
      </c>
      <c r="E98" s="23">
        <f>IF((IF(IF(IF(ISERROR('Model inputs'!E95&lt;=6),'Model inputs'!E95&lt;=6,IF('Model inputs'!E95="","",'Model inputs'!E95&lt;=6))="",FALSE,IF(ISERROR('Model inputs'!E95&lt;=6),'Model inputs'!E95&lt;=6,IF('Model inputs'!E95="","",'Model inputs'!E95&lt;=6))),'Model inputs'!AM53+('Model inputs'!AM59-'Model inputs'!AM53)*('Model inputs'!E95-0)/6,IF(IF(IF(ISERROR('Model inputs'!E95&lt;=12),'Model inputs'!E95&lt;=12,IF('Model inputs'!E95="","",'Model inputs'!E95&lt;=12))="",FALSE,IF(ISERROR('Model inputs'!E95&lt;=12),'Model inputs'!E95&lt;=12,IF('Model inputs'!E95="","",'Model inputs'!E95&lt;=12))),'Model inputs'!AM59+('Model inputs'!AM54-'Model inputs'!AM59)*('Model inputs'!E95-6)/6,IF(IF(IF(ISERROR('Model inputs'!E95&lt;=18),'Model inputs'!E95&lt;=18,IF('Model inputs'!E95="","",'Model inputs'!E95&lt;=18))="",FALSE,IF(ISERROR('Model inputs'!E95&lt;=18),'Model inputs'!E95&lt;=18,IF('Model inputs'!E95="","",'Model inputs'!E95&lt;=18))),'Model inputs'!AM54+('Model inputs'!AM55-'Model inputs'!AM54)*('Model inputs'!E95-12)/6,IF(IF(IF(ISERROR('Model inputs'!E95&lt;=24),'Model inputs'!E95&lt;=24,IF('Model inputs'!E95="","",'Model inputs'!E95&lt;=24))="",FALSE,IF(ISERROR('Model inputs'!E95&lt;=24),'Model inputs'!E95&lt;=24,IF('Model inputs'!E95="","",'Model inputs'!E95&lt;=24))),'Model inputs'!AM55+('Model inputs'!AM56-'Model inputs'!AM55)*('Model inputs'!E95-18)/6,IF(IF(IF(ISERROR('Model inputs'!E95&lt;=30),'Model inputs'!E95&lt;=30,IF('Model inputs'!E95="","",'Model inputs'!E95&lt;=30))="",FALSE,IF(ISERROR('Model inputs'!E95&lt;=30),'Model inputs'!E95&lt;=30,IF('Model inputs'!E95="","",'Model inputs'!E95&lt;=30))),'Model inputs'!AM56+('Model inputs'!AM57-'Model inputs'!AM56)*('Model inputs'!E95-24)/6,IF(IF(IF(ISERROR('Model inputs'!E95&lt;=36),'Model inputs'!E95&lt;=36,IF('Model inputs'!E95="","",'Model inputs'!E95&lt;=36))="",FALSE,IF(ISERROR('Model inputs'!E95&lt;=36),'Model inputs'!E95&lt;=36,IF('Model inputs'!E95="","",'Model inputs'!E95&lt;=36))),'Model inputs'!AM57+('Model inputs'!AM58-'Model inputs'!AM57)*('Model inputs'!E95-30)/6,IF('Model inputs'!AM58="","",'Model inputs'!AM58))))))))="",0,(IF(IF(IF(ISERROR('Model inputs'!E95&lt;=6),'Model inputs'!E95&lt;=6,IF('Model inputs'!E95="","",'Model inputs'!E95&lt;=6))="",FALSE,IF(ISERROR('Model inputs'!E95&lt;=6),'Model inputs'!E95&lt;=6,IF('Model inputs'!E95="","",'Model inputs'!E95&lt;=6))),'Model inputs'!AM53+('Model inputs'!AM59-'Model inputs'!AM53)*('Model inputs'!E95-0)/6,IF(IF(IF(ISERROR('Model inputs'!E95&lt;=12),'Model inputs'!E95&lt;=12,IF('Model inputs'!E95="","",'Model inputs'!E95&lt;=12))="",FALSE,IF(ISERROR('Model inputs'!E95&lt;=12),'Model inputs'!E95&lt;=12,IF('Model inputs'!E95="","",'Model inputs'!E95&lt;=12))),'Model inputs'!AM59+('Model inputs'!AM54-'Model inputs'!AM59)*('Model inputs'!E95-6)/6,IF(IF(IF(ISERROR('Model inputs'!E95&lt;=18),'Model inputs'!E95&lt;=18,IF('Model inputs'!E95="","",'Model inputs'!E95&lt;=18))="",FALSE,IF(ISERROR('Model inputs'!E95&lt;=18),'Model inputs'!E95&lt;=18,IF('Model inputs'!E95="","",'Model inputs'!E95&lt;=18))),'Model inputs'!AM54+('Model inputs'!AM55-'Model inputs'!AM54)*('Model inputs'!E95-12)/6,IF(IF(IF(ISERROR('Model inputs'!E95&lt;=24),'Model inputs'!E95&lt;=24,IF('Model inputs'!E95="","",'Model inputs'!E95&lt;=24))="",FALSE,IF(ISERROR('Model inputs'!E95&lt;=24),'Model inputs'!E95&lt;=24,IF('Model inputs'!E95="","",'Model inputs'!E95&lt;=24))),'Model inputs'!AM55+('Model inputs'!AM56-'Model inputs'!AM55)*('Model inputs'!E95-18)/6,IF(IF(IF(ISERROR('Model inputs'!E95&lt;=30),'Model inputs'!E95&lt;=30,IF('Model inputs'!E95="","",'Model inputs'!E95&lt;=30))="",FALSE,IF(ISERROR('Model inputs'!E95&lt;=30),'Model inputs'!E95&lt;=30,IF('Model inputs'!E95="","",'Model inputs'!E95&lt;=30))),'Model inputs'!AM56+('Model inputs'!AM57-'Model inputs'!AM56)*('Model inputs'!E95-24)/6,IF(IF(IF(ISERROR('Model inputs'!E95&lt;=36),'Model inputs'!E95&lt;=36,IF('Model inputs'!E95="","",'Model inputs'!E95&lt;=36))="",FALSE,IF(ISERROR('Model inputs'!E95&lt;=36),'Model inputs'!E95&lt;=36,IF('Model inputs'!E95="","",'Model inputs'!E95&lt;=36))),'Model inputs'!AM57+('Model inputs'!AM58-'Model inputs'!AM57)*('Model inputs'!E95-30)/6,IF('Model inputs'!AM58="","",'Model inputs'!AM58)))))))))*'Model inputs'!AM60</f>
        <v>16250</v>
      </c>
      <c r="F98" s="23">
        <f>IF((IF(IF(IF(ISERROR('Model inputs'!F95&lt;=6),'Model inputs'!F95&lt;=6,IF('Model inputs'!F95="","",'Model inputs'!F95&lt;=6))="",FALSE,IF(ISERROR('Model inputs'!F95&lt;=6),'Model inputs'!F95&lt;=6,IF('Model inputs'!F95="","",'Model inputs'!F95&lt;=6))),'Model inputs'!AM53+('Model inputs'!AM59-'Model inputs'!AM53)*('Model inputs'!F95-0)/6,IF(IF(IF(ISERROR('Model inputs'!F95&lt;=12),'Model inputs'!F95&lt;=12,IF('Model inputs'!F95="","",'Model inputs'!F95&lt;=12))="",FALSE,IF(ISERROR('Model inputs'!F95&lt;=12),'Model inputs'!F95&lt;=12,IF('Model inputs'!F95="","",'Model inputs'!F95&lt;=12))),'Model inputs'!AM59+('Model inputs'!AM54-'Model inputs'!AM59)*('Model inputs'!F95-6)/6,IF(IF(IF(ISERROR('Model inputs'!F95&lt;=18),'Model inputs'!F95&lt;=18,IF('Model inputs'!F95="","",'Model inputs'!F95&lt;=18))="",FALSE,IF(ISERROR('Model inputs'!F95&lt;=18),'Model inputs'!F95&lt;=18,IF('Model inputs'!F95="","",'Model inputs'!F95&lt;=18))),'Model inputs'!AM54+('Model inputs'!AM55-'Model inputs'!AM54)*('Model inputs'!F95-12)/6,IF(IF(IF(ISERROR('Model inputs'!F95&lt;=24),'Model inputs'!F95&lt;=24,IF('Model inputs'!F95="","",'Model inputs'!F95&lt;=24))="",FALSE,IF(ISERROR('Model inputs'!F95&lt;=24),'Model inputs'!F95&lt;=24,IF('Model inputs'!F95="","",'Model inputs'!F95&lt;=24))),'Model inputs'!AM55+('Model inputs'!AM56-'Model inputs'!AM55)*('Model inputs'!F95-18)/6,IF(IF(IF(ISERROR('Model inputs'!F95&lt;=30),'Model inputs'!F95&lt;=30,IF('Model inputs'!F95="","",'Model inputs'!F95&lt;=30))="",FALSE,IF(ISERROR('Model inputs'!F95&lt;=30),'Model inputs'!F95&lt;=30,IF('Model inputs'!F95="","",'Model inputs'!F95&lt;=30))),'Model inputs'!AM56+('Model inputs'!AM57-'Model inputs'!AM56)*('Model inputs'!F95-24)/6,IF(IF(IF(ISERROR('Model inputs'!F95&lt;=36),'Model inputs'!F95&lt;=36,IF('Model inputs'!F95="","",'Model inputs'!F95&lt;=36))="",FALSE,IF(ISERROR('Model inputs'!F95&lt;=36),'Model inputs'!F95&lt;=36,IF('Model inputs'!F95="","",'Model inputs'!F95&lt;=36))),'Model inputs'!AM57+('Model inputs'!AM58-'Model inputs'!AM57)*('Model inputs'!F95-30)/6,IF('Model inputs'!AM58="","",'Model inputs'!AM58))))))))="",0,(IF(IF(IF(ISERROR('Model inputs'!F95&lt;=6),'Model inputs'!F95&lt;=6,IF('Model inputs'!F95="","",'Model inputs'!F95&lt;=6))="",FALSE,IF(ISERROR('Model inputs'!F95&lt;=6),'Model inputs'!F95&lt;=6,IF('Model inputs'!F95="","",'Model inputs'!F95&lt;=6))),'Model inputs'!AM53+('Model inputs'!AM59-'Model inputs'!AM53)*('Model inputs'!F95-0)/6,IF(IF(IF(ISERROR('Model inputs'!F95&lt;=12),'Model inputs'!F95&lt;=12,IF('Model inputs'!F95="","",'Model inputs'!F95&lt;=12))="",FALSE,IF(ISERROR('Model inputs'!F95&lt;=12),'Model inputs'!F95&lt;=12,IF('Model inputs'!F95="","",'Model inputs'!F95&lt;=12))),'Model inputs'!AM59+('Model inputs'!AM54-'Model inputs'!AM59)*('Model inputs'!F95-6)/6,IF(IF(IF(ISERROR('Model inputs'!F95&lt;=18),'Model inputs'!F95&lt;=18,IF('Model inputs'!F95="","",'Model inputs'!F95&lt;=18))="",FALSE,IF(ISERROR('Model inputs'!F95&lt;=18),'Model inputs'!F95&lt;=18,IF('Model inputs'!F95="","",'Model inputs'!F95&lt;=18))),'Model inputs'!AM54+('Model inputs'!AM55-'Model inputs'!AM54)*('Model inputs'!F95-12)/6,IF(IF(IF(ISERROR('Model inputs'!F95&lt;=24),'Model inputs'!F95&lt;=24,IF('Model inputs'!F95="","",'Model inputs'!F95&lt;=24))="",FALSE,IF(ISERROR('Model inputs'!F95&lt;=24),'Model inputs'!F95&lt;=24,IF('Model inputs'!F95="","",'Model inputs'!F95&lt;=24))),'Model inputs'!AM55+('Model inputs'!AM56-'Model inputs'!AM55)*('Model inputs'!F95-18)/6,IF(IF(IF(ISERROR('Model inputs'!F95&lt;=30),'Model inputs'!F95&lt;=30,IF('Model inputs'!F95="","",'Model inputs'!F95&lt;=30))="",FALSE,IF(ISERROR('Model inputs'!F95&lt;=30),'Model inputs'!F95&lt;=30,IF('Model inputs'!F95="","",'Model inputs'!F95&lt;=30))),'Model inputs'!AM56+('Model inputs'!AM57-'Model inputs'!AM56)*('Model inputs'!F95-24)/6,IF(IF(IF(ISERROR('Model inputs'!F95&lt;=36),'Model inputs'!F95&lt;=36,IF('Model inputs'!F95="","",'Model inputs'!F95&lt;=36))="",FALSE,IF(ISERROR('Model inputs'!F95&lt;=36),'Model inputs'!F95&lt;=36,IF('Model inputs'!F95="","",'Model inputs'!F95&lt;=36))),'Model inputs'!AM57+('Model inputs'!AM58-'Model inputs'!AM57)*('Model inputs'!F95-30)/6,IF('Model inputs'!AM58="","",'Model inputs'!AM58)))))))))*'Model inputs'!AM60</f>
        <v>18333.333333333332</v>
      </c>
      <c r="G98" s="23">
        <f>IF((IF(IF(IF(ISERROR('Model inputs'!G95&lt;=6),'Model inputs'!G95&lt;=6,IF('Model inputs'!G95="","",'Model inputs'!G95&lt;=6))="",FALSE,IF(ISERROR('Model inputs'!G95&lt;=6),'Model inputs'!G95&lt;=6,IF('Model inputs'!G95="","",'Model inputs'!G95&lt;=6))),'Model inputs'!AM53+('Model inputs'!AM59-'Model inputs'!AM53)*('Model inputs'!G95-0)/6,IF(IF(IF(ISERROR('Model inputs'!G95&lt;=12),'Model inputs'!G95&lt;=12,IF('Model inputs'!G95="","",'Model inputs'!G95&lt;=12))="",FALSE,IF(ISERROR('Model inputs'!G95&lt;=12),'Model inputs'!G95&lt;=12,IF('Model inputs'!G95="","",'Model inputs'!G95&lt;=12))),'Model inputs'!AM59+('Model inputs'!AM54-'Model inputs'!AM59)*('Model inputs'!G95-6)/6,IF(IF(IF(ISERROR('Model inputs'!G95&lt;=18),'Model inputs'!G95&lt;=18,IF('Model inputs'!G95="","",'Model inputs'!G95&lt;=18))="",FALSE,IF(ISERROR('Model inputs'!G95&lt;=18),'Model inputs'!G95&lt;=18,IF('Model inputs'!G95="","",'Model inputs'!G95&lt;=18))),'Model inputs'!AM54+('Model inputs'!AM55-'Model inputs'!AM54)*('Model inputs'!G95-12)/6,IF(IF(IF(ISERROR('Model inputs'!G95&lt;=24),'Model inputs'!G95&lt;=24,IF('Model inputs'!G95="","",'Model inputs'!G95&lt;=24))="",FALSE,IF(ISERROR('Model inputs'!G95&lt;=24),'Model inputs'!G95&lt;=24,IF('Model inputs'!G95="","",'Model inputs'!G95&lt;=24))),'Model inputs'!AM55+('Model inputs'!AM56-'Model inputs'!AM55)*('Model inputs'!G95-18)/6,IF(IF(IF(ISERROR('Model inputs'!G95&lt;=30),'Model inputs'!G95&lt;=30,IF('Model inputs'!G95="","",'Model inputs'!G95&lt;=30))="",FALSE,IF(ISERROR('Model inputs'!G95&lt;=30),'Model inputs'!G95&lt;=30,IF('Model inputs'!G95="","",'Model inputs'!G95&lt;=30))),'Model inputs'!AM56+('Model inputs'!AM57-'Model inputs'!AM56)*('Model inputs'!G95-24)/6,IF(IF(IF(ISERROR('Model inputs'!G95&lt;=36),'Model inputs'!G95&lt;=36,IF('Model inputs'!G95="","",'Model inputs'!G95&lt;=36))="",FALSE,IF(ISERROR('Model inputs'!G95&lt;=36),'Model inputs'!G95&lt;=36,IF('Model inputs'!G95="","",'Model inputs'!G95&lt;=36))),'Model inputs'!AM57+('Model inputs'!AM58-'Model inputs'!AM57)*('Model inputs'!G95-30)/6,IF('Model inputs'!AM58="","",'Model inputs'!AM58))))))))="",0,(IF(IF(IF(ISERROR('Model inputs'!G95&lt;=6),'Model inputs'!G95&lt;=6,IF('Model inputs'!G95="","",'Model inputs'!G95&lt;=6))="",FALSE,IF(ISERROR('Model inputs'!G95&lt;=6),'Model inputs'!G95&lt;=6,IF('Model inputs'!G95="","",'Model inputs'!G95&lt;=6))),'Model inputs'!AM53+('Model inputs'!AM59-'Model inputs'!AM53)*('Model inputs'!G95-0)/6,IF(IF(IF(ISERROR('Model inputs'!G95&lt;=12),'Model inputs'!G95&lt;=12,IF('Model inputs'!G95="","",'Model inputs'!G95&lt;=12))="",FALSE,IF(ISERROR('Model inputs'!G95&lt;=12),'Model inputs'!G95&lt;=12,IF('Model inputs'!G95="","",'Model inputs'!G95&lt;=12))),'Model inputs'!AM59+('Model inputs'!AM54-'Model inputs'!AM59)*('Model inputs'!G95-6)/6,IF(IF(IF(ISERROR('Model inputs'!G95&lt;=18),'Model inputs'!G95&lt;=18,IF('Model inputs'!G95="","",'Model inputs'!G95&lt;=18))="",FALSE,IF(ISERROR('Model inputs'!G95&lt;=18),'Model inputs'!G95&lt;=18,IF('Model inputs'!G95="","",'Model inputs'!G95&lt;=18))),'Model inputs'!AM54+('Model inputs'!AM55-'Model inputs'!AM54)*('Model inputs'!G95-12)/6,IF(IF(IF(ISERROR('Model inputs'!G95&lt;=24),'Model inputs'!G95&lt;=24,IF('Model inputs'!G95="","",'Model inputs'!G95&lt;=24))="",FALSE,IF(ISERROR('Model inputs'!G95&lt;=24),'Model inputs'!G95&lt;=24,IF('Model inputs'!G95="","",'Model inputs'!G95&lt;=24))),'Model inputs'!AM55+('Model inputs'!AM56-'Model inputs'!AM55)*('Model inputs'!G95-18)/6,IF(IF(IF(ISERROR('Model inputs'!G95&lt;=30),'Model inputs'!G95&lt;=30,IF('Model inputs'!G95="","",'Model inputs'!G95&lt;=30))="",FALSE,IF(ISERROR('Model inputs'!G95&lt;=30),'Model inputs'!G95&lt;=30,IF('Model inputs'!G95="","",'Model inputs'!G95&lt;=30))),'Model inputs'!AM56+('Model inputs'!AM57-'Model inputs'!AM56)*('Model inputs'!G95-24)/6,IF(IF(IF(ISERROR('Model inputs'!G95&lt;=36),'Model inputs'!G95&lt;=36,IF('Model inputs'!G95="","",'Model inputs'!G95&lt;=36))="",FALSE,IF(ISERROR('Model inputs'!G95&lt;=36),'Model inputs'!G95&lt;=36,IF('Model inputs'!G95="","",'Model inputs'!G95&lt;=36))),'Model inputs'!AM57+('Model inputs'!AM58-'Model inputs'!AM57)*('Model inputs'!G95-30)/6,IF('Model inputs'!AM58="","",'Model inputs'!AM58)))))))))*'Model inputs'!AM60</f>
        <v>20416.666666666664</v>
      </c>
      <c r="H98" s="23">
        <f>IF((IF(IF(IF(ISERROR('Model inputs'!H95&lt;=6),'Model inputs'!H95&lt;=6,IF('Model inputs'!H95="","",'Model inputs'!H95&lt;=6))="",FALSE,IF(ISERROR('Model inputs'!H95&lt;=6),'Model inputs'!H95&lt;=6,IF('Model inputs'!H95="","",'Model inputs'!H95&lt;=6))),'Model inputs'!AM53+('Model inputs'!AM59-'Model inputs'!AM53)*('Model inputs'!H95-0)/6,IF(IF(IF(ISERROR('Model inputs'!H95&lt;=12),'Model inputs'!H95&lt;=12,IF('Model inputs'!H95="","",'Model inputs'!H95&lt;=12))="",FALSE,IF(ISERROR('Model inputs'!H95&lt;=12),'Model inputs'!H95&lt;=12,IF('Model inputs'!H95="","",'Model inputs'!H95&lt;=12))),'Model inputs'!AM59+('Model inputs'!AM54-'Model inputs'!AM59)*('Model inputs'!H95-6)/6,IF(IF(IF(ISERROR('Model inputs'!H95&lt;=18),'Model inputs'!H95&lt;=18,IF('Model inputs'!H95="","",'Model inputs'!H95&lt;=18))="",FALSE,IF(ISERROR('Model inputs'!H95&lt;=18),'Model inputs'!H95&lt;=18,IF('Model inputs'!H95="","",'Model inputs'!H95&lt;=18))),'Model inputs'!AM54+('Model inputs'!AM55-'Model inputs'!AM54)*('Model inputs'!H95-12)/6,IF(IF(IF(ISERROR('Model inputs'!H95&lt;=24),'Model inputs'!H95&lt;=24,IF('Model inputs'!H95="","",'Model inputs'!H95&lt;=24))="",FALSE,IF(ISERROR('Model inputs'!H95&lt;=24),'Model inputs'!H95&lt;=24,IF('Model inputs'!H95="","",'Model inputs'!H95&lt;=24))),'Model inputs'!AM55+('Model inputs'!AM56-'Model inputs'!AM55)*('Model inputs'!H95-18)/6,IF(IF(IF(ISERROR('Model inputs'!H95&lt;=30),'Model inputs'!H95&lt;=30,IF('Model inputs'!H95="","",'Model inputs'!H95&lt;=30))="",FALSE,IF(ISERROR('Model inputs'!H95&lt;=30),'Model inputs'!H95&lt;=30,IF('Model inputs'!H95="","",'Model inputs'!H95&lt;=30))),'Model inputs'!AM56+('Model inputs'!AM57-'Model inputs'!AM56)*('Model inputs'!H95-24)/6,IF(IF(IF(ISERROR('Model inputs'!H95&lt;=36),'Model inputs'!H95&lt;=36,IF('Model inputs'!H95="","",'Model inputs'!H95&lt;=36))="",FALSE,IF(ISERROR('Model inputs'!H95&lt;=36),'Model inputs'!H95&lt;=36,IF('Model inputs'!H95="","",'Model inputs'!H95&lt;=36))),'Model inputs'!AM57+('Model inputs'!AM58-'Model inputs'!AM57)*('Model inputs'!H95-30)/6,IF('Model inputs'!AM58="","",'Model inputs'!AM58))))))))="",0,(IF(IF(IF(ISERROR('Model inputs'!H95&lt;=6),'Model inputs'!H95&lt;=6,IF('Model inputs'!H95="","",'Model inputs'!H95&lt;=6))="",FALSE,IF(ISERROR('Model inputs'!H95&lt;=6),'Model inputs'!H95&lt;=6,IF('Model inputs'!H95="","",'Model inputs'!H95&lt;=6))),'Model inputs'!AM53+('Model inputs'!AM59-'Model inputs'!AM53)*('Model inputs'!H95-0)/6,IF(IF(IF(ISERROR('Model inputs'!H95&lt;=12),'Model inputs'!H95&lt;=12,IF('Model inputs'!H95="","",'Model inputs'!H95&lt;=12))="",FALSE,IF(ISERROR('Model inputs'!H95&lt;=12),'Model inputs'!H95&lt;=12,IF('Model inputs'!H95="","",'Model inputs'!H95&lt;=12))),'Model inputs'!AM59+('Model inputs'!AM54-'Model inputs'!AM59)*('Model inputs'!H95-6)/6,IF(IF(IF(ISERROR('Model inputs'!H95&lt;=18),'Model inputs'!H95&lt;=18,IF('Model inputs'!H95="","",'Model inputs'!H95&lt;=18))="",FALSE,IF(ISERROR('Model inputs'!H95&lt;=18),'Model inputs'!H95&lt;=18,IF('Model inputs'!H95="","",'Model inputs'!H95&lt;=18))),'Model inputs'!AM54+('Model inputs'!AM55-'Model inputs'!AM54)*('Model inputs'!H95-12)/6,IF(IF(IF(ISERROR('Model inputs'!H95&lt;=24),'Model inputs'!H95&lt;=24,IF('Model inputs'!H95="","",'Model inputs'!H95&lt;=24))="",FALSE,IF(ISERROR('Model inputs'!H95&lt;=24),'Model inputs'!H95&lt;=24,IF('Model inputs'!H95="","",'Model inputs'!H95&lt;=24))),'Model inputs'!AM55+('Model inputs'!AM56-'Model inputs'!AM55)*('Model inputs'!H95-18)/6,IF(IF(IF(ISERROR('Model inputs'!H95&lt;=30),'Model inputs'!H95&lt;=30,IF('Model inputs'!H95="","",'Model inputs'!H95&lt;=30))="",FALSE,IF(ISERROR('Model inputs'!H95&lt;=30),'Model inputs'!H95&lt;=30,IF('Model inputs'!H95="","",'Model inputs'!H95&lt;=30))),'Model inputs'!AM56+('Model inputs'!AM57-'Model inputs'!AM56)*('Model inputs'!H95-24)/6,IF(IF(IF(ISERROR('Model inputs'!H95&lt;=36),'Model inputs'!H95&lt;=36,IF('Model inputs'!H95="","",'Model inputs'!H95&lt;=36))="",FALSE,IF(ISERROR('Model inputs'!H95&lt;=36),'Model inputs'!H95&lt;=36,IF('Model inputs'!H95="","",'Model inputs'!H95&lt;=36))),'Model inputs'!AM57+('Model inputs'!AM58-'Model inputs'!AM57)*('Model inputs'!H95-30)/6,IF('Model inputs'!AM58="","",'Model inputs'!AM58)))))))))*'Model inputs'!AM60</f>
        <v>22500</v>
      </c>
      <c r="I98" s="23">
        <f>IF((IF(IF(IF(ISERROR('Model inputs'!I95&lt;=6),'Model inputs'!I95&lt;=6,IF('Model inputs'!I95="","",'Model inputs'!I95&lt;=6))="",FALSE,IF(ISERROR('Model inputs'!I95&lt;=6),'Model inputs'!I95&lt;=6,IF('Model inputs'!I95="","",'Model inputs'!I95&lt;=6))),'Model inputs'!AM53+('Model inputs'!AM59-'Model inputs'!AM53)*('Model inputs'!I95-0)/6,IF(IF(IF(ISERROR('Model inputs'!I95&lt;=12),'Model inputs'!I95&lt;=12,IF('Model inputs'!I95="","",'Model inputs'!I95&lt;=12))="",FALSE,IF(ISERROR('Model inputs'!I95&lt;=12),'Model inputs'!I95&lt;=12,IF('Model inputs'!I95="","",'Model inputs'!I95&lt;=12))),'Model inputs'!AM59+('Model inputs'!AM54-'Model inputs'!AM59)*('Model inputs'!I95-6)/6,IF(IF(IF(ISERROR('Model inputs'!I95&lt;=18),'Model inputs'!I95&lt;=18,IF('Model inputs'!I95="","",'Model inputs'!I95&lt;=18))="",FALSE,IF(ISERROR('Model inputs'!I95&lt;=18),'Model inputs'!I95&lt;=18,IF('Model inputs'!I95="","",'Model inputs'!I95&lt;=18))),'Model inputs'!AM54+('Model inputs'!AM55-'Model inputs'!AM54)*('Model inputs'!I95-12)/6,IF(IF(IF(ISERROR('Model inputs'!I95&lt;=24),'Model inputs'!I95&lt;=24,IF('Model inputs'!I95="","",'Model inputs'!I95&lt;=24))="",FALSE,IF(ISERROR('Model inputs'!I95&lt;=24),'Model inputs'!I95&lt;=24,IF('Model inputs'!I95="","",'Model inputs'!I95&lt;=24))),'Model inputs'!AM55+('Model inputs'!AM56-'Model inputs'!AM55)*('Model inputs'!I95-18)/6,IF(IF(IF(ISERROR('Model inputs'!I95&lt;=30),'Model inputs'!I95&lt;=30,IF('Model inputs'!I95="","",'Model inputs'!I95&lt;=30))="",FALSE,IF(ISERROR('Model inputs'!I95&lt;=30),'Model inputs'!I95&lt;=30,IF('Model inputs'!I95="","",'Model inputs'!I95&lt;=30))),'Model inputs'!AM56+('Model inputs'!AM57-'Model inputs'!AM56)*('Model inputs'!I95-24)/6,IF(IF(IF(ISERROR('Model inputs'!I95&lt;=36),'Model inputs'!I95&lt;=36,IF('Model inputs'!I95="","",'Model inputs'!I95&lt;=36))="",FALSE,IF(ISERROR('Model inputs'!I95&lt;=36),'Model inputs'!I95&lt;=36,IF('Model inputs'!I95="","",'Model inputs'!I95&lt;=36))),'Model inputs'!AM57+('Model inputs'!AM58-'Model inputs'!AM57)*('Model inputs'!I95-30)/6,IF('Model inputs'!AM58="","",'Model inputs'!AM58))))))))="",0,(IF(IF(IF(ISERROR('Model inputs'!I95&lt;=6),'Model inputs'!I95&lt;=6,IF('Model inputs'!I95="","",'Model inputs'!I95&lt;=6))="",FALSE,IF(ISERROR('Model inputs'!I95&lt;=6),'Model inputs'!I95&lt;=6,IF('Model inputs'!I95="","",'Model inputs'!I95&lt;=6))),'Model inputs'!AM53+('Model inputs'!AM59-'Model inputs'!AM53)*('Model inputs'!I95-0)/6,IF(IF(IF(ISERROR('Model inputs'!I95&lt;=12),'Model inputs'!I95&lt;=12,IF('Model inputs'!I95="","",'Model inputs'!I95&lt;=12))="",FALSE,IF(ISERROR('Model inputs'!I95&lt;=12),'Model inputs'!I95&lt;=12,IF('Model inputs'!I95="","",'Model inputs'!I95&lt;=12))),'Model inputs'!AM59+('Model inputs'!AM54-'Model inputs'!AM59)*('Model inputs'!I95-6)/6,IF(IF(IF(ISERROR('Model inputs'!I95&lt;=18),'Model inputs'!I95&lt;=18,IF('Model inputs'!I95="","",'Model inputs'!I95&lt;=18))="",FALSE,IF(ISERROR('Model inputs'!I95&lt;=18),'Model inputs'!I95&lt;=18,IF('Model inputs'!I95="","",'Model inputs'!I95&lt;=18))),'Model inputs'!AM54+('Model inputs'!AM55-'Model inputs'!AM54)*('Model inputs'!I95-12)/6,IF(IF(IF(ISERROR('Model inputs'!I95&lt;=24),'Model inputs'!I95&lt;=24,IF('Model inputs'!I95="","",'Model inputs'!I95&lt;=24))="",FALSE,IF(ISERROR('Model inputs'!I95&lt;=24),'Model inputs'!I95&lt;=24,IF('Model inputs'!I95="","",'Model inputs'!I95&lt;=24))),'Model inputs'!AM55+('Model inputs'!AM56-'Model inputs'!AM55)*('Model inputs'!I95-18)/6,IF(IF(IF(ISERROR('Model inputs'!I95&lt;=30),'Model inputs'!I95&lt;=30,IF('Model inputs'!I95="","",'Model inputs'!I95&lt;=30))="",FALSE,IF(ISERROR('Model inputs'!I95&lt;=30),'Model inputs'!I95&lt;=30,IF('Model inputs'!I95="","",'Model inputs'!I95&lt;=30))),'Model inputs'!AM56+('Model inputs'!AM57-'Model inputs'!AM56)*('Model inputs'!I95-24)/6,IF(IF(IF(ISERROR('Model inputs'!I95&lt;=36),'Model inputs'!I95&lt;=36,IF('Model inputs'!I95="","",'Model inputs'!I95&lt;=36))="",FALSE,IF(ISERROR('Model inputs'!I95&lt;=36),'Model inputs'!I95&lt;=36,IF('Model inputs'!I95="","",'Model inputs'!I95&lt;=36))),'Model inputs'!AM57+('Model inputs'!AM58-'Model inputs'!AM57)*('Model inputs'!I95-30)/6,IF('Model inputs'!AM58="","",'Model inputs'!AM58)))))))))*'Model inputs'!AM60</f>
        <v>26716.666666666664</v>
      </c>
      <c r="J98" s="23">
        <f>IF((IF(IF(IF(ISERROR('Model inputs'!J95&lt;=6),'Model inputs'!J95&lt;=6,IF('Model inputs'!J95="","",'Model inputs'!J95&lt;=6))="",FALSE,IF(ISERROR('Model inputs'!J95&lt;=6),'Model inputs'!J95&lt;=6,IF('Model inputs'!J95="","",'Model inputs'!J95&lt;=6))),'Model inputs'!AM53+('Model inputs'!AM59-'Model inputs'!AM53)*('Model inputs'!J95-0)/6,IF(IF(IF(ISERROR('Model inputs'!J95&lt;=12),'Model inputs'!J95&lt;=12,IF('Model inputs'!J95="","",'Model inputs'!J95&lt;=12))="",FALSE,IF(ISERROR('Model inputs'!J95&lt;=12),'Model inputs'!J95&lt;=12,IF('Model inputs'!J95="","",'Model inputs'!J95&lt;=12))),'Model inputs'!AM59+('Model inputs'!AM54-'Model inputs'!AM59)*('Model inputs'!J95-6)/6,IF(IF(IF(ISERROR('Model inputs'!J95&lt;=18),'Model inputs'!J95&lt;=18,IF('Model inputs'!J95="","",'Model inputs'!J95&lt;=18))="",FALSE,IF(ISERROR('Model inputs'!J95&lt;=18),'Model inputs'!J95&lt;=18,IF('Model inputs'!J95="","",'Model inputs'!J95&lt;=18))),'Model inputs'!AM54+('Model inputs'!AM55-'Model inputs'!AM54)*('Model inputs'!J95-12)/6,IF(IF(IF(ISERROR('Model inputs'!J95&lt;=24),'Model inputs'!J95&lt;=24,IF('Model inputs'!J95="","",'Model inputs'!J95&lt;=24))="",FALSE,IF(ISERROR('Model inputs'!J95&lt;=24),'Model inputs'!J95&lt;=24,IF('Model inputs'!J95="","",'Model inputs'!J95&lt;=24))),'Model inputs'!AM55+('Model inputs'!AM56-'Model inputs'!AM55)*('Model inputs'!J95-18)/6,IF(IF(IF(ISERROR('Model inputs'!J95&lt;=30),'Model inputs'!J95&lt;=30,IF('Model inputs'!J95="","",'Model inputs'!J95&lt;=30))="",FALSE,IF(ISERROR('Model inputs'!J95&lt;=30),'Model inputs'!J95&lt;=30,IF('Model inputs'!J95="","",'Model inputs'!J95&lt;=30))),'Model inputs'!AM56+('Model inputs'!AM57-'Model inputs'!AM56)*('Model inputs'!J95-24)/6,IF(IF(IF(ISERROR('Model inputs'!J95&lt;=36),'Model inputs'!J95&lt;=36,IF('Model inputs'!J95="","",'Model inputs'!J95&lt;=36))="",FALSE,IF(ISERROR('Model inputs'!J95&lt;=36),'Model inputs'!J95&lt;=36,IF('Model inputs'!J95="","",'Model inputs'!J95&lt;=36))),'Model inputs'!AM57+('Model inputs'!AM58-'Model inputs'!AM57)*('Model inputs'!J95-30)/6,IF('Model inputs'!AM58="","",'Model inputs'!AM58))))))))="",0,(IF(IF(IF(ISERROR('Model inputs'!J95&lt;=6),'Model inputs'!J95&lt;=6,IF('Model inputs'!J95="","",'Model inputs'!J95&lt;=6))="",FALSE,IF(ISERROR('Model inputs'!J95&lt;=6),'Model inputs'!J95&lt;=6,IF('Model inputs'!J95="","",'Model inputs'!J95&lt;=6))),'Model inputs'!AM53+('Model inputs'!AM59-'Model inputs'!AM53)*('Model inputs'!J95-0)/6,IF(IF(IF(ISERROR('Model inputs'!J95&lt;=12),'Model inputs'!J95&lt;=12,IF('Model inputs'!J95="","",'Model inputs'!J95&lt;=12))="",FALSE,IF(ISERROR('Model inputs'!J95&lt;=12),'Model inputs'!J95&lt;=12,IF('Model inputs'!J95="","",'Model inputs'!J95&lt;=12))),'Model inputs'!AM59+('Model inputs'!AM54-'Model inputs'!AM59)*('Model inputs'!J95-6)/6,IF(IF(IF(ISERROR('Model inputs'!J95&lt;=18),'Model inputs'!J95&lt;=18,IF('Model inputs'!J95="","",'Model inputs'!J95&lt;=18))="",FALSE,IF(ISERROR('Model inputs'!J95&lt;=18),'Model inputs'!J95&lt;=18,IF('Model inputs'!J95="","",'Model inputs'!J95&lt;=18))),'Model inputs'!AM54+('Model inputs'!AM55-'Model inputs'!AM54)*('Model inputs'!J95-12)/6,IF(IF(IF(ISERROR('Model inputs'!J95&lt;=24),'Model inputs'!J95&lt;=24,IF('Model inputs'!J95="","",'Model inputs'!J95&lt;=24))="",FALSE,IF(ISERROR('Model inputs'!J95&lt;=24),'Model inputs'!J95&lt;=24,IF('Model inputs'!J95="","",'Model inputs'!J95&lt;=24))),'Model inputs'!AM55+('Model inputs'!AM56-'Model inputs'!AM55)*('Model inputs'!J95-18)/6,IF(IF(IF(ISERROR('Model inputs'!J95&lt;=30),'Model inputs'!J95&lt;=30,IF('Model inputs'!J95="","",'Model inputs'!J95&lt;=30))="",FALSE,IF(ISERROR('Model inputs'!J95&lt;=30),'Model inputs'!J95&lt;=30,IF('Model inputs'!J95="","",'Model inputs'!J95&lt;=30))),'Model inputs'!AM56+('Model inputs'!AM57-'Model inputs'!AM56)*('Model inputs'!J95-24)/6,IF(IF(IF(ISERROR('Model inputs'!J95&lt;=36),'Model inputs'!J95&lt;=36,IF('Model inputs'!J95="","",'Model inputs'!J95&lt;=36))="",FALSE,IF(ISERROR('Model inputs'!J95&lt;=36),'Model inputs'!J95&lt;=36,IF('Model inputs'!J95="","",'Model inputs'!J95&lt;=36))),'Model inputs'!AM57+('Model inputs'!AM58-'Model inputs'!AM57)*('Model inputs'!J95-30)/6,IF('Model inputs'!AM58="","",'Model inputs'!AM58)))))))))*'Model inputs'!AM60</f>
        <v>30933.333333333332</v>
      </c>
      <c r="K98" s="23">
        <f>IF((IF(IF(IF(ISERROR('Model inputs'!K95&lt;=6),'Model inputs'!K95&lt;=6,IF('Model inputs'!K95="","",'Model inputs'!K95&lt;=6))="",FALSE,IF(ISERROR('Model inputs'!K95&lt;=6),'Model inputs'!K95&lt;=6,IF('Model inputs'!K95="","",'Model inputs'!K95&lt;=6))),'Model inputs'!AM53+('Model inputs'!AM59-'Model inputs'!AM53)*('Model inputs'!K95-0)/6,IF(IF(IF(ISERROR('Model inputs'!K95&lt;=12),'Model inputs'!K95&lt;=12,IF('Model inputs'!K95="","",'Model inputs'!K95&lt;=12))="",FALSE,IF(ISERROR('Model inputs'!K95&lt;=12),'Model inputs'!K95&lt;=12,IF('Model inputs'!K95="","",'Model inputs'!K95&lt;=12))),'Model inputs'!AM59+('Model inputs'!AM54-'Model inputs'!AM59)*('Model inputs'!K95-6)/6,IF(IF(IF(ISERROR('Model inputs'!K95&lt;=18),'Model inputs'!K95&lt;=18,IF('Model inputs'!K95="","",'Model inputs'!K95&lt;=18))="",FALSE,IF(ISERROR('Model inputs'!K95&lt;=18),'Model inputs'!K95&lt;=18,IF('Model inputs'!K95="","",'Model inputs'!K95&lt;=18))),'Model inputs'!AM54+('Model inputs'!AM55-'Model inputs'!AM54)*('Model inputs'!K95-12)/6,IF(IF(IF(ISERROR('Model inputs'!K95&lt;=24),'Model inputs'!K95&lt;=24,IF('Model inputs'!K95="","",'Model inputs'!K95&lt;=24))="",FALSE,IF(ISERROR('Model inputs'!K95&lt;=24),'Model inputs'!K95&lt;=24,IF('Model inputs'!K95="","",'Model inputs'!K95&lt;=24))),'Model inputs'!AM55+('Model inputs'!AM56-'Model inputs'!AM55)*('Model inputs'!K95-18)/6,IF(IF(IF(ISERROR('Model inputs'!K95&lt;=30),'Model inputs'!K95&lt;=30,IF('Model inputs'!K95="","",'Model inputs'!K95&lt;=30))="",FALSE,IF(ISERROR('Model inputs'!K95&lt;=30),'Model inputs'!K95&lt;=30,IF('Model inputs'!K95="","",'Model inputs'!K95&lt;=30))),'Model inputs'!AM56+('Model inputs'!AM57-'Model inputs'!AM56)*('Model inputs'!K95-24)/6,IF(IF(IF(ISERROR('Model inputs'!K95&lt;=36),'Model inputs'!K95&lt;=36,IF('Model inputs'!K95="","",'Model inputs'!K95&lt;=36))="",FALSE,IF(ISERROR('Model inputs'!K95&lt;=36),'Model inputs'!K95&lt;=36,IF('Model inputs'!K95="","",'Model inputs'!K95&lt;=36))),'Model inputs'!AM57+('Model inputs'!AM58-'Model inputs'!AM57)*('Model inputs'!K95-30)/6,IF('Model inputs'!AM58="","",'Model inputs'!AM58))))))))="",0,(IF(IF(IF(ISERROR('Model inputs'!K95&lt;=6),'Model inputs'!K95&lt;=6,IF('Model inputs'!K95="","",'Model inputs'!K95&lt;=6))="",FALSE,IF(ISERROR('Model inputs'!K95&lt;=6),'Model inputs'!K95&lt;=6,IF('Model inputs'!K95="","",'Model inputs'!K95&lt;=6))),'Model inputs'!AM53+('Model inputs'!AM59-'Model inputs'!AM53)*('Model inputs'!K95-0)/6,IF(IF(IF(ISERROR('Model inputs'!K95&lt;=12),'Model inputs'!K95&lt;=12,IF('Model inputs'!K95="","",'Model inputs'!K95&lt;=12))="",FALSE,IF(ISERROR('Model inputs'!K95&lt;=12),'Model inputs'!K95&lt;=12,IF('Model inputs'!K95="","",'Model inputs'!K95&lt;=12))),'Model inputs'!AM59+('Model inputs'!AM54-'Model inputs'!AM59)*('Model inputs'!K95-6)/6,IF(IF(IF(ISERROR('Model inputs'!K95&lt;=18),'Model inputs'!K95&lt;=18,IF('Model inputs'!K95="","",'Model inputs'!K95&lt;=18))="",FALSE,IF(ISERROR('Model inputs'!K95&lt;=18),'Model inputs'!K95&lt;=18,IF('Model inputs'!K95="","",'Model inputs'!K95&lt;=18))),'Model inputs'!AM54+('Model inputs'!AM55-'Model inputs'!AM54)*('Model inputs'!K95-12)/6,IF(IF(IF(ISERROR('Model inputs'!K95&lt;=24),'Model inputs'!K95&lt;=24,IF('Model inputs'!K95="","",'Model inputs'!K95&lt;=24))="",FALSE,IF(ISERROR('Model inputs'!K95&lt;=24),'Model inputs'!K95&lt;=24,IF('Model inputs'!K95="","",'Model inputs'!K95&lt;=24))),'Model inputs'!AM55+('Model inputs'!AM56-'Model inputs'!AM55)*('Model inputs'!K95-18)/6,IF(IF(IF(ISERROR('Model inputs'!K95&lt;=30),'Model inputs'!K95&lt;=30,IF('Model inputs'!K95="","",'Model inputs'!K95&lt;=30))="",FALSE,IF(ISERROR('Model inputs'!K95&lt;=30),'Model inputs'!K95&lt;=30,IF('Model inputs'!K95="","",'Model inputs'!K95&lt;=30))),'Model inputs'!AM56+('Model inputs'!AM57-'Model inputs'!AM56)*('Model inputs'!K95-24)/6,IF(IF(IF(ISERROR('Model inputs'!K95&lt;=36),'Model inputs'!K95&lt;=36,IF('Model inputs'!K95="","",'Model inputs'!K95&lt;=36))="",FALSE,IF(ISERROR('Model inputs'!K95&lt;=36),'Model inputs'!K95&lt;=36,IF('Model inputs'!K95="","",'Model inputs'!K95&lt;=36))),'Model inputs'!AM57+('Model inputs'!AM58-'Model inputs'!AM57)*('Model inputs'!K95-30)/6,IF('Model inputs'!AM58="","",'Model inputs'!AM58)))))))))*'Model inputs'!AM60</f>
        <v>35150</v>
      </c>
      <c r="L98" s="23">
        <f>IF((IF(IF(IF(ISERROR('Model inputs'!L95&lt;=6),'Model inputs'!L95&lt;=6,IF('Model inputs'!L95="","",'Model inputs'!L95&lt;=6))="",FALSE,IF(ISERROR('Model inputs'!L95&lt;=6),'Model inputs'!L95&lt;=6,IF('Model inputs'!L95="","",'Model inputs'!L95&lt;=6))),'Model inputs'!AM53+('Model inputs'!AM59-'Model inputs'!AM53)*('Model inputs'!L95-0)/6,IF(IF(IF(ISERROR('Model inputs'!L95&lt;=12),'Model inputs'!L95&lt;=12,IF('Model inputs'!L95="","",'Model inputs'!L95&lt;=12))="",FALSE,IF(ISERROR('Model inputs'!L95&lt;=12),'Model inputs'!L95&lt;=12,IF('Model inputs'!L95="","",'Model inputs'!L95&lt;=12))),'Model inputs'!AM59+('Model inputs'!AM54-'Model inputs'!AM59)*('Model inputs'!L95-6)/6,IF(IF(IF(ISERROR('Model inputs'!L95&lt;=18),'Model inputs'!L95&lt;=18,IF('Model inputs'!L95="","",'Model inputs'!L95&lt;=18))="",FALSE,IF(ISERROR('Model inputs'!L95&lt;=18),'Model inputs'!L95&lt;=18,IF('Model inputs'!L95="","",'Model inputs'!L95&lt;=18))),'Model inputs'!AM54+('Model inputs'!AM55-'Model inputs'!AM54)*('Model inputs'!L95-12)/6,IF(IF(IF(ISERROR('Model inputs'!L95&lt;=24),'Model inputs'!L95&lt;=24,IF('Model inputs'!L95="","",'Model inputs'!L95&lt;=24))="",FALSE,IF(ISERROR('Model inputs'!L95&lt;=24),'Model inputs'!L95&lt;=24,IF('Model inputs'!L95="","",'Model inputs'!L95&lt;=24))),'Model inputs'!AM55+('Model inputs'!AM56-'Model inputs'!AM55)*('Model inputs'!L95-18)/6,IF(IF(IF(ISERROR('Model inputs'!L95&lt;=30),'Model inputs'!L95&lt;=30,IF('Model inputs'!L95="","",'Model inputs'!L95&lt;=30))="",FALSE,IF(ISERROR('Model inputs'!L95&lt;=30),'Model inputs'!L95&lt;=30,IF('Model inputs'!L95="","",'Model inputs'!L95&lt;=30))),'Model inputs'!AM56+('Model inputs'!AM57-'Model inputs'!AM56)*('Model inputs'!L95-24)/6,IF(IF(IF(ISERROR('Model inputs'!L95&lt;=36),'Model inputs'!L95&lt;=36,IF('Model inputs'!L95="","",'Model inputs'!L95&lt;=36))="",FALSE,IF(ISERROR('Model inputs'!L95&lt;=36),'Model inputs'!L95&lt;=36,IF('Model inputs'!L95="","",'Model inputs'!L95&lt;=36))),'Model inputs'!AM57+('Model inputs'!AM58-'Model inputs'!AM57)*('Model inputs'!L95-30)/6,IF('Model inputs'!AM58="","",'Model inputs'!AM58))))))))="",0,(IF(IF(IF(ISERROR('Model inputs'!L95&lt;=6),'Model inputs'!L95&lt;=6,IF('Model inputs'!L95="","",'Model inputs'!L95&lt;=6))="",FALSE,IF(ISERROR('Model inputs'!L95&lt;=6),'Model inputs'!L95&lt;=6,IF('Model inputs'!L95="","",'Model inputs'!L95&lt;=6))),'Model inputs'!AM53+('Model inputs'!AM59-'Model inputs'!AM53)*('Model inputs'!L95-0)/6,IF(IF(IF(ISERROR('Model inputs'!L95&lt;=12),'Model inputs'!L95&lt;=12,IF('Model inputs'!L95="","",'Model inputs'!L95&lt;=12))="",FALSE,IF(ISERROR('Model inputs'!L95&lt;=12),'Model inputs'!L95&lt;=12,IF('Model inputs'!L95="","",'Model inputs'!L95&lt;=12))),'Model inputs'!AM59+('Model inputs'!AM54-'Model inputs'!AM59)*('Model inputs'!L95-6)/6,IF(IF(IF(ISERROR('Model inputs'!L95&lt;=18),'Model inputs'!L95&lt;=18,IF('Model inputs'!L95="","",'Model inputs'!L95&lt;=18))="",FALSE,IF(ISERROR('Model inputs'!L95&lt;=18),'Model inputs'!L95&lt;=18,IF('Model inputs'!L95="","",'Model inputs'!L95&lt;=18))),'Model inputs'!AM54+('Model inputs'!AM55-'Model inputs'!AM54)*('Model inputs'!L95-12)/6,IF(IF(IF(ISERROR('Model inputs'!L95&lt;=24),'Model inputs'!L95&lt;=24,IF('Model inputs'!L95="","",'Model inputs'!L95&lt;=24))="",FALSE,IF(ISERROR('Model inputs'!L95&lt;=24),'Model inputs'!L95&lt;=24,IF('Model inputs'!L95="","",'Model inputs'!L95&lt;=24))),'Model inputs'!AM55+('Model inputs'!AM56-'Model inputs'!AM55)*('Model inputs'!L95-18)/6,IF(IF(IF(ISERROR('Model inputs'!L95&lt;=30),'Model inputs'!L95&lt;=30,IF('Model inputs'!L95="","",'Model inputs'!L95&lt;=30))="",FALSE,IF(ISERROR('Model inputs'!L95&lt;=30),'Model inputs'!L95&lt;=30,IF('Model inputs'!L95="","",'Model inputs'!L95&lt;=30))),'Model inputs'!AM56+('Model inputs'!AM57-'Model inputs'!AM56)*('Model inputs'!L95-24)/6,IF(IF(IF(ISERROR('Model inputs'!L95&lt;=36),'Model inputs'!L95&lt;=36,IF('Model inputs'!L95="","",'Model inputs'!L95&lt;=36))="",FALSE,IF(ISERROR('Model inputs'!L95&lt;=36),'Model inputs'!L95&lt;=36,IF('Model inputs'!L95="","",'Model inputs'!L95&lt;=36))),'Model inputs'!AM57+('Model inputs'!AM58-'Model inputs'!AM57)*('Model inputs'!L95-30)/6,IF('Model inputs'!AM58="","",'Model inputs'!AM58)))))))))*'Model inputs'!AM60</f>
        <v>39366.666666666664</v>
      </c>
      <c r="M98" s="23">
        <f>IF((IF(IF(IF(ISERROR('Model inputs'!M95&lt;=6),'Model inputs'!M95&lt;=6,IF('Model inputs'!M95="","",'Model inputs'!M95&lt;=6))="",FALSE,IF(ISERROR('Model inputs'!M95&lt;=6),'Model inputs'!M95&lt;=6,IF('Model inputs'!M95="","",'Model inputs'!M95&lt;=6))),'Model inputs'!AM53+('Model inputs'!AM59-'Model inputs'!AM53)*('Model inputs'!M95-0)/6,IF(IF(IF(ISERROR('Model inputs'!M95&lt;=12),'Model inputs'!M95&lt;=12,IF('Model inputs'!M95="","",'Model inputs'!M95&lt;=12))="",FALSE,IF(ISERROR('Model inputs'!M95&lt;=12),'Model inputs'!M95&lt;=12,IF('Model inputs'!M95="","",'Model inputs'!M95&lt;=12))),'Model inputs'!AM59+('Model inputs'!AM54-'Model inputs'!AM59)*('Model inputs'!M95-6)/6,IF(IF(IF(ISERROR('Model inputs'!M95&lt;=18),'Model inputs'!M95&lt;=18,IF('Model inputs'!M95="","",'Model inputs'!M95&lt;=18))="",FALSE,IF(ISERROR('Model inputs'!M95&lt;=18),'Model inputs'!M95&lt;=18,IF('Model inputs'!M95="","",'Model inputs'!M95&lt;=18))),'Model inputs'!AM54+('Model inputs'!AM55-'Model inputs'!AM54)*('Model inputs'!M95-12)/6,IF(IF(IF(ISERROR('Model inputs'!M95&lt;=24),'Model inputs'!M95&lt;=24,IF('Model inputs'!M95="","",'Model inputs'!M95&lt;=24))="",FALSE,IF(ISERROR('Model inputs'!M95&lt;=24),'Model inputs'!M95&lt;=24,IF('Model inputs'!M95="","",'Model inputs'!M95&lt;=24))),'Model inputs'!AM55+('Model inputs'!AM56-'Model inputs'!AM55)*('Model inputs'!M95-18)/6,IF(IF(IF(ISERROR('Model inputs'!M95&lt;=30),'Model inputs'!M95&lt;=30,IF('Model inputs'!M95="","",'Model inputs'!M95&lt;=30))="",FALSE,IF(ISERROR('Model inputs'!M95&lt;=30),'Model inputs'!M95&lt;=30,IF('Model inputs'!M95="","",'Model inputs'!M95&lt;=30))),'Model inputs'!AM56+('Model inputs'!AM57-'Model inputs'!AM56)*('Model inputs'!M95-24)/6,IF(IF(IF(ISERROR('Model inputs'!M95&lt;=36),'Model inputs'!M95&lt;=36,IF('Model inputs'!M95="","",'Model inputs'!M95&lt;=36))="",FALSE,IF(ISERROR('Model inputs'!M95&lt;=36),'Model inputs'!M95&lt;=36,IF('Model inputs'!M95="","",'Model inputs'!M95&lt;=36))),'Model inputs'!AM57+('Model inputs'!AM58-'Model inputs'!AM57)*('Model inputs'!M95-30)/6,IF('Model inputs'!AM58="","",'Model inputs'!AM58))))))))="",0,(IF(IF(IF(ISERROR('Model inputs'!M95&lt;=6),'Model inputs'!M95&lt;=6,IF('Model inputs'!M95="","",'Model inputs'!M95&lt;=6))="",FALSE,IF(ISERROR('Model inputs'!M95&lt;=6),'Model inputs'!M95&lt;=6,IF('Model inputs'!M95="","",'Model inputs'!M95&lt;=6))),'Model inputs'!AM53+('Model inputs'!AM59-'Model inputs'!AM53)*('Model inputs'!M95-0)/6,IF(IF(IF(ISERROR('Model inputs'!M95&lt;=12),'Model inputs'!M95&lt;=12,IF('Model inputs'!M95="","",'Model inputs'!M95&lt;=12))="",FALSE,IF(ISERROR('Model inputs'!M95&lt;=12),'Model inputs'!M95&lt;=12,IF('Model inputs'!M95="","",'Model inputs'!M95&lt;=12))),'Model inputs'!AM59+('Model inputs'!AM54-'Model inputs'!AM59)*('Model inputs'!M95-6)/6,IF(IF(IF(ISERROR('Model inputs'!M95&lt;=18),'Model inputs'!M95&lt;=18,IF('Model inputs'!M95="","",'Model inputs'!M95&lt;=18))="",FALSE,IF(ISERROR('Model inputs'!M95&lt;=18),'Model inputs'!M95&lt;=18,IF('Model inputs'!M95="","",'Model inputs'!M95&lt;=18))),'Model inputs'!AM54+('Model inputs'!AM55-'Model inputs'!AM54)*('Model inputs'!M95-12)/6,IF(IF(IF(ISERROR('Model inputs'!M95&lt;=24),'Model inputs'!M95&lt;=24,IF('Model inputs'!M95="","",'Model inputs'!M95&lt;=24))="",FALSE,IF(ISERROR('Model inputs'!M95&lt;=24),'Model inputs'!M95&lt;=24,IF('Model inputs'!M95="","",'Model inputs'!M95&lt;=24))),'Model inputs'!AM55+('Model inputs'!AM56-'Model inputs'!AM55)*('Model inputs'!M95-18)/6,IF(IF(IF(ISERROR('Model inputs'!M95&lt;=30),'Model inputs'!M95&lt;=30,IF('Model inputs'!M95="","",'Model inputs'!M95&lt;=30))="",FALSE,IF(ISERROR('Model inputs'!M95&lt;=30),'Model inputs'!M95&lt;=30,IF('Model inputs'!M95="","",'Model inputs'!M95&lt;=30))),'Model inputs'!AM56+('Model inputs'!AM57-'Model inputs'!AM56)*('Model inputs'!M95-24)/6,IF(IF(IF(ISERROR('Model inputs'!M95&lt;=36),'Model inputs'!M95&lt;=36,IF('Model inputs'!M95="","",'Model inputs'!M95&lt;=36))="",FALSE,IF(ISERROR('Model inputs'!M95&lt;=36),'Model inputs'!M95&lt;=36,IF('Model inputs'!M95="","",'Model inputs'!M95&lt;=36))),'Model inputs'!AM57+('Model inputs'!AM58-'Model inputs'!AM57)*('Model inputs'!M95-30)/6,IF('Model inputs'!AM58="","",'Model inputs'!AM58)))))))))*'Model inputs'!AM60</f>
        <v>43583.33333333333</v>
      </c>
      <c r="N98" s="23">
        <f>IF((IF(IF(IF(ISERROR('Model inputs'!N95&lt;=6),'Model inputs'!N95&lt;=6,IF('Model inputs'!N95="","",'Model inputs'!N95&lt;=6))="",FALSE,IF(ISERROR('Model inputs'!N95&lt;=6),'Model inputs'!N95&lt;=6,IF('Model inputs'!N95="","",'Model inputs'!N95&lt;=6))),'Model inputs'!AM53+('Model inputs'!AM59-'Model inputs'!AM53)*('Model inputs'!N95-0)/6,IF(IF(IF(ISERROR('Model inputs'!N95&lt;=12),'Model inputs'!N95&lt;=12,IF('Model inputs'!N95="","",'Model inputs'!N95&lt;=12))="",FALSE,IF(ISERROR('Model inputs'!N95&lt;=12),'Model inputs'!N95&lt;=12,IF('Model inputs'!N95="","",'Model inputs'!N95&lt;=12))),'Model inputs'!AM59+('Model inputs'!AM54-'Model inputs'!AM59)*('Model inputs'!N95-6)/6,IF(IF(IF(ISERROR('Model inputs'!N95&lt;=18),'Model inputs'!N95&lt;=18,IF('Model inputs'!N95="","",'Model inputs'!N95&lt;=18))="",FALSE,IF(ISERROR('Model inputs'!N95&lt;=18),'Model inputs'!N95&lt;=18,IF('Model inputs'!N95="","",'Model inputs'!N95&lt;=18))),'Model inputs'!AM54+('Model inputs'!AM55-'Model inputs'!AM54)*('Model inputs'!N95-12)/6,IF(IF(IF(ISERROR('Model inputs'!N95&lt;=24),'Model inputs'!N95&lt;=24,IF('Model inputs'!N95="","",'Model inputs'!N95&lt;=24))="",FALSE,IF(ISERROR('Model inputs'!N95&lt;=24),'Model inputs'!N95&lt;=24,IF('Model inputs'!N95="","",'Model inputs'!N95&lt;=24))),'Model inputs'!AM55+('Model inputs'!AM56-'Model inputs'!AM55)*('Model inputs'!N95-18)/6,IF(IF(IF(ISERROR('Model inputs'!N95&lt;=30),'Model inputs'!N95&lt;=30,IF('Model inputs'!N95="","",'Model inputs'!N95&lt;=30))="",FALSE,IF(ISERROR('Model inputs'!N95&lt;=30),'Model inputs'!N95&lt;=30,IF('Model inputs'!N95="","",'Model inputs'!N95&lt;=30))),'Model inputs'!AM56+('Model inputs'!AM57-'Model inputs'!AM56)*('Model inputs'!N95-24)/6,IF(IF(IF(ISERROR('Model inputs'!N95&lt;=36),'Model inputs'!N95&lt;=36,IF('Model inputs'!N95="","",'Model inputs'!N95&lt;=36))="",FALSE,IF(ISERROR('Model inputs'!N95&lt;=36),'Model inputs'!N95&lt;=36,IF('Model inputs'!N95="","",'Model inputs'!N95&lt;=36))),'Model inputs'!AM57+('Model inputs'!AM58-'Model inputs'!AM57)*('Model inputs'!N95-30)/6,IF('Model inputs'!AM58="","",'Model inputs'!AM58))))))))="",0,(IF(IF(IF(ISERROR('Model inputs'!N95&lt;=6),'Model inputs'!N95&lt;=6,IF('Model inputs'!N95="","",'Model inputs'!N95&lt;=6))="",FALSE,IF(ISERROR('Model inputs'!N95&lt;=6),'Model inputs'!N95&lt;=6,IF('Model inputs'!N95="","",'Model inputs'!N95&lt;=6))),'Model inputs'!AM53+('Model inputs'!AM59-'Model inputs'!AM53)*('Model inputs'!N95-0)/6,IF(IF(IF(ISERROR('Model inputs'!N95&lt;=12),'Model inputs'!N95&lt;=12,IF('Model inputs'!N95="","",'Model inputs'!N95&lt;=12))="",FALSE,IF(ISERROR('Model inputs'!N95&lt;=12),'Model inputs'!N95&lt;=12,IF('Model inputs'!N95="","",'Model inputs'!N95&lt;=12))),'Model inputs'!AM59+('Model inputs'!AM54-'Model inputs'!AM59)*('Model inputs'!N95-6)/6,IF(IF(IF(ISERROR('Model inputs'!N95&lt;=18),'Model inputs'!N95&lt;=18,IF('Model inputs'!N95="","",'Model inputs'!N95&lt;=18))="",FALSE,IF(ISERROR('Model inputs'!N95&lt;=18),'Model inputs'!N95&lt;=18,IF('Model inputs'!N95="","",'Model inputs'!N95&lt;=18))),'Model inputs'!AM54+('Model inputs'!AM55-'Model inputs'!AM54)*('Model inputs'!N95-12)/6,IF(IF(IF(ISERROR('Model inputs'!N95&lt;=24),'Model inputs'!N95&lt;=24,IF('Model inputs'!N95="","",'Model inputs'!N95&lt;=24))="",FALSE,IF(ISERROR('Model inputs'!N95&lt;=24),'Model inputs'!N95&lt;=24,IF('Model inputs'!N95="","",'Model inputs'!N95&lt;=24))),'Model inputs'!AM55+('Model inputs'!AM56-'Model inputs'!AM55)*('Model inputs'!N95-18)/6,IF(IF(IF(ISERROR('Model inputs'!N95&lt;=30),'Model inputs'!N95&lt;=30,IF('Model inputs'!N95="","",'Model inputs'!N95&lt;=30))="",FALSE,IF(ISERROR('Model inputs'!N95&lt;=30),'Model inputs'!N95&lt;=30,IF('Model inputs'!N95="","",'Model inputs'!N95&lt;=30))),'Model inputs'!AM56+('Model inputs'!AM57-'Model inputs'!AM56)*('Model inputs'!N95-24)/6,IF(IF(IF(ISERROR('Model inputs'!N95&lt;=36),'Model inputs'!N95&lt;=36,IF('Model inputs'!N95="","",'Model inputs'!N95&lt;=36))="",FALSE,IF(ISERROR('Model inputs'!N95&lt;=36),'Model inputs'!N95&lt;=36,IF('Model inputs'!N95="","",'Model inputs'!N95&lt;=36))),'Model inputs'!AM57+('Model inputs'!AM58-'Model inputs'!AM57)*('Model inputs'!N95-30)/6,IF('Model inputs'!AM58="","",'Model inputs'!AM58)))))))))*'Model inputs'!AM60</f>
        <v>47800</v>
      </c>
      <c r="O98" s="23">
        <f>IF((IF(IF(IF(ISERROR('Model inputs'!O95&lt;=6),'Model inputs'!O95&lt;=6,IF('Model inputs'!O95="","",'Model inputs'!O95&lt;=6))="",FALSE,IF(ISERROR('Model inputs'!O95&lt;=6),'Model inputs'!O95&lt;=6,IF('Model inputs'!O95="","",'Model inputs'!O95&lt;=6))),'Model inputs'!AM53+('Model inputs'!AM59-'Model inputs'!AM53)*('Model inputs'!O95-0)/6,IF(IF(IF(ISERROR('Model inputs'!O95&lt;=12),'Model inputs'!O95&lt;=12,IF('Model inputs'!O95="","",'Model inputs'!O95&lt;=12))="",FALSE,IF(ISERROR('Model inputs'!O95&lt;=12),'Model inputs'!O95&lt;=12,IF('Model inputs'!O95="","",'Model inputs'!O95&lt;=12))),'Model inputs'!AM59+('Model inputs'!AM54-'Model inputs'!AM59)*('Model inputs'!O95-6)/6,IF(IF(IF(ISERROR('Model inputs'!O95&lt;=18),'Model inputs'!O95&lt;=18,IF('Model inputs'!O95="","",'Model inputs'!O95&lt;=18))="",FALSE,IF(ISERROR('Model inputs'!O95&lt;=18),'Model inputs'!O95&lt;=18,IF('Model inputs'!O95="","",'Model inputs'!O95&lt;=18))),'Model inputs'!AM54+('Model inputs'!AM55-'Model inputs'!AM54)*('Model inputs'!O95-12)/6,IF(IF(IF(ISERROR('Model inputs'!O95&lt;=24),'Model inputs'!O95&lt;=24,IF('Model inputs'!O95="","",'Model inputs'!O95&lt;=24))="",FALSE,IF(ISERROR('Model inputs'!O95&lt;=24),'Model inputs'!O95&lt;=24,IF('Model inputs'!O95="","",'Model inputs'!O95&lt;=24))),'Model inputs'!AM55+('Model inputs'!AM56-'Model inputs'!AM55)*('Model inputs'!O95-18)/6,IF(IF(IF(ISERROR('Model inputs'!O95&lt;=30),'Model inputs'!O95&lt;=30,IF('Model inputs'!O95="","",'Model inputs'!O95&lt;=30))="",FALSE,IF(ISERROR('Model inputs'!O95&lt;=30),'Model inputs'!O95&lt;=30,IF('Model inputs'!O95="","",'Model inputs'!O95&lt;=30))),'Model inputs'!AM56+('Model inputs'!AM57-'Model inputs'!AM56)*('Model inputs'!O95-24)/6,IF(IF(IF(ISERROR('Model inputs'!O95&lt;=36),'Model inputs'!O95&lt;=36,IF('Model inputs'!O95="","",'Model inputs'!O95&lt;=36))="",FALSE,IF(ISERROR('Model inputs'!O95&lt;=36),'Model inputs'!O95&lt;=36,IF('Model inputs'!O95="","",'Model inputs'!O95&lt;=36))),'Model inputs'!AM57+('Model inputs'!AM58-'Model inputs'!AM57)*('Model inputs'!O95-30)/6,IF('Model inputs'!AM58="","",'Model inputs'!AM58))))))))="",0,(IF(IF(IF(ISERROR('Model inputs'!O95&lt;=6),'Model inputs'!O95&lt;=6,IF('Model inputs'!O95="","",'Model inputs'!O95&lt;=6))="",FALSE,IF(ISERROR('Model inputs'!O95&lt;=6),'Model inputs'!O95&lt;=6,IF('Model inputs'!O95="","",'Model inputs'!O95&lt;=6))),'Model inputs'!AM53+('Model inputs'!AM59-'Model inputs'!AM53)*('Model inputs'!O95-0)/6,IF(IF(IF(ISERROR('Model inputs'!O95&lt;=12),'Model inputs'!O95&lt;=12,IF('Model inputs'!O95="","",'Model inputs'!O95&lt;=12))="",FALSE,IF(ISERROR('Model inputs'!O95&lt;=12),'Model inputs'!O95&lt;=12,IF('Model inputs'!O95="","",'Model inputs'!O95&lt;=12))),'Model inputs'!AM59+('Model inputs'!AM54-'Model inputs'!AM59)*('Model inputs'!O95-6)/6,IF(IF(IF(ISERROR('Model inputs'!O95&lt;=18),'Model inputs'!O95&lt;=18,IF('Model inputs'!O95="","",'Model inputs'!O95&lt;=18))="",FALSE,IF(ISERROR('Model inputs'!O95&lt;=18),'Model inputs'!O95&lt;=18,IF('Model inputs'!O95="","",'Model inputs'!O95&lt;=18))),'Model inputs'!AM54+('Model inputs'!AM55-'Model inputs'!AM54)*('Model inputs'!O95-12)/6,IF(IF(IF(ISERROR('Model inputs'!O95&lt;=24),'Model inputs'!O95&lt;=24,IF('Model inputs'!O95="","",'Model inputs'!O95&lt;=24))="",FALSE,IF(ISERROR('Model inputs'!O95&lt;=24),'Model inputs'!O95&lt;=24,IF('Model inputs'!O95="","",'Model inputs'!O95&lt;=24))),'Model inputs'!AM55+('Model inputs'!AM56-'Model inputs'!AM55)*('Model inputs'!O95-18)/6,IF(IF(IF(ISERROR('Model inputs'!O95&lt;=30),'Model inputs'!O95&lt;=30,IF('Model inputs'!O95="","",'Model inputs'!O95&lt;=30))="",FALSE,IF(ISERROR('Model inputs'!O95&lt;=30),'Model inputs'!O95&lt;=30,IF('Model inputs'!O95="","",'Model inputs'!O95&lt;=30))),'Model inputs'!AM56+('Model inputs'!AM57-'Model inputs'!AM56)*('Model inputs'!O95-24)/6,IF(IF(IF(ISERROR('Model inputs'!O95&lt;=36),'Model inputs'!O95&lt;=36,IF('Model inputs'!O95="","",'Model inputs'!O95&lt;=36))="",FALSE,IF(ISERROR('Model inputs'!O95&lt;=36),'Model inputs'!O95&lt;=36,IF('Model inputs'!O95="","",'Model inputs'!O95&lt;=36))),'Model inputs'!AM57+('Model inputs'!AM58-'Model inputs'!AM57)*('Model inputs'!O95-30)/6,IF('Model inputs'!AM58="","",'Model inputs'!AM58)))))))))*'Model inputs'!AM60</f>
        <v>56200</v>
      </c>
      <c r="P98" s="23">
        <f>IF((IF(IF(IF(ISERROR('Model inputs'!P95&lt;=6),'Model inputs'!P95&lt;=6,IF('Model inputs'!P95="","",'Model inputs'!P95&lt;=6))="",FALSE,IF(ISERROR('Model inputs'!P95&lt;=6),'Model inputs'!P95&lt;=6,IF('Model inputs'!P95="","",'Model inputs'!P95&lt;=6))),'Model inputs'!AM53+('Model inputs'!AM59-'Model inputs'!AM53)*('Model inputs'!P95-0)/6,IF(IF(IF(ISERROR('Model inputs'!P95&lt;=12),'Model inputs'!P95&lt;=12,IF('Model inputs'!P95="","",'Model inputs'!P95&lt;=12))="",FALSE,IF(ISERROR('Model inputs'!P95&lt;=12),'Model inputs'!P95&lt;=12,IF('Model inputs'!P95="","",'Model inputs'!P95&lt;=12))),'Model inputs'!AM59+('Model inputs'!AM54-'Model inputs'!AM59)*('Model inputs'!P95-6)/6,IF(IF(IF(ISERROR('Model inputs'!P95&lt;=18),'Model inputs'!P95&lt;=18,IF('Model inputs'!P95="","",'Model inputs'!P95&lt;=18))="",FALSE,IF(ISERROR('Model inputs'!P95&lt;=18),'Model inputs'!P95&lt;=18,IF('Model inputs'!P95="","",'Model inputs'!P95&lt;=18))),'Model inputs'!AM54+('Model inputs'!AM55-'Model inputs'!AM54)*('Model inputs'!P95-12)/6,IF(IF(IF(ISERROR('Model inputs'!P95&lt;=24),'Model inputs'!P95&lt;=24,IF('Model inputs'!P95="","",'Model inputs'!P95&lt;=24))="",FALSE,IF(ISERROR('Model inputs'!P95&lt;=24),'Model inputs'!P95&lt;=24,IF('Model inputs'!P95="","",'Model inputs'!P95&lt;=24))),'Model inputs'!AM55+('Model inputs'!AM56-'Model inputs'!AM55)*('Model inputs'!P95-18)/6,IF(IF(IF(ISERROR('Model inputs'!P95&lt;=30),'Model inputs'!P95&lt;=30,IF('Model inputs'!P95="","",'Model inputs'!P95&lt;=30))="",FALSE,IF(ISERROR('Model inputs'!P95&lt;=30),'Model inputs'!P95&lt;=30,IF('Model inputs'!P95="","",'Model inputs'!P95&lt;=30))),'Model inputs'!AM56+('Model inputs'!AM57-'Model inputs'!AM56)*('Model inputs'!P95-24)/6,IF(IF(IF(ISERROR('Model inputs'!P95&lt;=36),'Model inputs'!P95&lt;=36,IF('Model inputs'!P95="","",'Model inputs'!P95&lt;=36))="",FALSE,IF(ISERROR('Model inputs'!P95&lt;=36),'Model inputs'!P95&lt;=36,IF('Model inputs'!P95="","",'Model inputs'!P95&lt;=36))),'Model inputs'!AM57+('Model inputs'!AM58-'Model inputs'!AM57)*('Model inputs'!P95-30)/6,IF('Model inputs'!AM58="","",'Model inputs'!AM58))))))))="",0,(IF(IF(IF(ISERROR('Model inputs'!P95&lt;=6),'Model inputs'!P95&lt;=6,IF('Model inputs'!P95="","",'Model inputs'!P95&lt;=6))="",FALSE,IF(ISERROR('Model inputs'!P95&lt;=6),'Model inputs'!P95&lt;=6,IF('Model inputs'!P95="","",'Model inputs'!P95&lt;=6))),'Model inputs'!AM53+('Model inputs'!AM59-'Model inputs'!AM53)*('Model inputs'!P95-0)/6,IF(IF(IF(ISERROR('Model inputs'!P95&lt;=12),'Model inputs'!P95&lt;=12,IF('Model inputs'!P95="","",'Model inputs'!P95&lt;=12))="",FALSE,IF(ISERROR('Model inputs'!P95&lt;=12),'Model inputs'!P95&lt;=12,IF('Model inputs'!P95="","",'Model inputs'!P95&lt;=12))),'Model inputs'!AM59+('Model inputs'!AM54-'Model inputs'!AM59)*('Model inputs'!P95-6)/6,IF(IF(IF(ISERROR('Model inputs'!P95&lt;=18),'Model inputs'!P95&lt;=18,IF('Model inputs'!P95="","",'Model inputs'!P95&lt;=18))="",FALSE,IF(ISERROR('Model inputs'!P95&lt;=18),'Model inputs'!P95&lt;=18,IF('Model inputs'!P95="","",'Model inputs'!P95&lt;=18))),'Model inputs'!AM54+('Model inputs'!AM55-'Model inputs'!AM54)*('Model inputs'!P95-12)/6,IF(IF(IF(ISERROR('Model inputs'!P95&lt;=24),'Model inputs'!P95&lt;=24,IF('Model inputs'!P95="","",'Model inputs'!P95&lt;=24))="",FALSE,IF(ISERROR('Model inputs'!P95&lt;=24),'Model inputs'!P95&lt;=24,IF('Model inputs'!P95="","",'Model inputs'!P95&lt;=24))),'Model inputs'!AM55+('Model inputs'!AM56-'Model inputs'!AM55)*('Model inputs'!P95-18)/6,IF(IF(IF(ISERROR('Model inputs'!P95&lt;=30),'Model inputs'!P95&lt;=30,IF('Model inputs'!P95="","",'Model inputs'!P95&lt;=30))="",FALSE,IF(ISERROR('Model inputs'!P95&lt;=30),'Model inputs'!P95&lt;=30,IF('Model inputs'!P95="","",'Model inputs'!P95&lt;=30))),'Model inputs'!AM56+('Model inputs'!AM57-'Model inputs'!AM56)*('Model inputs'!P95-24)/6,IF(IF(IF(ISERROR('Model inputs'!P95&lt;=36),'Model inputs'!P95&lt;=36,IF('Model inputs'!P95="","",'Model inputs'!P95&lt;=36))="",FALSE,IF(ISERROR('Model inputs'!P95&lt;=36),'Model inputs'!P95&lt;=36,IF('Model inputs'!P95="","",'Model inputs'!P95&lt;=36))),'Model inputs'!AM57+('Model inputs'!AM58-'Model inputs'!AM57)*('Model inputs'!P95-30)/6,IF('Model inputs'!AM58="","",'Model inputs'!AM58)))))))))*'Model inputs'!AM60</f>
        <v>64600</v>
      </c>
      <c r="Q98" s="23">
        <f>IF((IF(IF(IF(ISERROR('Model inputs'!Q95&lt;=6),'Model inputs'!Q95&lt;=6,IF('Model inputs'!Q95="","",'Model inputs'!Q95&lt;=6))="",FALSE,IF(ISERROR('Model inputs'!Q95&lt;=6),'Model inputs'!Q95&lt;=6,IF('Model inputs'!Q95="","",'Model inputs'!Q95&lt;=6))),'Model inputs'!AM53+('Model inputs'!AM59-'Model inputs'!AM53)*('Model inputs'!Q95-0)/6,IF(IF(IF(ISERROR('Model inputs'!Q95&lt;=12),'Model inputs'!Q95&lt;=12,IF('Model inputs'!Q95="","",'Model inputs'!Q95&lt;=12))="",FALSE,IF(ISERROR('Model inputs'!Q95&lt;=12),'Model inputs'!Q95&lt;=12,IF('Model inputs'!Q95="","",'Model inputs'!Q95&lt;=12))),'Model inputs'!AM59+('Model inputs'!AM54-'Model inputs'!AM59)*('Model inputs'!Q95-6)/6,IF(IF(IF(ISERROR('Model inputs'!Q95&lt;=18),'Model inputs'!Q95&lt;=18,IF('Model inputs'!Q95="","",'Model inputs'!Q95&lt;=18))="",FALSE,IF(ISERROR('Model inputs'!Q95&lt;=18),'Model inputs'!Q95&lt;=18,IF('Model inputs'!Q95="","",'Model inputs'!Q95&lt;=18))),'Model inputs'!AM54+('Model inputs'!AM55-'Model inputs'!AM54)*('Model inputs'!Q95-12)/6,IF(IF(IF(ISERROR('Model inputs'!Q95&lt;=24),'Model inputs'!Q95&lt;=24,IF('Model inputs'!Q95="","",'Model inputs'!Q95&lt;=24))="",FALSE,IF(ISERROR('Model inputs'!Q95&lt;=24),'Model inputs'!Q95&lt;=24,IF('Model inputs'!Q95="","",'Model inputs'!Q95&lt;=24))),'Model inputs'!AM55+('Model inputs'!AM56-'Model inputs'!AM55)*('Model inputs'!Q95-18)/6,IF(IF(IF(ISERROR('Model inputs'!Q95&lt;=30),'Model inputs'!Q95&lt;=30,IF('Model inputs'!Q95="","",'Model inputs'!Q95&lt;=30))="",FALSE,IF(ISERROR('Model inputs'!Q95&lt;=30),'Model inputs'!Q95&lt;=30,IF('Model inputs'!Q95="","",'Model inputs'!Q95&lt;=30))),'Model inputs'!AM56+('Model inputs'!AM57-'Model inputs'!AM56)*('Model inputs'!Q95-24)/6,IF(IF(IF(ISERROR('Model inputs'!Q95&lt;=36),'Model inputs'!Q95&lt;=36,IF('Model inputs'!Q95="","",'Model inputs'!Q95&lt;=36))="",FALSE,IF(ISERROR('Model inputs'!Q95&lt;=36),'Model inputs'!Q95&lt;=36,IF('Model inputs'!Q95="","",'Model inputs'!Q95&lt;=36))),'Model inputs'!AM57+('Model inputs'!AM58-'Model inputs'!AM57)*('Model inputs'!Q95-30)/6,IF('Model inputs'!AM58="","",'Model inputs'!AM58))))))))="",0,(IF(IF(IF(ISERROR('Model inputs'!Q95&lt;=6),'Model inputs'!Q95&lt;=6,IF('Model inputs'!Q95="","",'Model inputs'!Q95&lt;=6))="",FALSE,IF(ISERROR('Model inputs'!Q95&lt;=6),'Model inputs'!Q95&lt;=6,IF('Model inputs'!Q95="","",'Model inputs'!Q95&lt;=6))),'Model inputs'!AM53+('Model inputs'!AM59-'Model inputs'!AM53)*('Model inputs'!Q95-0)/6,IF(IF(IF(ISERROR('Model inputs'!Q95&lt;=12),'Model inputs'!Q95&lt;=12,IF('Model inputs'!Q95="","",'Model inputs'!Q95&lt;=12))="",FALSE,IF(ISERROR('Model inputs'!Q95&lt;=12),'Model inputs'!Q95&lt;=12,IF('Model inputs'!Q95="","",'Model inputs'!Q95&lt;=12))),'Model inputs'!AM59+('Model inputs'!AM54-'Model inputs'!AM59)*('Model inputs'!Q95-6)/6,IF(IF(IF(ISERROR('Model inputs'!Q95&lt;=18),'Model inputs'!Q95&lt;=18,IF('Model inputs'!Q95="","",'Model inputs'!Q95&lt;=18))="",FALSE,IF(ISERROR('Model inputs'!Q95&lt;=18),'Model inputs'!Q95&lt;=18,IF('Model inputs'!Q95="","",'Model inputs'!Q95&lt;=18))),'Model inputs'!AM54+('Model inputs'!AM55-'Model inputs'!AM54)*('Model inputs'!Q95-12)/6,IF(IF(IF(ISERROR('Model inputs'!Q95&lt;=24),'Model inputs'!Q95&lt;=24,IF('Model inputs'!Q95="","",'Model inputs'!Q95&lt;=24))="",FALSE,IF(ISERROR('Model inputs'!Q95&lt;=24),'Model inputs'!Q95&lt;=24,IF('Model inputs'!Q95="","",'Model inputs'!Q95&lt;=24))),'Model inputs'!AM55+('Model inputs'!AM56-'Model inputs'!AM55)*('Model inputs'!Q95-18)/6,IF(IF(IF(ISERROR('Model inputs'!Q95&lt;=30),'Model inputs'!Q95&lt;=30,IF('Model inputs'!Q95="","",'Model inputs'!Q95&lt;=30))="",FALSE,IF(ISERROR('Model inputs'!Q95&lt;=30),'Model inputs'!Q95&lt;=30,IF('Model inputs'!Q95="","",'Model inputs'!Q95&lt;=30))),'Model inputs'!AM56+('Model inputs'!AM57-'Model inputs'!AM56)*('Model inputs'!Q95-24)/6,IF(IF(IF(ISERROR('Model inputs'!Q95&lt;=36),'Model inputs'!Q95&lt;=36,IF('Model inputs'!Q95="","",'Model inputs'!Q95&lt;=36))="",FALSE,IF(ISERROR('Model inputs'!Q95&lt;=36),'Model inputs'!Q95&lt;=36,IF('Model inputs'!Q95="","",'Model inputs'!Q95&lt;=36))),'Model inputs'!AM57+('Model inputs'!AM58-'Model inputs'!AM57)*('Model inputs'!Q95-30)/6,IF('Model inputs'!AM58="","",'Model inputs'!AM58)))))))))*'Model inputs'!AM60</f>
        <v>73000</v>
      </c>
      <c r="R98" s="23">
        <f>IF((IF(IF(IF(ISERROR('Model inputs'!R95&lt;=6),'Model inputs'!R95&lt;=6,IF('Model inputs'!R95="","",'Model inputs'!R95&lt;=6))="",FALSE,IF(ISERROR('Model inputs'!R95&lt;=6),'Model inputs'!R95&lt;=6,IF('Model inputs'!R95="","",'Model inputs'!R95&lt;=6))),'Model inputs'!AM53+('Model inputs'!AM59-'Model inputs'!AM53)*('Model inputs'!R95-0)/6,IF(IF(IF(ISERROR('Model inputs'!R95&lt;=12),'Model inputs'!R95&lt;=12,IF('Model inputs'!R95="","",'Model inputs'!R95&lt;=12))="",FALSE,IF(ISERROR('Model inputs'!R95&lt;=12),'Model inputs'!R95&lt;=12,IF('Model inputs'!R95="","",'Model inputs'!R95&lt;=12))),'Model inputs'!AM59+('Model inputs'!AM54-'Model inputs'!AM59)*('Model inputs'!R95-6)/6,IF(IF(IF(ISERROR('Model inputs'!R95&lt;=18),'Model inputs'!R95&lt;=18,IF('Model inputs'!R95="","",'Model inputs'!R95&lt;=18))="",FALSE,IF(ISERROR('Model inputs'!R95&lt;=18),'Model inputs'!R95&lt;=18,IF('Model inputs'!R95="","",'Model inputs'!R95&lt;=18))),'Model inputs'!AM54+('Model inputs'!AM55-'Model inputs'!AM54)*('Model inputs'!R95-12)/6,IF(IF(IF(ISERROR('Model inputs'!R95&lt;=24),'Model inputs'!R95&lt;=24,IF('Model inputs'!R95="","",'Model inputs'!R95&lt;=24))="",FALSE,IF(ISERROR('Model inputs'!R95&lt;=24),'Model inputs'!R95&lt;=24,IF('Model inputs'!R95="","",'Model inputs'!R95&lt;=24))),'Model inputs'!AM55+('Model inputs'!AM56-'Model inputs'!AM55)*('Model inputs'!R95-18)/6,IF(IF(IF(ISERROR('Model inputs'!R95&lt;=30),'Model inputs'!R95&lt;=30,IF('Model inputs'!R95="","",'Model inputs'!R95&lt;=30))="",FALSE,IF(ISERROR('Model inputs'!R95&lt;=30),'Model inputs'!R95&lt;=30,IF('Model inputs'!R95="","",'Model inputs'!R95&lt;=30))),'Model inputs'!AM56+('Model inputs'!AM57-'Model inputs'!AM56)*('Model inputs'!R95-24)/6,IF(IF(IF(ISERROR('Model inputs'!R95&lt;=36),'Model inputs'!R95&lt;=36,IF('Model inputs'!R95="","",'Model inputs'!R95&lt;=36))="",FALSE,IF(ISERROR('Model inputs'!R95&lt;=36),'Model inputs'!R95&lt;=36,IF('Model inputs'!R95="","",'Model inputs'!R95&lt;=36))),'Model inputs'!AM57+('Model inputs'!AM58-'Model inputs'!AM57)*('Model inputs'!R95-30)/6,IF('Model inputs'!AM58="","",'Model inputs'!AM58))))))))="",0,(IF(IF(IF(ISERROR('Model inputs'!R95&lt;=6),'Model inputs'!R95&lt;=6,IF('Model inputs'!R95="","",'Model inputs'!R95&lt;=6))="",FALSE,IF(ISERROR('Model inputs'!R95&lt;=6),'Model inputs'!R95&lt;=6,IF('Model inputs'!R95="","",'Model inputs'!R95&lt;=6))),'Model inputs'!AM53+('Model inputs'!AM59-'Model inputs'!AM53)*('Model inputs'!R95-0)/6,IF(IF(IF(ISERROR('Model inputs'!R95&lt;=12),'Model inputs'!R95&lt;=12,IF('Model inputs'!R95="","",'Model inputs'!R95&lt;=12))="",FALSE,IF(ISERROR('Model inputs'!R95&lt;=12),'Model inputs'!R95&lt;=12,IF('Model inputs'!R95="","",'Model inputs'!R95&lt;=12))),'Model inputs'!AM59+('Model inputs'!AM54-'Model inputs'!AM59)*('Model inputs'!R95-6)/6,IF(IF(IF(ISERROR('Model inputs'!R95&lt;=18),'Model inputs'!R95&lt;=18,IF('Model inputs'!R95="","",'Model inputs'!R95&lt;=18))="",FALSE,IF(ISERROR('Model inputs'!R95&lt;=18),'Model inputs'!R95&lt;=18,IF('Model inputs'!R95="","",'Model inputs'!R95&lt;=18))),'Model inputs'!AM54+('Model inputs'!AM55-'Model inputs'!AM54)*('Model inputs'!R95-12)/6,IF(IF(IF(ISERROR('Model inputs'!R95&lt;=24),'Model inputs'!R95&lt;=24,IF('Model inputs'!R95="","",'Model inputs'!R95&lt;=24))="",FALSE,IF(ISERROR('Model inputs'!R95&lt;=24),'Model inputs'!R95&lt;=24,IF('Model inputs'!R95="","",'Model inputs'!R95&lt;=24))),'Model inputs'!AM55+('Model inputs'!AM56-'Model inputs'!AM55)*('Model inputs'!R95-18)/6,IF(IF(IF(ISERROR('Model inputs'!R95&lt;=30),'Model inputs'!R95&lt;=30,IF('Model inputs'!R95="","",'Model inputs'!R95&lt;=30))="",FALSE,IF(ISERROR('Model inputs'!R95&lt;=30),'Model inputs'!R95&lt;=30,IF('Model inputs'!R95="","",'Model inputs'!R95&lt;=30))),'Model inputs'!AM56+('Model inputs'!AM57-'Model inputs'!AM56)*('Model inputs'!R95-24)/6,IF(IF(IF(ISERROR('Model inputs'!R95&lt;=36),'Model inputs'!R95&lt;=36,IF('Model inputs'!R95="","",'Model inputs'!R95&lt;=36))="",FALSE,IF(ISERROR('Model inputs'!R95&lt;=36),'Model inputs'!R95&lt;=36,IF('Model inputs'!R95="","",'Model inputs'!R95&lt;=36))),'Model inputs'!AM57+('Model inputs'!AM58-'Model inputs'!AM57)*('Model inputs'!R95-30)/6,IF('Model inputs'!AM58="","",'Model inputs'!AM58)))))))))*'Model inputs'!AM60</f>
        <v>81400</v>
      </c>
      <c r="S98" s="23">
        <f>IF((IF(IF(IF(ISERROR('Model inputs'!S95&lt;=6),'Model inputs'!S95&lt;=6,IF('Model inputs'!S95="","",'Model inputs'!S95&lt;=6))="",FALSE,IF(ISERROR('Model inputs'!S95&lt;=6),'Model inputs'!S95&lt;=6,IF('Model inputs'!S95="","",'Model inputs'!S95&lt;=6))),'Model inputs'!AM53+('Model inputs'!AM59-'Model inputs'!AM53)*('Model inputs'!S95-0)/6,IF(IF(IF(ISERROR('Model inputs'!S95&lt;=12),'Model inputs'!S95&lt;=12,IF('Model inputs'!S95="","",'Model inputs'!S95&lt;=12))="",FALSE,IF(ISERROR('Model inputs'!S95&lt;=12),'Model inputs'!S95&lt;=12,IF('Model inputs'!S95="","",'Model inputs'!S95&lt;=12))),'Model inputs'!AM59+('Model inputs'!AM54-'Model inputs'!AM59)*('Model inputs'!S95-6)/6,IF(IF(IF(ISERROR('Model inputs'!S95&lt;=18),'Model inputs'!S95&lt;=18,IF('Model inputs'!S95="","",'Model inputs'!S95&lt;=18))="",FALSE,IF(ISERROR('Model inputs'!S95&lt;=18),'Model inputs'!S95&lt;=18,IF('Model inputs'!S95="","",'Model inputs'!S95&lt;=18))),'Model inputs'!AM54+('Model inputs'!AM55-'Model inputs'!AM54)*('Model inputs'!S95-12)/6,IF(IF(IF(ISERROR('Model inputs'!S95&lt;=24),'Model inputs'!S95&lt;=24,IF('Model inputs'!S95="","",'Model inputs'!S95&lt;=24))="",FALSE,IF(ISERROR('Model inputs'!S95&lt;=24),'Model inputs'!S95&lt;=24,IF('Model inputs'!S95="","",'Model inputs'!S95&lt;=24))),'Model inputs'!AM55+('Model inputs'!AM56-'Model inputs'!AM55)*('Model inputs'!S95-18)/6,IF(IF(IF(ISERROR('Model inputs'!S95&lt;=30),'Model inputs'!S95&lt;=30,IF('Model inputs'!S95="","",'Model inputs'!S95&lt;=30))="",FALSE,IF(ISERROR('Model inputs'!S95&lt;=30),'Model inputs'!S95&lt;=30,IF('Model inputs'!S95="","",'Model inputs'!S95&lt;=30))),'Model inputs'!AM56+('Model inputs'!AM57-'Model inputs'!AM56)*('Model inputs'!S95-24)/6,IF(IF(IF(ISERROR('Model inputs'!S95&lt;=36),'Model inputs'!S95&lt;=36,IF('Model inputs'!S95="","",'Model inputs'!S95&lt;=36))="",FALSE,IF(ISERROR('Model inputs'!S95&lt;=36),'Model inputs'!S95&lt;=36,IF('Model inputs'!S95="","",'Model inputs'!S95&lt;=36))),'Model inputs'!AM57+('Model inputs'!AM58-'Model inputs'!AM57)*('Model inputs'!S95-30)/6,IF('Model inputs'!AM58="","",'Model inputs'!AM58))))))))="",0,(IF(IF(IF(ISERROR('Model inputs'!S95&lt;=6),'Model inputs'!S95&lt;=6,IF('Model inputs'!S95="","",'Model inputs'!S95&lt;=6))="",FALSE,IF(ISERROR('Model inputs'!S95&lt;=6),'Model inputs'!S95&lt;=6,IF('Model inputs'!S95="","",'Model inputs'!S95&lt;=6))),'Model inputs'!AM53+('Model inputs'!AM59-'Model inputs'!AM53)*('Model inputs'!S95-0)/6,IF(IF(IF(ISERROR('Model inputs'!S95&lt;=12),'Model inputs'!S95&lt;=12,IF('Model inputs'!S95="","",'Model inputs'!S95&lt;=12))="",FALSE,IF(ISERROR('Model inputs'!S95&lt;=12),'Model inputs'!S95&lt;=12,IF('Model inputs'!S95="","",'Model inputs'!S95&lt;=12))),'Model inputs'!AM59+('Model inputs'!AM54-'Model inputs'!AM59)*('Model inputs'!S95-6)/6,IF(IF(IF(ISERROR('Model inputs'!S95&lt;=18),'Model inputs'!S95&lt;=18,IF('Model inputs'!S95="","",'Model inputs'!S95&lt;=18))="",FALSE,IF(ISERROR('Model inputs'!S95&lt;=18),'Model inputs'!S95&lt;=18,IF('Model inputs'!S95="","",'Model inputs'!S95&lt;=18))),'Model inputs'!AM54+('Model inputs'!AM55-'Model inputs'!AM54)*('Model inputs'!S95-12)/6,IF(IF(IF(ISERROR('Model inputs'!S95&lt;=24),'Model inputs'!S95&lt;=24,IF('Model inputs'!S95="","",'Model inputs'!S95&lt;=24))="",FALSE,IF(ISERROR('Model inputs'!S95&lt;=24),'Model inputs'!S95&lt;=24,IF('Model inputs'!S95="","",'Model inputs'!S95&lt;=24))),'Model inputs'!AM55+('Model inputs'!AM56-'Model inputs'!AM55)*('Model inputs'!S95-18)/6,IF(IF(IF(ISERROR('Model inputs'!S95&lt;=30),'Model inputs'!S95&lt;=30,IF('Model inputs'!S95="","",'Model inputs'!S95&lt;=30))="",FALSE,IF(ISERROR('Model inputs'!S95&lt;=30),'Model inputs'!S95&lt;=30,IF('Model inputs'!S95="","",'Model inputs'!S95&lt;=30))),'Model inputs'!AM56+('Model inputs'!AM57-'Model inputs'!AM56)*('Model inputs'!S95-24)/6,IF(IF(IF(ISERROR('Model inputs'!S95&lt;=36),'Model inputs'!S95&lt;=36,IF('Model inputs'!S95="","",'Model inputs'!S95&lt;=36))="",FALSE,IF(ISERROR('Model inputs'!S95&lt;=36),'Model inputs'!S95&lt;=36,IF('Model inputs'!S95="","",'Model inputs'!S95&lt;=36))),'Model inputs'!AM57+('Model inputs'!AM58-'Model inputs'!AM57)*('Model inputs'!S95-30)/6,IF('Model inputs'!AM58="","",'Model inputs'!AM58)))))))))*'Model inputs'!AM60</f>
        <v>89800</v>
      </c>
      <c r="T98" s="23">
        <f>IF((IF(IF(IF(ISERROR('Model inputs'!T95&lt;=6),'Model inputs'!T95&lt;=6,IF('Model inputs'!T95="","",'Model inputs'!T95&lt;=6))="",FALSE,IF(ISERROR('Model inputs'!T95&lt;=6),'Model inputs'!T95&lt;=6,IF('Model inputs'!T95="","",'Model inputs'!T95&lt;=6))),'Model inputs'!AM53+('Model inputs'!AM59-'Model inputs'!AM53)*('Model inputs'!T95-0)/6,IF(IF(IF(ISERROR('Model inputs'!T95&lt;=12),'Model inputs'!T95&lt;=12,IF('Model inputs'!T95="","",'Model inputs'!T95&lt;=12))="",FALSE,IF(ISERROR('Model inputs'!T95&lt;=12),'Model inputs'!T95&lt;=12,IF('Model inputs'!T95="","",'Model inputs'!T95&lt;=12))),'Model inputs'!AM59+('Model inputs'!AM54-'Model inputs'!AM59)*('Model inputs'!T95-6)/6,IF(IF(IF(ISERROR('Model inputs'!T95&lt;=18),'Model inputs'!T95&lt;=18,IF('Model inputs'!T95="","",'Model inputs'!T95&lt;=18))="",FALSE,IF(ISERROR('Model inputs'!T95&lt;=18),'Model inputs'!T95&lt;=18,IF('Model inputs'!T95="","",'Model inputs'!T95&lt;=18))),'Model inputs'!AM54+('Model inputs'!AM55-'Model inputs'!AM54)*('Model inputs'!T95-12)/6,IF(IF(IF(ISERROR('Model inputs'!T95&lt;=24),'Model inputs'!T95&lt;=24,IF('Model inputs'!T95="","",'Model inputs'!T95&lt;=24))="",FALSE,IF(ISERROR('Model inputs'!T95&lt;=24),'Model inputs'!T95&lt;=24,IF('Model inputs'!T95="","",'Model inputs'!T95&lt;=24))),'Model inputs'!AM55+('Model inputs'!AM56-'Model inputs'!AM55)*('Model inputs'!T95-18)/6,IF(IF(IF(ISERROR('Model inputs'!T95&lt;=30),'Model inputs'!T95&lt;=30,IF('Model inputs'!T95="","",'Model inputs'!T95&lt;=30))="",FALSE,IF(ISERROR('Model inputs'!T95&lt;=30),'Model inputs'!T95&lt;=30,IF('Model inputs'!T95="","",'Model inputs'!T95&lt;=30))),'Model inputs'!AM56+('Model inputs'!AM57-'Model inputs'!AM56)*('Model inputs'!T95-24)/6,IF(IF(IF(ISERROR('Model inputs'!T95&lt;=36),'Model inputs'!T95&lt;=36,IF('Model inputs'!T95="","",'Model inputs'!T95&lt;=36))="",FALSE,IF(ISERROR('Model inputs'!T95&lt;=36),'Model inputs'!T95&lt;=36,IF('Model inputs'!T95="","",'Model inputs'!T95&lt;=36))),'Model inputs'!AM57+('Model inputs'!AM58-'Model inputs'!AM57)*('Model inputs'!T95-30)/6,IF('Model inputs'!AM58="","",'Model inputs'!AM58))))))))="",0,(IF(IF(IF(ISERROR('Model inputs'!T95&lt;=6),'Model inputs'!T95&lt;=6,IF('Model inputs'!T95="","",'Model inputs'!T95&lt;=6))="",FALSE,IF(ISERROR('Model inputs'!T95&lt;=6),'Model inputs'!T95&lt;=6,IF('Model inputs'!T95="","",'Model inputs'!T95&lt;=6))),'Model inputs'!AM53+('Model inputs'!AM59-'Model inputs'!AM53)*('Model inputs'!T95-0)/6,IF(IF(IF(ISERROR('Model inputs'!T95&lt;=12),'Model inputs'!T95&lt;=12,IF('Model inputs'!T95="","",'Model inputs'!T95&lt;=12))="",FALSE,IF(ISERROR('Model inputs'!T95&lt;=12),'Model inputs'!T95&lt;=12,IF('Model inputs'!T95="","",'Model inputs'!T95&lt;=12))),'Model inputs'!AM59+('Model inputs'!AM54-'Model inputs'!AM59)*('Model inputs'!T95-6)/6,IF(IF(IF(ISERROR('Model inputs'!T95&lt;=18),'Model inputs'!T95&lt;=18,IF('Model inputs'!T95="","",'Model inputs'!T95&lt;=18))="",FALSE,IF(ISERROR('Model inputs'!T95&lt;=18),'Model inputs'!T95&lt;=18,IF('Model inputs'!T95="","",'Model inputs'!T95&lt;=18))),'Model inputs'!AM54+('Model inputs'!AM55-'Model inputs'!AM54)*('Model inputs'!T95-12)/6,IF(IF(IF(ISERROR('Model inputs'!T95&lt;=24),'Model inputs'!T95&lt;=24,IF('Model inputs'!T95="","",'Model inputs'!T95&lt;=24))="",FALSE,IF(ISERROR('Model inputs'!T95&lt;=24),'Model inputs'!T95&lt;=24,IF('Model inputs'!T95="","",'Model inputs'!T95&lt;=24))),'Model inputs'!AM55+('Model inputs'!AM56-'Model inputs'!AM55)*('Model inputs'!T95-18)/6,IF(IF(IF(ISERROR('Model inputs'!T95&lt;=30),'Model inputs'!T95&lt;=30,IF('Model inputs'!T95="","",'Model inputs'!T95&lt;=30))="",FALSE,IF(ISERROR('Model inputs'!T95&lt;=30),'Model inputs'!T95&lt;=30,IF('Model inputs'!T95="","",'Model inputs'!T95&lt;=30))),'Model inputs'!AM56+('Model inputs'!AM57-'Model inputs'!AM56)*('Model inputs'!T95-24)/6,IF(IF(IF(ISERROR('Model inputs'!T95&lt;=36),'Model inputs'!T95&lt;=36,IF('Model inputs'!T95="","",'Model inputs'!T95&lt;=36))="",FALSE,IF(ISERROR('Model inputs'!T95&lt;=36),'Model inputs'!T95&lt;=36,IF('Model inputs'!T95="","",'Model inputs'!T95&lt;=36))),'Model inputs'!AM57+('Model inputs'!AM58-'Model inputs'!AM57)*('Model inputs'!T95-30)/6,IF('Model inputs'!AM58="","",'Model inputs'!AM58)))))))))*'Model inputs'!AM60</f>
        <v>98200</v>
      </c>
      <c r="U98" s="23">
        <f>IF((IF(IF(IF(ISERROR('Model inputs'!U95&lt;=6),'Model inputs'!U95&lt;=6,IF('Model inputs'!U95="","",'Model inputs'!U95&lt;=6))="",FALSE,IF(ISERROR('Model inputs'!U95&lt;=6),'Model inputs'!U95&lt;=6,IF('Model inputs'!U95="","",'Model inputs'!U95&lt;=6))),'Model inputs'!AM53+('Model inputs'!AM59-'Model inputs'!AM53)*('Model inputs'!U95-0)/6,IF(IF(IF(ISERROR('Model inputs'!U95&lt;=12),'Model inputs'!U95&lt;=12,IF('Model inputs'!U95="","",'Model inputs'!U95&lt;=12))="",FALSE,IF(ISERROR('Model inputs'!U95&lt;=12),'Model inputs'!U95&lt;=12,IF('Model inputs'!U95="","",'Model inputs'!U95&lt;=12))),'Model inputs'!AM59+('Model inputs'!AM54-'Model inputs'!AM59)*('Model inputs'!U95-6)/6,IF(IF(IF(ISERROR('Model inputs'!U95&lt;=18),'Model inputs'!U95&lt;=18,IF('Model inputs'!U95="","",'Model inputs'!U95&lt;=18))="",FALSE,IF(ISERROR('Model inputs'!U95&lt;=18),'Model inputs'!U95&lt;=18,IF('Model inputs'!U95="","",'Model inputs'!U95&lt;=18))),'Model inputs'!AM54+('Model inputs'!AM55-'Model inputs'!AM54)*('Model inputs'!U95-12)/6,IF(IF(IF(ISERROR('Model inputs'!U95&lt;=24),'Model inputs'!U95&lt;=24,IF('Model inputs'!U95="","",'Model inputs'!U95&lt;=24))="",FALSE,IF(ISERROR('Model inputs'!U95&lt;=24),'Model inputs'!U95&lt;=24,IF('Model inputs'!U95="","",'Model inputs'!U95&lt;=24))),'Model inputs'!AM55+('Model inputs'!AM56-'Model inputs'!AM55)*('Model inputs'!U95-18)/6,IF(IF(IF(ISERROR('Model inputs'!U95&lt;=30),'Model inputs'!U95&lt;=30,IF('Model inputs'!U95="","",'Model inputs'!U95&lt;=30))="",FALSE,IF(ISERROR('Model inputs'!U95&lt;=30),'Model inputs'!U95&lt;=30,IF('Model inputs'!U95="","",'Model inputs'!U95&lt;=30))),'Model inputs'!AM56+('Model inputs'!AM57-'Model inputs'!AM56)*('Model inputs'!U95-24)/6,IF(IF(IF(ISERROR('Model inputs'!U95&lt;=36),'Model inputs'!U95&lt;=36,IF('Model inputs'!U95="","",'Model inputs'!U95&lt;=36))="",FALSE,IF(ISERROR('Model inputs'!U95&lt;=36),'Model inputs'!U95&lt;=36,IF('Model inputs'!U95="","",'Model inputs'!U95&lt;=36))),'Model inputs'!AM57+('Model inputs'!AM58-'Model inputs'!AM57)*('Model inputs'!U95-30)/6,IF('Model inputs'!AM58="","",'Model inputs'!AM58))))))))="",0,(IF(IF(IF(ISERROR('Model inputs'!U95&lt;=6),'Model inputs'!U95&lt;=6,IF('Model inputs'!U95="","",'Model inputs'!U95&lt;=6))="",FALSE,IF(ISERROR('Model inputs'!U95&lt;=6),'Model inputs'!U95&lt;=6,IF('Model inputs'!U95="","",'Model inputs'!U95&lt;=6))),'Model inputs'!AM53+('Model inputs'!AM59-'Model inputs'!AM53)*('Model inputs'!U95-0)/6,IF(IF(IF(ISERROR('Model inputs'!U95&lt;=12),'Model inputs'!U95&lt;=12,IF('Model inputs'!U95="","",'Model inputs'!U95&lt;=12))="",FALSE,IF(ISERROR('Model inputs'!U95&lt;=12),'Model inputs'!U95&lt;=12,IF('Model inputs'!U95="","",'Model inputs'!U95&lt;=12))),'Model inputs'!AM59+('Model inputs'!AM54-'Model inputs'!AM59)*('Model inputs'!U95-6)/6,IF(IF(IF(ISERROR('Model inputs'!U95&lt;=18),'Model inputs'!U95&lt;=18,IF('Model inputs'!U95="","",'Model inputs'!U95&lt;=18))="",FALSE,IF(ISERROR('Model inputs'!U95&lt;=18),'Model inputs'!U95&lt;=18,IF('Model inputs'!U95="","",'Model inputs'!U95&lt;=18))),'Model inputs'!AM54+('Model inputs'!AM55-'Model inputs'!AM54)*('Model inputs'!U95-12)/6,IF(IF(IF(ISERROR('Model inputs'!U95&lt;=24),'Model inputs'!U95&lt;=24,IF('Model inputs'!U95="","",'Model inputs'!U95&lt;=24))="",FALSE,IF(ISERROR('Model inputs'!U95&lt;=24),'Model inputs'!U95&lt;=24,IF('Model inputs'!U95="","",'Model inputs'!U95&lt;=24))),'Model inputs'!AM55+('Model inputs'!AM56-'Model inputs'!AM55)*('Model inputs'!U95-18)/6,IF(IF(IF(ISERROR('Model inputs'!U95&lt;=30),'Model inputs'!U95&lt;=30,IF('Model inputs'!U95="","",'Model inputs'!U95&lt;=30))="",FALSE,IF(ISERROR('Model inputs'!U95&lt;=30),'Model inputs'!U95&lt;=30,IF('Model inputs'!U95="","",'Model inputs'!U95&lt;=30))),'Model inputs'!AM56+('Model inputs'!AM57-'Model inputs'!AM56)*('Model inputs'!U95-24)/6,IF(IF(IF(ISERROR('Model inputs'!U95&lt;=36),'Model inputs'!U95&lt;=36,IF('Model inputs'!U95="","",'Model inputs'!U95&lt;=36))="",FALSE,IF(ISERROR('Model inputs'!U95&lt;=36),'Model inputs'!U95&lt;=36,IF('Model inputs'!U95="","",'Model inputs'!U95&lt;=36))),'Model inputs'!AM57+('Model inputs'!AM58-'Model inputs'!AM57)*('Model inputs'!U95-30)/6,IF('Model inputs'!AM58="","",'Model inputs'!AM58)))))))))*'Model inputs'!AM60</f>
        <v>105166.66666666667</v>
      </c>
      <c r="V98" s="23">
        <f>IF((IF(IF(IF(ISERROR('Model inputs'!V95&lt;=6),'Model inputs'!V95&lt;=6,IF('Model inputs'!V95="","",'Model inputs'!V95&lt;=6))="",FALSE,IF(ISERROR('Model inputs'!V95&lt;=6),'Model inputs'!V95&lt;=6,IF('Model inputs'!V95="","",'Model inputs'!V95&lt;=6))),'Model inputs'!AM53+('Model inputs'!AM59-'Model inputs'!AM53)*('Model inputs'!V95-0)/6,IF(IF(IF(ISERROR('Model inputs'!V95&lt;=12),'Model inputs'!V95&lt;=12,IF('Model inputs'!V95="","",'Model inputs'!V95&lt;=12))="",FALSE,IF(ISERROR('Model inputs'!V95&lt;=12),'Model inputs'!V95&lt;=12,IF('Model inputs'!V95="","",'Model inputs'!V95&lt;=12))),'Model inputs'!AM59+('Model inputs'!AM54-'Model inputs'!AM59)*('Model inputs'!V95-6)/6,IF(IF(IF(ISERROR('Model inputs'!V95&lt;=18),'Model inputs'!V95&lt;=18,IF('Model inputs'!V95="","",'Model inputs'!V95&lt;=18))="",FALSE,IF(ISERROR('Model inputs'!V95&lt;=18),'Model inputs'!V95&lt;=18,IF('Model inputs'!V95="","",'Model inputs'!V95&lt;=18))),'Model inputs'!AM54+('Model inputs'!AM55-'Model inputs'!AM54)*('Model inputs'!V95-12)/6,IF(IF(IF(ISERROR('Model inputs'!V95&lt;=24),'Model inputs'!V95&lt;=24,IF('Model inputs'!V95="","",'Model inputs'!V95&lt;=24))="",FALSE,IF(ISERROR('Model inputs'!V95&lt;=24),'Model inputs'!V95&lt;=24,IF('Model inputs'!V95="","",'Model inputs'!V95&lt;=24))),'Model inputs'!AM55+('Model inputs'!AM56-'Model inputs'!AM55)*('Model inputs'!V95-18)/6,IF(IF(IF(ISERROR('Model inputs'!V95&lt;=30),'Model inputs'!V95&lt;=30,IF('Model inputs'!V95="","",'Model inputs'!V95&lt;=30))="",FALSE,IF(ISERROR('Model inputs'!V95&lt;=30),'Model inputs'!V95&lt;=30,IF('Model inputs'!V95="","",'Model inputs'!V95&lt;=30))),'Model inputs'!AM56+('Model inputs'!AM57-'Model inputs'!AM56)*('Model inputs'!V95-24)/6,IF(IF(IF(ISERROR('Model inputs'!V95&lt;=36),'Model inputs'!V95&lt;=36,IF('Model inputs'!V95="","",'Model inputs'!V95&lt;=36))="",FALSE,IF(ISERROR('Model inputs'!V95&lt;=36),'Model inputs'!V95&lt;=36,IF('Model inputs'!V95="","",'Model inputs'!V95&lt;=36))),'Model inputs'!AM57+('Model inputs'!AM58-'Model inputs'!AM57)*('Model inputs'!V95-30)/6,IF('Model inputs'!AM58="","",'Model inputs'!AM58))))))))="",0,(IF(IF(IF(ISERROR('Model inputs'!V95&lt;=6),'Model inputs'!V95&lt;=6,IF('Model inputs'!V95="","",'Model inputs'!V95&lt;=6))="",FALSE,IF(ISERROR('Model inputs'!V95&lt;=6),'Model inputs'!V95&lt;=6,IF('Model inputs'!V95="","",'Model inputs'!V95&lt;=6))),'Model inputs'!AM53+('Model inputs'!AM59-'Model inputs'!AM53)*('Model inputs'!V95-0)/6,IF(IF(IF(ISERROR('Model inputs'!V95&lt;=12),'Model inputs'!V95&lt;=12,IF('Model inputs'!V95="","",'Model inputs'!V95&lt;=12))="",FALSE,IF(ISERROR('Model inputs'!V95&lt;=12),'Model inputs'!V95&lt;=12,IF('Model inputs'!V95="","",'Model inputs'!V95&lt;=12))),'Model inputs'!AM59+('Model inputs'!AM54-'Model inputs'!AM59)*('Model inputs'!V95-6)/6,IF(IF(IF(ISERROR('Model inputs'!V95&lt;=18),'Model inputs'!V95&lt;=18,IF('Model inputs'!V95="","",'Model inputs'!V95&lt;=18))="",FALSE,IF(ISERROR('Model inputs'!V95&lt;=18),'Model inputs'!V95&lt;=18,IF('Model inputs'!V95="","",'Model inputs'!V95&lt;=18))),'Model inputs'!AM54+('Model inputs'!AM55-'Model inputs'!AM54)*('Model inputs'!V95-12)/6,IF(IF(IF(ISERROR('Model inputs'!V95&lt;=24),'Model inputs'!V95&lt;=24,IF('Model inputs'!V95="","",'Model inputs'!V95&lt;=24))="",FALSE,IF(ISERROR('Model inputs'!V95&lt;=24),'Model inputs'!V95&lt;=24,IF('Model inputs'!V95="","",'Model inputs'!V95&lt;=24))),'Model inputs'!AM55+('Model inputs'!AM56-'Model inputs'!AM55)*('Model inputs'!V95-18)/6,IF(IF(IF(ISERROR('Model inputs'!V95&lt;=30),'Model inputs'!V95&lt;=30,IF('Model inputs'!V95="","",'Model inputs'!V95&lt;=30))="",FALSE,IF(ISERROR('Model inputs'!V95&lt;=30),'Model inputs'!V95&lt;=30,IF('Model inputs'!V95="","",'Model inputs'!V95&lt;=30))),'Model inputs'!AM56+('Model inputs'!AM57-'Model inputs'!AM56)*('Model inputs'!V95-24)/6,IF(IF(IF(ISERROR('Model inputs'!V95&lt;=36),'Model inputs'!V95&lt;=36,IF('Model inputs'!V95="","",'Model inputs'!V95&lt;=36))="",FALSE,IF(ISERROR('Model inputs'!V95&lt;=36),'Model inputs'!V95&lt;=36,IF('Model inputs'!V95="","",'Model inputs'!V95&lt;=36))),'Model inputs'!AM57+('Model inputs'!AM58-'Model inputs'!AM57)*('Model inputs'!V95-30)/6,IF('Model inputs'!AM58="","",'Model inputs'!AM58)))))))))*'Model inputs'!AM60</f>
        <v>112133.33333333333</v>
      </c>
      <c r="W98" s="23">
        <f>IF((IF(IF(IF(ISERROR('Model inputs'!W95&lt;=6),'Model inputs'!W95&lt;=6,IF('Model inputs'!W95="","",'Model inputs'!W95&lt;=6))="",FALSE,IF(ISERROR('Model inputs'!W95&lt;=6),'Model inputs'!W95&lt;=6,IF('Model inputs'!W95="","",'Model inputs'!W95&lt;=6))),'Model inputs'!AM53+('Model inputs'!AM59-'Model inputs'!AM53)*('Model inputs'!W95-0)/6,IF(IF(IF(ISERROR('Model inputs'!W95&lt;=12),'Model inputs'!W95&lt;=12,IF('Model inputs'!W95="","",'Model inputs'!W95&lt;=12))="",FALSE,IF(ISERROR('Model inputs'!W95&lt;=12),'Model inputs'!W95&lt;=12,IF('Model inputs'!W95="","",'Model inputs'!W95&lt;=12))),'Model inputs'!AM59+('Model inputs'!AM54-'Model inputs'!AM59)*('Model inputs'!W95-6)/6,IF(IF(IF(ISERROR('Model inputs'!W95&lt;=18),'Model inputs'!W95&lt;=18,IF('Model inputs'!W95="","",'Model inputs'!W95&lt;=18))="",FALSE,IF(ISERROR('Model inputs'!W95&lt;=18),'Model inputs'!W95&lt;=18,IF('Model inputs'!W95="","",'Model inputs'!W95&lt;=18))),'Model inputs'!AM54+('Model inputs'!AM55-'Model inputs'!AM54)*('Model inputs'!W95-12)/6,IF(IF(IF(ISERROR('Model inputs'!W95&lt;=24),'Model inputs'!W95&lt;=24,IF('Model inputs'!W95="","",'Model inputs'!W95&lt;=24))="",FALSE,IF(ISERROR('Model inputs'!W95&lt;=24),'Model inputs'!W95&lt;=24,IF('Model inputs'!W95="","",'Model inputs'!W95&lt;=24))),'Model inputs'!AM55+('Model inputs'!AM56-'Model inputs'!AM55)*('Model inputs'!W95-18)/6,IF(IF(IF(ISERROR('Model inputs'!W95&lt;=30),'Model inputs'!W95&lt;=30,IF('Model inputs'!W95="","",'Model inputs'!W95&lt;=30))="",FALSE,IF(ISERROR('Model inputs'!W95&lt;=30),'Model inputs'!W95&lt;=30,IF('Model inputs'!W95="","",'Model inputs'!W95&lt;=30))),'Model inputs'!AM56+('Model inputs'!AM57-'Model inputs'!AM56)*('Model inputs'!W95-24)/6,IF(IF(IF(ISERROR('Model inputs'!W95&lt;=36),'Model inputs'!W95&lt;=36,IF('Model inputs'!W95="","",'Model inputs'!W95&lt;=36))="",FALSE,IF(ISERROR('Model inputs'!W95&lt;=36),'Model inputs'!W95&lt;=36,IF('Model inputs'!W95="","",'Model inputs'!W95&lt;=36))),'Model inputs'!AM57+('Model inputs'!AM58-'Model inputs'!AM57)*('Model inputs'!W95-30)/6,IF('Model inputs'!AM58="","",'Model inputs'!AM58))))))))="",0,(IF(IF(IF(ISERROR('Model inputs'!W95&lt;=6),'Model inputs'!W95&lt;=6,IF('Model inputs'!W95="","",'Model inputs'!W95&lt;=6))="",FALSE,IF(ISERROR('Model inputs'!W95&lt;=6),'Model inputs'!W95&lt;=6,IF('Model inputs'!W95="","",'Model inputs'!W95&lt;=6))),'Model inputs'!AM53+('Model inputs'!AM59-'Model inputs'!AM53)*('Model inputs'!W95-0)/6,IF(IF(IF(ISERROR('Model inputs'!W95&lt;=12),'Model inputs'!W95&lt;=12,IF('Model inputs'!W95="","",'Model inputs'!W95&lt;=12))="",FALSE,IF(ISERROR('Model inputs'!W95&lt;=12),'Model inputs'!W95&lt;=12,IF('Model inputs'!W95="","",'Model inputs'!W95&lt;=12))),'Model inputs'!AM59+('Model inputs'!AM54-'Model inputs'!AM59)*('Model inputs'!W95-6)/6,IF(IF(IF(ISERROR('Model inputs'!W95&lt;=18),'Model inputs'!W95&lt;=18,IF('Model inputs'!W95="","",'Model inputs'!W95&lt;=18))="",FALSE,IF(ISERROR('Model inputs'!W95&lt;=18),'Model inputs'!W95&lt;=18,IF('Model inputs'!W95="","",'Model inputs'!W95&lt;=18))),'Model inputs'!AM54+('Model inputs'!AM55-'Model inputs'!AM54)*('Model inputs'!W95-12)/6,IF(IF(IF(ISERROR('Model inputs'!W95&lt;=24),'Model inputs'!W95&lt;=24,IF('Model inputs'!W95="","",'Model inputs'!W95&lt;=24))="",FALSE,IF(ISERROR('Model inputs'!W95&lt;=24),'Model inputs'!W95&lt;=24,IF('Model inputs'!W95="","",'Model inputs'!W95&lt;=24))),'Model inputs'!AM55+('Model inputs'!AM56-'Model inputs'!AM55)*('Model inputs'!W95-18)/6,IF(IF(IF(ISERROR('Model inputs'!W95&lt;=30),'Model inputs'!W95&lt;=30,IF('Model inputs'!W95="","",'Model inputs'!W95&lt;=30))="",FALSE,IF(ISERROR('Model inputs'!W95&lt;=30),'Model inputs'!W95&lt;=30,IF('Model inputs'!W95="","",'Model inputs'!W95&lt;=30))),'Model inputs'!AM56+('Model inputs'!AM57-'Model inputs'!AM56)*('Model inputs'!W95-24)/6,IF(IF(IF(ISERROR('Model inputs'!W95&lt;=36),'Model inputs'!W95&lt;=36,IF('Model inputs'!W95="","",'Model inputs'!W95&lt;=36))="",FALSE,IF(ISERROR('Model inputs'!W95&lt;=36),'Model inputs'!W95&lt;=36,IF('Model inputs'!W95="","",'Model inputs'!W95&lt;=36))),'Model inputs'!AM57+('Model inputs'!AM58-'Model inputs'!AM57)*('Model inputs'!W95-30)/6,IF('Model inputs'!AM58="","",'Model inputs'!AM58)))))))))*'Model inputs'!AM60</f>
        <v>119100</v>
      </c>
      <c r="X98" s="23">
        <f>IF((IF(IF(IF(ISERROR('Model inputs'!X95&lt;=6),'Model inputs'!X95&lt;=6,IF('Model inputs'!X95="","",'Model inputs'!X95&lt;=6))="",FALSE,IF(ISERROR('Model inputs'!X95&lt;=6),'Model inputs'!X95&lt;=6,IF('Model inputs'!X95="","",'Model inputs'!X95&lt;=6))),'Model inputs'!AM53+('Model inputs'!AM59-'Model inputs'!AM53)*('Model inputs'!X95-0)/6,IF(IF(IF(ISERROR('Model inputs'!X95&lt;=12),'Model inputs'!X95&lt;=12,IF('Model inputs'!X95="","",'Model inputs'!X95&lt;=12))="",FALSE,IF(ISERROR('Model inputs'!X95&lt;=12),'Model inputs'!X95&lt;=12,IF('Model inputs'!X95="","",'Model inputs'!X95&lt;=12))),'Model inputs'!AM59+('Model inputs'!AM54-'Model inputs'!AM59)*('Model inputs'!X95-6)/6,IF(IF(IF(ISERROR('Model inputs'!X95&lt;=18),'Model inputs'!X95&lt;=18,IF('Model inputs'!X95="","",'Model inputs'!X95&lt;=18))="",FALSE,IF(ISERROR('Model inputs'!X95&lt;=18),'Model inputs'!X95&lt;=18,IF('Model inputs'!X95="","",'Model inputs'!X95&lt;=18))),'Model inputs'!AM54+('Model inputs'!AM55-'Model inputs'!AM54)*('Model inputs'!X95-12)/6,IF(IF(IF(ISERROR('Model inputs'!X95&lt;=24),'Model inputs'!X95&lt;=24,IF('Model inputs'!X95="","",'Model inputs'!X95&lt;=24))="",FALSE,IF(ISERROR('Model inputs'!X95&lt;=24),'Model inputs'!X95&lt;=24,IF('Model inputs'!X95="","",'Model inputs'!X95&lt;=24))),'Model inputs'!AM55+('Model inputs'!AM56-'Model inputs'!AM55)*('Model inputs'!X95-18)/6,IF(IF(IF(ISERROR('Model inputs'!X95&lt;=30),'Model inputs'!X95&lt;=30,IF('Model inputs'!X95="","",'Model inputs'!X95&lt;=30))="",FALSE,IF(ISERROR('Model inputs'!X95&lt;=30),'Model inputs'!X95&lt;=30,IF('Model inputs'!X95="","",'Model inputs'!X95&lt;=30))),'Model inputs'!AM56+('Model inputs'!AM57-'Model inputs'!AM56)*('Model inputs'!X95-24)/6,IF(IF(IF(ISERROR('Model inputs'!X95&lt;=36),'Model inputs'!X95&lt;=36,IF('Model inputs'!X95="","",'Model inputs'!X95&lt;=36))="",FALSE,IF(ISERROR('Model inputs'!X95&lt;=36),'Model inputs'!X95&lt;=36,IF('Model inputs'!X95="","",'Model inputs'!X95&lt;=36))),'Model inputs'!AM57+('Model inputs'!AM58-'Model inputs'!AM57)*('Model inputs'!X95-30)/6,IF('Model inputs'!AM58="","",'Model inputs'!AM58))))))))="",0,(IF(IF(IF(ISERROR('Model inputs'!X95&lt;=6),'Model inputs'!X95&lt;=6,IF('Model inputs'!X95="","",'Model inputs'!X95&lt;=6))="",FALSE,IF(ISERROR('Model inputs'!X95&lt;=6),'Model inputs'!X95&lt;=6,IF('Model inputs'!X95="","",'Model inputs'!X95&lt;=6))),'Model inputs'!AM53+('Model inputs'!AM59-'Model inputs'!AM53)*('Model inputs'!X95-0)/6,IF(IF(IF(ISERROR('Model inputs'!X95&lt;=12),'Model inputs'!X95&lt;=12,IF('Model inputs'!X95="","",'Model inputs'!X95&lt;=12))="",FALSE,IF(ISERROR('Model inputs'!X95&lt;=12),'Model inputs'!X95&lt;=12,IF('Model inputs'!X95="","",'Model inputs'!X95&lt;=12))),'Model inputs'!AM59+('Model inputs'!AM54-'Model inputs'!AM59)*('Model inputs'!X95-6)/6,IF(IF(IF(ISERROR('Model inputs'!X95&lt;=18),'Model inputs'!X95&lt;=18,IF('Model inputs'!X95="","",'Model inputs'!X95&lt;=18))="",FALSE,IF(ISERROR('Model inputs'!X95&lt;=18),'Model inputs'!X95&lt;=18,IF('Model inputs'!X95="","",'Model inputs'!X95&lt;=18))),'Model inputs'!AM54+('Model inputs'!AM55-'Model inputs'!AM54)*('Model inputs'!X95-12)/6,IF(IF(IF(ISERROR('Model inputs'!X95&lt;=24),'Model inputs'!X95&lt;=24,IF('Model inputs'!X95="","",'Model inputs'!X95&lt;=24))="",FALSE,IF(ISERROR('Model inputs'!X95&lt;=24),'Model inputs'!X95&lt;=24,IF('Model inputs'!X95="","",'Model inputs'!X95&lt;=24))),'Model inputs'!AM55+('Model inputs'!AM56-'Model inputs'!AM55)*('Model inputs'!X95-18)/6,IF(IF(IF(ISERROR('Model inputs'!X95&lt;=30),'Model inputs'!X95&lt;=30,IF('Model inputs'!X95="","",'Model inputs'!X95&lt;=30))="",FALSE,IF(ISERROR('Model inputs'!X95&lt;=30),'Model inputs'!X95&lt;=30,IF('Model inputs'!X95="","",'Model inputs'!X95&lt;=30))),'Model inputs'!AM56+('Model inputs'!AM57-'Model inputs'!AM56)*('Model inputs'!X95-24)/6,IF(IF(IF(ISERROR('Model inputs'!X95&lt;=36),'Model inputs'!X95&lt;=36,IF('Model inputs'!X95="","",'Model inputs'!X95&lt;=36))="",FALSE,IF(ISERROR('Model inputs'!X95&lt;=36),'Model inputs'!X95&lt;=36,IF('Model inputs'!X95="","",'Model inputs'!X95&lt;=36))),'Model inputs'!AM57+('Model inputs'!AM58-'Model inputs'!AM57)*('Model inputs'!X95-30)/6,IF('Model inputs'!AM58="","",'Model inputs'!AM58)))))))))*'Model inputs'!AM60</f>
        <v>126066.66666666666</v>
      </c>
      <c r="Y98" s="23">
        <f>IF((IF(IF(IF(ISERROR('Model inputs'!Y95&lt;=6),'Model inputs'!Y95&lt;=6,IF('Model inputs'!Y95="","",'Model inputs'!Y95&lt;=6))="",FALSE,IF(ISERROR('Model inputs'!Y95&lt;=6),'Model inputs'!Y95&lt;=6,IF('Model inputs'!Y95="","",'Model inputs'!Y95&lt;=6))),'Model inputs'!AM53+('Model inputs'!AM59-'Model inputs'!AM53)*('Model inputs'!Y95-0)/6,IF(IF(IF(ISERROR('Model inputs'!Y95&lt;=12),'Model inputs'!Y95&lt;=12,IF('Model inputs'!Y95="","",'Model inputs'!Y95&lt;=12))="",FALSE,IF(ISERROR('Model inputs'!Y95&lt;=12),'Model inputs'!Y95&lt;=12,IF('Model inputs'!Y95="","",'Model inputs'!Y95&lt;=12))),'Model inputs'!AM59+('Model inputs'!AM54-'Model inputs'!AM59)*('Model inputs'!Y95-6)/6,IF(IF(IF(ISERROR('Model inputs'!Y95&lt;=18),'Model inputs'!Y95&lt;=18,IF('Model inputs'!Y95="","",'Model inputs'!Y95&lt;=18))="",FALSE,IF(ISERROR('Model inputs'!Y95&lt;=18),'Model inputs'!Y95&lt;=18,IF('Model inputs'!Y95="","",'Model inputs'!Y95&lt;=18))),'Model inputs'!AM54+('Model inputs'!AM55-'Model inputs'!AM54)*('Model inputs'!Y95-12)/6,IF(IF(IF(ISERROR('Model inputs'!Y95&lt;=24),'Model inputs'!Y95&lt;=24,IF('Model inputs'!Y95="","",'Model inputs'!Y95&lt;=24))="",FALSE,IF(ISERROR('Model inputs'!Y95&lt;=24),'Model inputs'!Y95&lt;=24,IF('Model inputs'!Y95="","",'Model inputs'!Y95&lt;=24))),'Model inputs'!AM55+('Model inputs'!AM56-'Model inputs'!AM55)*('Model inputs'!Y95-18)/6,IF(IF(IF(ISERROR('Model inputs'!Y95&lt;=30),'Model inputs'!Y95&lt;=30,IF('Model inputs'!Y95="","",'Model inputs'!Y95&lt;=30))="",FALSE,IF(ISERROR('Model inputs'!Y95&lt;=30),'Model inputs'!Y95&lt;=30,IF('Model inputs'!Y95="","",'Model inputs'!Y95&lt;=30))),'Model inputs'!AM56+('Model inputs'!AM57-'Model inputs'!AM56)*('Model inputs'!Y95-24)/6,IF(IF(IF(ISERROR('Model inputs'!Y95&lt;=36),'Model inputs'!Y95&lt;=36,IF('Model inputs'!Y95="","",'Model inputs'!Y95&lt;=36))="",FALSE,IF(ISERROR('Model inputs'!Y95&lt;=36),'Model inputs'!Y95&lt;=36,IF('Model inputs'!Y95="","",'Model inputs'!Y95&lt;=36))),'Model inputs'!AM57+('Model inputs'!AM58-'Model inputs'!AM57)*('Model inputs'!Y95-30)/6,IF('Model inputs'!AM58="","",'Model inputs'!AM58))))))))="",0,(IF(IF(IF(ISERROR('Model inputs'!Y95&lt;=6),'Model inputs'!Y95&lt;=6,IF('Model inputs'!Y95="","",'Model inputs'!Y95&lt;=6))="",FALSE,IF(ISERROR('Model inputs'!Y95&lt;=6),'Model inputs'!Y95&lt;=6,IF('Model inputs'!Y95="","",'Model inputs'!Y95&lt;=6))),'Model inputs'!AM53+('Model inputs'!AM59-'Model inputs'!AM53)*('Model inputs'!Y95-0)/6,IF(IF(IF(ISERROR('Model inputs'!Y95&lt;=12),'Model inputs'!Y95&lt;=12,IF('Model inputs'!Y95="","",'Model inputs'!Y95&lt;=12))="",FALSE,IF(ISERROR('Model inputs'!Y95&lt;=12),'Model inputs'!Y95&lt;=12,IF('Model inputs'!Y95="","",'Model inputs'!Y95&lt;=12))),'Model inputs'!AM59+('Model inputs'!AM54-'Model inputs'!AM59)*('Model inputs'!Y95-6)/6,IF(IF(IF(ISERROR('Model inputs'!Y95&lt;=18),'Model inputs'!Y95&lt;=18,IF('Model inputs'!Y95="","",'Model inputs'!Y95&lt;=18))="",FALSE,IF(ISERROR('Model inputs'!Y95&lt;=18),'Model inputs'!Y95&lt;=18,IF('Model inputs'!Y95="","",'Model inputs'!Y95&lt;=18))),'Model inputs'!AM54+('Model inputs'!AM55-'Model inputs'!AM54)*('Model inputs'!Y95-12)/6,IF(IF(IF(ISERROR('Model inputs'!Y95&lt;=24),'Model inputs'!Y95&lt;=24,IF('Model inputs'!Y95="","",'Model inputs'!Y95&lt;=24))="",FALSE,IF(ISERROR('Model inputs'!Y95&lt;=24),'Model inputs'!Y95&lt;=24,IF('Model inputs'!Y95="","",'Model inputs'!Y95&lt;=24))),'Model inputs'!AM55+('Model inputs'!AM56-'Model inputs'!AM55)*('Model inputs'!Y95-18)/6,IF(IF(IF(ISERROR('Model inputs'!Y95&lt;=30),'Model inputs'!Y95&lt;=30,IF('Model inputs'!Y95="","",'Model inputs'!Y95&lt;=30))="",FALSE,IF(ISERROR('Model inputs'!Y95&lt;=30),'Model inputs'!Y95&lt;=30,IF('Model inputs'!Y95="","",'Model inputs'!Y95&lt;=30))),'Model inputs'!AM56+('Model inputs'!AM57-'Model inputs'!AM56)*('Model inputs'!Y95-24)/6,IF(IF(IF(ISERROR('Model inputs'!Y95&lt;=36),'Model inputs'!Y95&lt;=36,IF('Model inputs'!Y95="","",'Model inputs'!Y95&lt;=36))="",FALSE,IF(ISERROR('Model inputs'!Y95&lt;=36),'Model inputs'!Y95&lt;=36,IF('Model inputs'!Y95="","",'Model inputs'!Y95&lt;=36))),'Model inputs'!AM57+('Model inputs'!AM58-'Model inputs'!AM57)*('Model inputs'!Y95-30)/6,IF('Model inputs'!AM58="","",'Model inputs'!AM58)))))))))*'Model inputs'!AM60</f>
        <v>133033.3333333333</v>
      </c>
      <c r="Z98" s="23">
        <f>IF((IF(IF(IF(ISERROR('Model inputs'!Z95&lt;=6),'Model inputs'!Z95&lt;=6,IF('Model inputs'!Z95="","",'Model inputs'!Z95&lt;=6))="",FALSE,IF(ISERROR('Model inputs'!Z95&lt;=6),'Model inputs'!Z95&lt;=6,IF('Model inputs'!Z95="","",'Model inputs'!Z95&lt;=6))),'Model inputs'!AM53+('Model inputs'!AM59-'Model inputs'!AM53)*('Model inputs'!Z95-0)/6,IF(IF(IF(ISERROR('Model inputs'!Z95&lt;=12),'Model inputs'!Z95&lt;=12,IF('Model inputs'!Z95="","",'Model inputs'!Z95&lt;=12))="",FALSE,IF(ISERROR('Model inputs'!Z95&lt;=12),'Model inputs'!Z95&lt;=12,IF('Model inputs'!Z95="","",'Model inputs'!Z95&lt;=12))),'Model inputs'!AM59+('Model inputs'!AM54-'Model inputs'!AM59)*('Model inputs'!Z95-6)/6,IF(IF(IF(ISERROR('Model inputs'!Z95&lt;=18),'Model inputs'!Z95&lt;=18,IF('Model inputs'!Z95="","",'Model inputs'!Z95&lt;=18))="",FALSE,IF(ISERROR('Model inputs'!Z95&lt;=18),'Model inputs'!Z95&lt;=18,IF('Model inputs'!Z95="","",'Model inputs'!Z95&lt;=18))),'Model inputs'!AM54+('Model inputs'!AM55-'Model inputs'!AM54)*('Model inputs'!Z95-12)/6,IF(IF(IF(ISERROR('Model inputs'!Z95&lt;=24),'Model inputs'!Z95&lt;=24,IF('Model inputs'!Z95="","",'Model inputs'!Z95&lt;=24))="",FALSE,IF(ISERROR('Model inputs'!Z95&lt;=24),'Model inputs'!Z95&lt;=24,IF('Model inputs'!Z95="","",'Model inputs'!Z95&lt;=24))),'Model inputs'!AM55+('Model inputs'!AM56-'Model inputs'!AM55)*('Model inputs'!Z95-18)/6,IF(IF(IF(ISERROR('Model inputs'!Z95&lt;=30),'Model inputs'!Z95&lt;=30,IF('Model inputs'!Z95="","",'Model inputs'!Z95&lt;=30))="",FALSE,IF(ISERROR('Model inputs'!Z95&lt;=30),'Model inputs'!Z95&lt;=30,IF('Model inputs'!Z95="","",'Model inputs'!Z95&lt;=30))),'Model inputs'!AM56+('Model inputs'!AM57-'Model inputs'!AM56)*('Model inputs'!Z95-24)/6,IF(IF(IF(ISERROR('Model inputs'!Z95&lt;=36),'Model inputs'!Z95&lt;=36,IF('Model inputs'!Z95="","",'Model inputs'!Z95&lt;=36))="",FALSE,IF(ISERROR('Model inputs'!Z95&lt;=36),'Model inputs'!Z95&lt;=36,IF('Model inputs'!Z95="","",'Model inputs'!Z95&lt;=36))),'Model inputs'!AM57+('Model inputs'!AM58-'Model inputs'!AM57)*('Model inputs'!Z95-30)/6,IF('Model inputs'!AM58="","",'Model inputs'!AM58))))))))="",0,(IF(IF(IF(ISERROR('Model inputs'!Z95&lt;=6),'Model inputs'!Z95&lt;=6,IF('Model inputs'!Z95="","",'Model inputs'!Z95&lt;=6))="",FALSE,IF(ISERROR('Model inputs'!Z95&lt;=6),'Model inputs'!Z95&lt;=6,IF('Model inputs'!Z95="","",'Model inputs'!Z95&lt;=6))),'Model inputs'!AM53+('Model inputs'!AM59-'Model inputs'!AM53)*('Model inputs'!Z95-0)/6,IF(IF(IF(ISERROR('Model inputs'!Z95&lt;=12),'Model inputs'!Z95&lt;=12,IF('Model inputs'!Z95="","",'Model inputs'!Z95&lt;=12))="",FALSE,IF(ISERROR('Model inputs'!Z95&lt;=12),'Model inputs'!Z95&lt;=12,IF('Model inputs'!Z95="","",'Model inputs'!Z95&lt;=12))),'Model inputs'!AM59+('Model inputs'!AM54-'Model inputs'!AM59)*('Model inputs'!Z95-6)/6,IF(IF(IF(ISERROR('Model inputs'!Z95&lt;=18),'Model inputs'!Z95&lt;=18,IF('Model inputs'!Z95="","",'Model inputs'!Z95&lt;=18))="",FALSE,IF(ISERROR('Model inputs'!Z95&lt;=18),'Model inputs'!Z95&lt;=18,IF('Model inputs'!Z95="","",'Model inputs'!Z95&lt;=18))),'Model inputs'!AM54+('Model inputs'!AM55-'Model inputs'!AM54)*('Model inputs'!Z95-12)/6,IF(IF(IF(ISERROR('Model inputs'!Z95&lt;=24),'Model inputs'!Z95&lt;=24,IF('Model inputs'!Z95="","",'Model inputs'!Z95&lt;=24))="",FALSE,IF(ISERROR('Model inputs'!Z95&lt;=24),'Model inputs'!Z95&lt;=24,IF('Model inputs'!Z95="","",'Model inputs'!Z95&lt;=24))),'Model inputs'!AM55+('Model inputs'!AM56-'Model inputs'!AM55)*('Model inputs'!Z95-18)/6,IF(IF(IF(ISERROR('Model inputs'!Z95&lt;=30),'Model inputs'!Z95&lt;=30,IF('Model inputs'!Z95="","",'Model inputs'!Z95&lt;=30))="",FALSE,IF(ISERROR('Model inputs'!Z95&lt;=30),'Model inputs'!Z95&lt;=30,IF('Model inputs'!Z95="","",'Model inputs'!Z95&lt;=30))),'Model inputs'!AM56+('Model inputs'!AM57-'Model inputs'!AM56)*('Model inputs'!Z95-24)/6,IF(IF(IF(ISERROR('Model inputs'!Z95&lt;=36),'Model inputs'!Z95&lt;=36,IF('Model inputs'!Z95="","",'Model inputs'!Z95&lt;=36))="",FALSE,IF(ISERROR('Model inputs'!Z95&lt;=36),'Model inputs'!Z95&lt;=36,IF('Model inputs'!Z95="","",'Model inputs'!Z95&lt;=36))),'Model inputs'!AM57+('Model inputs'!AM58-'Model inputs'!AM57)*('Model inputs'!Z95-30)/6,IF('Model inputs'!AM58="","",'Model inputs'!AM58)))))))))*'Model inputs'!AM60</f>
        <v>140000</v>
      </c>
      <c r="AA98" s="23">
        <f>IF((IF(IF(IF(ISERROR('Model inputs'!AA95&lt;=6),'Model inputs'!AA95&lt;=6,IF('Model inputs'!AA95="","",'Model inputs'!AA95&lt;=6))="",FALSE,IF(ISERROR('Model inputs'!AA95&lt;=6),'Model inputs'!AA95&lt;=6,IF('Model inputs'!AA95="","",'Model inputs'!AA95&lt;=6))),'Model inputs'!AM53+('Model inputs'!AM59-'Model inputs'!AM53)*('Model inputs'!AA95-0)/6,IF(IF(IF(ISERROR('Model inputs'!AA95&lt;=12),'Model inputs'!AA95&lt;=12,IF('Model inputs'!AA95="","",'Model inputs'!AA95&lt;=12))="",FALSE,IF(ISERROR('Model inputs'!AA95&lt;=12),'Model inputs'!AA95&lt;=12,IF('Model inputs'!AA95="","",'Model inputs'!AA95&lt;=12))),'Model inputs'!AM59+('Model inputs'!AM54-'Model inputs'!AM59)*('Model inputs'!AA95-6)/6,IF(IF(IF(ISERROR('Model inputs'!AA95&lt;=18),'Model inputs'!AA95&lt;=18,IF('Model inputs'!AA95="","",'Model inputs'!AA95&lt;=18))="",FALSE,IF(ISERROR('Model inputs'!AA95&lt;=18),'Model inputs'!AA95&lt;=18,IF('Model inputs'!AA95="","",'Model inputs'!AA95&lt;=18))),'Model inputs'!AM54+('Model inputs'!AM55-'Model inputs'!AM54)*('Model inputs'!AA95-12)/6,IF(IF(IF(ISERROR('Model inputs'!AA95&lt;=24),'Model inputs'!AA95&lt;=24,IF('Model inputs'!AA95="","",'Model inputs'!AA95&lt;=24))="",FALSE,IF(ISERROR('Model inputs'!AA95&lt;=24),'Model inputs'!AA95&lt;=24,IF('Model inputs'!AA95="","",'Model inputs'!AA95&lt;=24))),'Model inputs'!AM55+('Model inputs'!AM56-'Model inputs'!AM55)*('Model inputs'!AA95-18)/6,IF(IF(IF(ISERROR('Model inputs'!AA95&lt;=30),'Model inputs'!AA95&lt;=30,IF('Model inputs'!AA95="","",'Model inputs'!AA95&lt;=30))="",FALSE,IF(ISERROR('Model inputs'!AA95&lt;=30),'Model inputs'!AA95&lt;=30,IF('Model inputs'!AA95="","",'Model inputs'!AA95&lt;=30))),'Model inputs'!AM56+('Model inputs'!AM57-'Model inputs'!AM56)*('Model inputs'!AA95-24)/6,IF(IF(IF(ISERROR('Model inputs'!AA95&lt;=36),'Model inputs'!AA95&lt;=36,IF('Model inputs'!AA95="","",'Model inputs'!AA95&lt;=36))="",FALSE,IF(ISERROR('Model inputs'!AA95&lt;=36),'Model inputs'!AA95&lt;=36,IF('Model inputs'!AA95="","",'Model inputs'!AA95&lt;=36))),'Model inputs'!AM57+('Model inputs'!AM58-'Model inputs'!AM57)*('Model inputs'!AA95-30)/6,IF('Model inputs'!AM58="","",'Model inputs'!AM58))))))))="",0,(IF(IF(IF(ISERROR('Model inputs'!AA95&lt;=6),'Model inputs'!AA95&lt;=6,IF('Model inputs'!AA95="","",'Model inputs'!AA95&lt;=6))="",FALSE,IF(ISERROR('Model inputs'!AA95&lt;=6),'Model inputs'!AA95&lt;=6,IF('Model inputs'!AA95="","",'Model inputs'!AA95&lt;=6))),'Model inputs'!AM53+('Model inputs'!AM59-'Model inputs'!AM53)*('Model inputs'!AA95-0)/6,IF(IF(IF(ISERROR('Model inputs'!AA95&lt;=12),'Model inputs'!AA95&lt;=12,IF('Model inputs'!AA95="","",'Model inputs'!AA95&lt;=12))="",FALSE,IF(ISERROR('Model inputs'!AA95&lt;=12),'Model inputs'!AA95&lt;=12,IF('Model inputs'!AA95="","",'Model inputs'!AA95&lt;=12))),'Model inputs'!AM59+('Model inputs'!AM54-'Model inputs'!AM59)*('Model inputs'!AA95-6)/6,IF(IF(IF(ISERROR('Model inputs'!AA95&lt;=18),'Model inputs'!AA95&lt;=18,IF('Model inputs'!AA95="","",'Model inputs'!AA95&lt;=18))="",FALSE,IF(ISERROR('Model inputs'!AA95&lt;=18),'Model inputs'!AA95&lt;=18,IF('Model inputs'!AA95="","",'Model inputs'!AA95&lt;=18))),'Model inputs'!AM54+('Model inputs'!AM55-'Model inputs'!AM54)*('Model inputs'!AA95-12)/6,IF(IF(IF(ISERROR('Model inputs'!AA95&lt;=24),'Model inputs'!AA95&lt;=24,IF('Model inputs'!AA95="","",'Model inputs'!AA95&lt;=24))="",FALSE,IF(ISERROR('Model inputs'!AA95&lt;=24),'Model inputs'!AA95&lt;=24,IF('Model inputs'!AA95="","",'Model inputs'!AA95&lt;=24))),'Model inputs'!AM55+('Model inputs'!AM56-'Model inputs'!AM55)*('Model inputs'!AA95-18)/6,IF(IF(IF(ISERROR('Model inputs'!AA95&lt;=30),'Model inputs'!AA95&lt;=30,IF('Model inputs'!AA95="","",'Model inputs'!AA95&lt;=30))="",FALSE,IF(ISERROR('Model inputs'!AA95&lt;=30),'Model inputs'!AA95&lt;=30,IF('Model inputs'!AA95="","",'Model inputs'!AA95&lt;=30))),'Model inputs'!AM56+('Model inputs'!AM57-'Model inputs'!AM56)*('Model inputs'!AA95-24)/6,IF(IF(IF(ISERROR('Model inputs'!AA95&lt;=36),'Model inputs'!AA95&lt;=36,IF('Model inputs'!AA95="","",'Model inputs'!AA95&lt;=36))="",FALSE,IF(ISERROR('Model inputs'!AA95&lt;=36),'Model inputs'!AA95&lt;=36,IF('Model inputs'!AA95="","",'Model inputs'!AA95&lt;=36))),'Model inputs'!AM57+('Model inputs'!AM58-'Model inputs'!AM57)*('Model inputs'!AA95-30)/6,IF('Model inputs'!AM58="","",'Model inputs'!AM58)))))))))*'Model inputs'!AM60</f>
        <v>145833.33333333334</v>
      </c>
      <c r="AB98" s="23">
        <f>IF((IF(IF(IF(ISERROR('Model inputs'!AB95&lt;=6),'Model inputs'!AB95&lt;=6,IF('Model inputs'!AB95="","",'Model inputs'!AB95&lt;=6))="",FALSE,IF(ISERROR('Model inputs'!AB95&lt;=6),'Model inputs'!AB95&lt;=6,IF('Model inputs'!AB95="","",'Model inputs'!AB95&lt;=6))),'Model inputs'!AM53+('Model inputs'!AM59-'Model inputs'!AM53)*('Model inputs'!AB95-0)/6,IF(IF(IF(ISERROR('Model inputs'!AB95&lt;=12),'Model inputs'!AB95&lt;=12,IF('Model inputs'!AB95="","",'Model inputs'!AB95&lt;=12))="",FALSE,IF(ISERROR('Model inputs'!AB95&lt;=12),'Model inputs'!AB95&lt;=12,IF('Model inputs'!AB95="","",'Model inputs'!AB95&lt;=12))),'Model inputs'!AM59+('Model inputs'!AM54-'Model inputs'!AM59)*('Model inputs'!AB95-6)/6,IF(IF(IF(ISERROR('Model inputs'!AB95&lt;=18),'Model inputs'!AB95&lt;=18,IF('Model inputs'!AB95="","",'Model inputs'!AB95&lt;=18))="",FALSE,IF(ISERROR('Model inputs'!AB95&lt;=18),'Model inputs'!AB95&lt;=18,IF('Model inputs'!AB95="","",'Model inputs'!AB95&lt;=18))),'Model inputs'!AM54+('Model inputs'!AM55-'Model inputs'!AM54)*('Model inputs'!AB95-12)/6,IF(IF(IF(ISERROR('Model inputs'!AB95&lt;=24),'Model inputs'!AB95&lt;=24,IF('Model inputs'!AB95="","",'Model inputs'!AB95&lt;=24))="",FALSE,IF(ISERROR('Model inputs'!AB95&lt;=24),'Model inputs'!AB95&lt;=24,IF('Model inputs'!AB95="","",'Model inputs'!AB95&lt;=24))),'Model inputs'!AM55+('Model inputs'!AM56-'Model inputs'!AM55)*('Model inputs'!AB95-18)/6,IF(IF(IF(ISERROR('Model inputs'!AB95&lt;=30),'Model inputs'!AB95&lt;=30,IF('Model inputs'!AB95="","",'Model inputs'!AB95&lt;=30))="",FALSE,IF(ISERROR('Model inputs'!AB95&lt;=30),'Model inputs'!AB95&lt;=30,IF('Model inputs'!AB95="","",'Model inputs'!AB95&lt;=30))),'Model inputs'!AM56+('Model inputs'!AM57-'Model inputs'!AM56)*('Model inputs'!AB95-24)/6,IF(IF(IF(ISERROR('Model inputs'!AB95&lt;=36),'Model inputs'!AB95&lt;=36,IF('Model inputs'!AB95="","",'Model inputs'!AB95&lt;=36))="",FALSE,IF(ISERROR('Model inputs'!AB95&lt;=36),'Model inputs'!AB95&lt;=36,IF('Model inputs'!AB95="","",'Model inputs'!AB95&lt;=36))),'Model inputs'!AM57+('Model inputs'!AM58-'Model inputs'!AM57)*('Model inputs'!AB95-30)/6,IF('Model inputs'!AM58="","",'Model inputs'!AM58))))))))="",0,(IF(IF(IF(ISERROR('Model inputs'!AB95&lt;=6),'Model inputs'!AB95&lt;=6,IF('Model inputs'!AB95="","",'Model inputs'!AB95&lt;=6))="",FALSE,IF(ISERROR('Model inputs'!AB95&lt;=6),'Model inputs'!AB95&lt;=6,IF('Model inputs'!AB95="","",'Model inputs'!AB95&lt;=6))),'Model inputs'!AM53+('Model inputs'!AM59-'Model inputs'!AM53)*('Model inputs'!AB95-0)/6,IF(IF(IF(ISERROR('Model inputs'!AB95&lt;=12),'Model inputs'!AB95&lt;=12,IF('Model inputs'!AB95="","",'Model inputs'!AB95&lt;=12))="",FALSE,IF(ISERROR('Model inputs'!AB95&lt;=12),'Model inputs'!AB95&lt;=12,IF('Model inputs'!AB95="","",'Model inputs'!AB95&lt;=12))),'Model inputs'!AM59+('Model inputs'!AM54-'Model inputs'!AM59)*('Model inputs'!AB95-6)/6,IF(IF(IF(ISERROR('Model inputs'!AB95&lt;=18),'Model inputs'!AB95&lt;=18,IF('Model inputs'!AB95="","",'Model inputs'!AB95&lt;=18))="",FALSE,IF(ISERROR('Model inputs'!AB95&lt;=18),'Model inputs'!AB95&lt;=18,IF('Model inputs'!AB95="","",'Model inputs'!AB95&lt;=18))),'Model inputs'!AM54+('Model inputs'!AM55-'Model inputs'!AM54)*('Model inputs'!AB95-12)/6,IF(IF(IF(ISERROR('Model inputs'!AB95&lt;=24),'Model inputs'!AB95&lt;=24,IF('Model inputs'!AB95="","",'Model inputs'!AB95&lt;=24))="",FALSE,IF(ISERROR('Model inputs'!AB95&lt;=24),'Model inputs'!AB95&lt;=24,IF('Model inputs'!AB95="","",'Model inputs'!AB95&lt;=24))),'Model inputs'!AM55+('Model inputs'!AM56-'Model inputs'!AM55)*('Model inputs'!AB95-18)/6,IF(IF(IF(ISERROR('Model inputs'!AB95&lt;=30),'Model inputs'!AB95&lt;=30,IF('Model inputs'!AB95="","",'Model inputs'!AB95&lt;=30))="",FALSE,IF(ISERROR('Model inputs'!AB95&lt;=30),'Model inputs'!AB95&lt;=30,IF('Model inputs'!AB95="","",'Model inputs'!AB95&lt;=30))),'Model inputs'!AM56+('Model inputs'!AM57-'Model inputs'!AM56)*('Model inputs'!AB95-24)/6,IF(IF(IF(ISERROR('Model inputs'!AB95&lt;=36),'Model inputs'!AB95&lt;=36,IF('Model inputs'!AB95="","",'Model inputs'!AB95&lt;=36))="",FALSE,IF(ISERROR('Model inputs'!AB95&lt;=36),'Model inputs'!AB95&lt;=36,IF('Model inputs'!AB95="","",'Model inputs'!AB95&lt;=36))),'Model inputs'!AM57+('Model inputs'!AM58-'Model inputs'!AM57)*('Model inputs'!AB95-30)/6,IF('Model inputs'!AM58="","",'Model inputs'!AM58)))))))))*'Model inputs'!AM60</f>
        <v>151666.66666666666</v>
      </c>
      <c r="AC98" s="23">
        <f>IF((IF(IF(IF(ISERROR('Model inputs'!AC95&lt;=6),'Model inputs'!AC95&lt;=6,IF('Model inputs'!AC95="","",'Model inputs'!AC95&lt;=6))="",FALSE,IF(ISERROR('Model inputs'!AC95&lt;=6),'Model inputs'!AC95&lt;=6,IF('Model inputs'!AC95="","",'Model inputs'!AC95&lt;=6))),'Model inputs'!AM53+('Model inputs'!AM59-'Model inputs'!AM53)*('Model inputs'!AC95-0)/6,IF(IF(IF(ISERROR('Model inputs'!AC95&lt;=12),'Model inputs'!AC95&lt;=12,IF('Model inputs'!AC95="","",'Model inputs'!AC95&lt;=12))="",FALSE,IF(ISERROR('Model inputs'!AC95&lt;=12),'Model inputs'!AC95&lt;=12,IF('Model inputs'!AC95="","",'Model inputs'!AC95&lt;=12))),'Model inputs'!AM59+('Model inputs'!AM54-'Model inputs'!AM59)*('Model inputs'!AC95-6)/6,IF(IF(IF(ISERROR('Model inputs'!AC95&lt;=18),'Model inputs'!AC95&lt;=18,IF('Model inputs'!AC95="","",'Model inputs'!AC95&lt;=18))="",FALSE,IF(ISERROR('Model inputs'!AC95&lt;=18),'Model inputs'!AC95&lt;=18,IF('Model inputs'!AC95="","",'Model inputs'!AC95&lt;=18))),'Model inputs'!AM54+('Model inputs'!AM55-'Model inputs'!AM54)*('Model inputs'!AC95-12)/6,IF(IF(IF(ISERROR('Model inputs'!AC95&lt;=24),'Model inputs'!AC95&lt;=24,IF('Model inputs'!AC95="","",'Model inputs'!AC95&lt;=24))="",FALSE,IF(ISERROR('Model inputs'!AC95&lt;=24),'Model inputs'!AC95&lt;=24,IF('Model inputs'!AC95="","",'Model inputs'!AC95&lt;=24))),'Model inputs'!AM55+('Model inputs'!AM56-'Model inputs'!AM55)*('Model inputs'!AC95-18)/6,IF(IF(IF(ISERROR('Model inputs'!AC95&lt;=30),'Model inputs'!AC95&lt;=30,IF('Model inputs'!AC95="","",'Model inputs'!AC95&lt;=30))="",FALSE,IF(ISERROR('Model inputs'!AC95&lt;=30),'Model inputs'!AC95&lt;=30,IF('Model inputs'!AC95="","",'Model inputs'!AC95&lt;=30))),'Model inputs'!AM56+('Model inputs'!AM57-'Model inputs'!AM56)*('Model inputs'!AC95-24)/6,IF(IF(IF(ISERROR('Model inputs'!AC95&lt;=36),'Model inputs'!AC95&lt;=36,IF('Model inputs'!AC95="","",'Model inputs'!AC95&lt;=36))="",FALSE,IF(ISERROR('Model inputs'!AC95&lt;=36),'Model inputs'!AC95&lt;=36,IF('Model inputs'!AC95="","",'Model inputs'!AC95&lt;=36))),'Model inputs'!AM57+('Model inputs'!AM58-'Model inputs'!AM57)*('Model inputs'!AC95-30)/6,IF('Model inputs'!AM58="","",'Model inputs'!AM58))))))))="",0,(IF(IF(IF(ISERROR('Model inputs'!AC95&lt;=6),'Model inputs'!AC95&lt;=6,IF('Model inputs'!AC95="","",'Model inputs'!AC95&lt;=6))="",FALSE,IF(ISERROR('Model inputs'!AC95&lt;=6),'Model inputs'!AC95&lt;=6,IF('Model inputs'!AC95="","",'Model inputs'!AC95&lt;=6))),'Model inputs'!AM53+('Model inputs'!AM59-'Model inputs'!AM53)*('Model inputs'!AC95-0)/6,IF(IF(IF(ISERROR('Model inputs'!AC95&lt;=12),'Model inputs'!AC95&lt;=12,IF('Model inputs'!AC95="","",'Model inputs'!AC95&lt;=12))="",FALSE,IF(ISERROR('Model inputs'!AC95&lt;=12),'Model inputs'!AC95&lt;=12,IF('Model inputs'!AC95="","",'Model inputs'!AC95&lt;=12))),'Model inputs'!AM59+('Model inputs'!AM54-'Model inputs'!AM59)*('Model inputs'!AC95-6)/6,IF(IF(IF(ISERROR('Model inputs'!AC95&lt;=18),'Model inputs'!AC95&lt;=18,IF('Model inputs'!AC95="","",'Model inputs'!AC95&lt;=18))="",FALSE,IF(ISERROR('Model inputs'!AC95&lt;=18),'Model inputs'!AC95&lt;=18,IF('Model inputs'!AC95="","",'Model inputs'!AC95&lt;=18))),'Model inputs'!AM54+('Model inputs'!AM55-'Model inputs'!AM54)*('Model inputs'!AC95-12)/6,IF(IF(IF(ISERROR('Model inputs'!AC95&lt;=24),'Model inputs'!AC95&lt;=24,IF('Model inputs'!AC95="","",'Model inputs'!AC95&lt;=24))="",FALSE,IF(ISERROR('Model inputs'!AC95&lt;=24),'Model inputs'!AC95&lt;=24,IF('Model inputs'!AC95="","",'Model inputs'!AC95&lt;=24))),'Model inputs'!AM55+('Model inputs'!AM56-'Model inputs'!AM55)*('Model inputs'!AC95-18)/6,IF(IF(IF(ISERROR('Model inputs'!AC95&lt;=30),'Model inputs'!AC95&lt;=30,IF('Model inputs'!AC95="","",'Model inputs'!AC95&lt;=30))="",FALSE,IF(ISERROR('Model inputs'!AC95&lt;=30),'Model inputs'!AC95&lt;=30,IF('Model inputs'!AC95="","",'Model inputs'!AC95&lt;=30))),'Model inputs'!AM56+('Model inputs'!AM57-'Model inputs'!AM56)*('Model inputs'!AC95-24)/6,IF(IF(IF(ISERROR('Model inputs'!AC95&lt;=36),'Model inputs'!AC95&lt;=36,IF('Model inputs'!AC95="","",'Model inputs'!AC95&lt;=36))="",FALSE,IF(ISERROR('Model inputs'!AC95&lt;=36),'Model inputs'!AC95&lt;=36,IF('Model inputs'!AC95="","",'Model inputs'!AC95&lt;=36))),'Model inputs'!AM57+('Model inputs'!AM58-'Model inputs'!AM57)*('Model inputs'!AC95-30)/6,IF('Model inputs'!AM58="","",'Model inputs'!AM58)))))))))*'Model inputs'!AM60</f>
        <v>157500</v>
      </c>
      <c r="AD98" s="23">
        <f>IF((IF(IF(IF(ISERROR('Model inputs'!AD95&lt;=6),'Model inputs'!AD95&lt;=6,IF('Model inputs'!AD95="","",'Model inputs'!AD95&lt;=6))="",FALSE,IF(ISERROR('Model inputs'!AD95&lt;=6),'Model inputs'!AD95&lt;=6,IF('Model inputs'!AD95="","",'Model inputs'!AD95&lt;=6))),'Model inputs'!AM53+('Model inputs'!AM59-'Model inputs'!AM53)*('Model inputs'!AD95-0)/6,IF(IF(IF(ISERROR('Model inputs'!AD95&lt;=12),'Model inputs'!AD95&lt;=12,IF('Model inputs'!AD95="","",'Model inputs'!AD95&lt;=12))="",FALSE,IF(ISERROR('Model inputs'!AD95&lt;=12),'Model inputs'!AD95&lt;=12,IF('Model inputs'!AD95="","",'Model inputs'!AD95&lt;=12))),'Model inputs'!AM59+('Model inputs'!AM54-'Model inputs'!AM59)*('Model inputs'!AD95-6)/6,IF(IF(IF(ISERROR('Model inputs'!AD95&lt;=18),'Model inputs'!AD95&lt;=18,IF('Model inputs'!AD95="","",'Model inputs'!AD95&lt;=18))="",FALSE,IF(ISERROR('Model inputs'!AD95&lt;=18),'Model inputs'!AD95&lt;=18,IF('Model inputs'!AD95="","",'Model inputs'!AD95&lt;=18))),'Model inputs'!AM54+('Model inputs'!AM55-'Model inputs'!AM54)*('Model inputs'!AD95-12)/6,IF(IF(IF(ISERROR('Model inputs'!AD95&lt;=24),'Model inputs'!AD95&lt;=24,IF('Model inputs'!AD95="","",'Model inputs'!AD95&lt;=24))="",FALSE,IF(ISERROR('Model inputs'!AD95&lt;=24),'Model inputs'!AD95&lt;=24,IF('Model inputs'!AD95="","",'Model inputs'!AD95&lt;=24))),'Model inputs'!AM55+('Model inputs'!AM56-'Model inputs'!AM55)*('Model inputs'!AD95-18)/6,IF(IF(IF(ISERROR('Model inputs'!AD95&lt;=30),'Model inputs'!AD95&lt;=30,IF('Model inputs'!AD95="","",'Model inputs'!AD95&lt;=30))="",FALSE,IF(ISERROR('Model inputs'!AD95&lt;=30),'Model inputs'!AD95&lt;=30,IF('Model inputs'!AD95="","",'Model inputs'!AD95&lt;=30))),'Model inputs'!AM56+('Model inputs'!AM57-'Model inputs'!AM56)*('Model inputs'!AD95-24)/6,IF(IF(IF(ISERROR('Model inputs'!AD95&lt;=36),'Model inputs'!AD95&lt;=36,IF('Model inputs'!AD95="","",'Model inputs'!AD95&lt;=36))="",FALSE,IF(ISERROR('Model inputs'!AD95&lt;=36),'Model inputs'!AD95&lt;=36,IF('Model inputs'!AD95="","",'Model inputs'!AD95&lt;=36))),'Model inputs'!AM57+('Model inputs'!AM58-'Model inputs'!AM57)*('Model inputs'!AD95-30)/6,IF('Model inputs'!AM58="","",'Model inputs'!AM58))))))))="",0,(IF(IF(IF(ISERROR('Model inputs'!AD95&lt;=6),'Model inputs'!AD95&lt;=6,IF('Model inputs'!AD95="","",'Model inputs'!AD95&lt;=6))="",FALSE,IF(ISERROR('Model inputs'!AD95&lt;=6),'Model inputs'!AD95&lt;=6,IF('Model inputs'!AD95="","",'Model inputs'!AD95&lt;=6))),'Model inputs'!AM53+('Model inputs'!AM59-'Model inputs'!AM53)*('Model inputs'!AD95-0)/6,IF(IF(IF(ISERROR('Model inputs'!AD95&lt;=12),'Model inputs'!AD95&lt;=12,IF('Model inputs'!AD95="","",'Model inputs'!AD95&lt;=12))="",FALSE,IF(ISERROR('Model inputs'!AD95&lt;=12),'Model inputs'!AD95&lt;=12,IF('Model inputs'!AD95="","",'Model inputs'!AD95&lt;=12))),'Model inputs'!AM59+('Model inputs'!AM54-'Model inputs'!AM59)*('Model inputs'!AD95-6)/6,IF(IF(IF(ISERROR('Model inputs'!AD95&lt;=18),'Model inputs'!AD95&lt;=18,IF('Model inputs'!AD95="","",'Model inputs'!AD95&lt;=18))="",FALSE,IF(ISERROR('Model inputs'!AD95&lt;=18),'Model inputs'!AD95&lt;=18,IF('Model inputs'!AD95="","",'Model inputs'!AD95&lt;=18))),'Model inputs'!AM54+('Model inputs'!AM55-'Model inputs'!AM54)*('Model inputs'!AD95-12)/6,IF(IF(IF(ISERROR('Model inputs'!AD95&lt;=24),'Model inputs'!AD95&lt;=24,IF('Model inputs'!AD95="","",'Model inputs'!AD95&lt;=24))="",FALSE,IF(ISERROR('Model inputs'!AD95&lt;=24),'Model inputs'!AD95&lt;=24,IF('Model inputs'!AD95="","",'Model inputs'!AD95&lt;=24))),'Model inputs'!AM55+('Model inputs'!AM56-'Model inputs'!AM55)*('Model inputs'!AD95-18)/6,IF(IF(IF(ISERROR('Model inputs'!AD95&lt;=30),'Model inputs'!AD95&lt;=30,IF('Model inputs'!AD95="","",'Model inputs'!AD95&lt;=30))="",FALSE,IF(ISERROR('Model inputs'!AD95&lt;=30),'Model inputs'!AD95&lt;=30,IF('Model inputs'!AD95="","",'Model inputs'!AD95&lt;=30))),'Model inputs'!AM56+('Model inputs'!AM57-'Model inputs'!AM56)*('Model inputs'!AD95-24)/6,IF(IF(IF(ISERROR('Model inputs'!AD95&lt;=36),'Model inputs'!AD95&lt;=36,IF('Model inputs'!AD95="","",'Model inputs'!AD95&lt;=36))="",FALSE,IF(ISERROR('Model inputs'!AD95&lt;=36),'Model inputs'!AD95&lt;=36,IF('Model inputs'!AD95="","",'Model inputs'!AD95&lt;=36))),'Model inputs'!AM57+('Model inputs'!AM58-'Model inputs'!AM57)*('Model inputs'!AD95-30)/6,IF('Model inputs'!AM58="","",'Model inputs'!AM58)))))))))*'Model inputs'!AM60</f>
        <v>163333.33333333334</v>
      </c>
      <c r="AE98" s="23">
        <f>IF((IF(IF(IF(ISERROR('Model inputs'!AE95&lt;=6),'Model inputs'!AE95&lt;=6,IF('Model inputs'!AE95="","",'Model inputs'!AE95&lt;=6))="",FALSE,IF(ISERROR('Model inputs'!AE95&lt;=6),'Model inputs'!AE95&lt;=6,IF('Model inputs'!AE95="","",'Model inputs'!AE95&lt;=6))),'Model inputs'!AM53+('Model inputs'!AM59-'Model inputs'!AM53)*('Model inputs'!AE95-0)/6,IF(IF(IF(ISERROR('Model inputs'!AE95&lt;=12),'Model inputs'!AE95&lt;=12,IF('Model inputs'!AE95="","",'Model inputs'!AE95&lt;=12))="",FALSE,IF(ISERROR('Model inputs'!AE95&lt;=12),'Model inputs'!AE95&lt;=12,IF('Model inputs'!AE95="","",'Model inputs'!AE95&lt;=12))),'Model inputs'!AM59+('Model inputs'!AM54-'Model inputs'!AM59)*('Model inputs'!AE95-6)/6,IF(IF(IF(ISERROR('Model inputs'!AE95&lt;=18),'Model inputs'!AE95&lt;=18,IF('Model inputs'!AE95="","",'Model inputs'!AE95&lt;=18))="",FALSE,IF(ISERROR('Model inputs'!AE95&lt;=18),'Model inputs'!AE95&lt;=18,IF('Model inputs'!AE95="","",'Model inputs'!AE95&lt;=18))),'Model inputs'!AM54+('Model inputs'!AM55-'Model inputs'!AM54)*('Model inputs'!AE95-12)/6,IF(IF(IF(ISERROR('Model inputs'!AE95&lt;=24),'Model inputs'!AE95&lt;=24,IF('Model inputs'!AE95="","",'Model inputs'!AE95&lt;=24))="",FALSE,IF(ISERROR('Model inputs'!AE95&lt;=24),'Model inputs'!AE95&lt;=24,IF('Model inputs'!AE95="","",'Model inputs'!AE95&lt;=24))),'Model inputs'!AM55+('Model inputs'!AM56-'Model inputs'!AM55)*('Model inputs'!AE95-18)/6,IF(IF(IF(ISERROR('Model inputs'!AE95&lt;=30),'Model inputs'!AE95&lt;=30,IF('Model inputs'!AE95="","",'Model inputs'!AE95&lt;=30))="",FALSE,IF(ISERROR('Model inputs'!AE95&lt;=30),'Model inputs'!AE95&lt;=30,IF('Model inputs'!AE95="","",'Model inputs'!AE95&lt;=30))),'Model inputs'!AM56+('Model inputs'!AM57-'Model inputs'!AM56)*('Model inputs'!AE95-24)/6,IF(IF(IF(ISERROR('Model inputs'!AE95&lt;=36),'Model inputs'!AE95&lt;=36,IF('Model inputs'!AE95="","",'Model inputs'!AE95&lt;=36))="",FALSE,IF(ISERROR('Model inputs'!AE95&lt;=36),'Model inputs'!AE95&lt;=36,IF('Model inputs'!AE95="","",'Model inputs'!AE95&lt;=36))),'Model inputs'!AM57+('Model inputs'!AM58-'Model inputs'!AM57)*('Model inputs'!AE95-30)/6,IF('Model inputs'!AM58="","",'Model inputs'!AM58))))))))="",0,(IF(IF(IF(ISERROR('Model inputs'!AE95&lt;=6),'Model inputs'!AE95&lt;=6,IF('Model inputs'!AE95="","",'Model inputs'!AE95&lt;=6))="",FALSE,IF(ISERROR('Model inputs'!AE95&lt;=6),'Model inputs'!AE95&lt;=6,IF('Model inputs'!AE95="","",'Model inputs'!AE95&lt;=6))),'Model inputs'!AM53+('Model inputs'!AM59-'Model inputs'!AM53)*('Model inputs'!AE95-0)/6,IF(IF(IF(ISERROR('Model inputs'!AE95&lt;=12),'Model inputs'!AE95&lt;=12,IF('Model inputs'!AE95="","",'Model inputs'!AE95&lt;=12))="",FALSE,IF(ISERROR('Model inputs'!AE95&lt;=12),'Model inputs'!AE95&lt;=12,IF('Model inputs'!AE95="","",'Model inputs'!AE95&lt;=12))),'Model inputs'!AM59+('Model inputs'!AM54-'Model inputs'!AM59)*('Model inputs'!AE95-6)/6,IF(IF(IF(ISERROR('Model inputs'!AE95&lt;=18),'Model inputs'!AE95&lt;=18,IF('Model inputs'!AE95="","",'Model inputs'!AE95&lt;=18))="",FALSE,IF(ISERROR('Model inputs'!AE95&lt;=18),'Model inputs'!AE95&lt;=18,IF('Model inputs'!AE95="","",'Model inputs'!AE95&lt;=18))),'Model inputs'!AM54+('Model inputs'!AM55-'Model inputs'!AM54)*('Model inputs'!AE95-12)/6,IF(IF(IF(ISERROR('Model inputs'!AE95&lt;=24),'Model inputs'!AE95&lt;=24,IF('Model inputs'!AE95="","",'Model inputs'!AE95&lt;=24))="",FALSE,IF(ISERROR('Model inputs'!AE95&lt;=24),'Model inputs'!AE95&lt;=24,IF('Model inputs'!AE95="","",'Model inputs'!AE95&lt;=24))),'Model inputs'!AM55+('Model inputs'!AM56-'Model inputs'!AM55)*('Model inputs'!AE95-18)/6,IF(IF(IF(ISERROR('Model inputs'!AE95&lt;=30),'Model inputs'!AE95&lt;=30,IF('Model inputs'!AE95="","",'Model inputs'!AE95&lt;=30))="",FALSE,IF(ISERROR('Model inputs'!AE95&lt;=30),'Model inputs'!AE95&lt;=30,IF('Model inputs'!AE95="","",'Model inputs'!AE95&lt;=30))),'Model inputs'!AM56+('Model inputs'!AM57-'Model inputs'!AM56)*('Model inputs'!AE95-24)/6,IF(IF(IF(ISERROR('Model inputs'!AE95&lt;=36),'Model inputs'!AE95&lt;=36,IF('Model inputs'!AE95="","",'Model inputs'!AE95&lt;=36))="",FALSE,IF(ISERROR('Model inputs'!AE95&lt;=36),'Model inputs'!AE95&lt;=36,IF('Model inputs'!AE95="","",'Model inputs'!AE95&lt;=36))),'Model inputs'!AM57+('Model inputs'!AM58-'Model inputs'!AM57)*('Model inputs'!AE95-30)/6,IF('Model inputs'!AM58="","",'Model inputs'!AM58)))))))))*'Model inputs'!AM60</f>
        <v>169166.66666666666</v>
      </c>
      <c r="AF98" s="23">
        <f>IF((IF(IF(IF(ISERROR('Model inputs'!AF95&lt;=6),'Model inputs'!AF95&lt;=6,IF('Model inputs'!AF95="","",'Model inputs'!AF95&lt;=6))="",FALSE,IF(ISERROR('Model inputs'!AF95&lt;=6),'Model inputs'!AF95&lt;=6,IF('Model inputs'!AF95="","",'Model inputs'!AF95&lt;=6))),'Model inputs'!AM53+('Model inputs'!AM59-'Model inputs'!AM53)*('Model inputs'!AF95-0)/6,IF(IF(IF(ISERROR('Model inputs'!AF95&lt;=12),'Model inputs'!AF95&lt;=12,IF('Model inputs'!AF95="","",'Model inputs'!AF95&lt;=12))="",FALSE,IF(ISERROR('Model inputs'!AF95&lt;=12),'Model inputs'!AF95&lt;=12,IF('Model inputs'!AF95="","",'Model inputs'!AF95&lt;=12))),'Model inputs'!AM59+('Model inputs'!AM54-'Model inputs'!AM59)*('Model inputs'!AF95-6)/6,IF(IF(IF(ISERROR('Model inputs'!AF95&lt;=18),'Model inputs'!AF95&lt;=18,IF('Model inputs'!AF95="","",'Model inputs'!AF95&lt;=18))="",FALSE,IF(ISERROR('Model inputs'!AF95&lt;=18),'Model inputs'!AF95&lt;=18,IF('Model inputs'!AF95="","",'Model inputs'!AF95&lt;=18))),'Model inputs'!AM54+('Model inputs'!AM55-'Model inputs'!AM54)*('Model inputs'!AF95-12)/6,IF(IF(IF(ISERROR('Model inputs'!AF95&lt;=24),'Model inputs'!AF95&lt;=24,IF('Model inputs'!AF95="","",'Model inputs'!AF95&lt;=24))="",FALSE,IF(ISERROR('Model inputs'!AF95&lt;=24),'Model inputs'!AF95&lt;=24,IF('Model inputs'!AF95="","",'Model inputs'!AF95&lt;=24))),'Model inputs'!AM55+('Model inputs'!AM56-'Model inputs'!AM55)*('Model inputs'!AF95-18)/6,IF(IF(IF(ISERROR('Model inputs'!AF95&lt;=30),'Model inputs'!AF95&lt;=30,IF('Model inputs'!AF95="","",'Model inputs'!AF95&lt;=30))="",FALSE,IF(ISERROR('Model inputs'!AF95&lt;=30),'Model inputs'!AF95&lt;=30,IF('Model inputs'!AF95="","",'Model inputs'!AF95&lt;=30))),'Model inputs'!AM56+('Model inputs'!AM57-'Model inputs'!AM56)*('Model inputs'!AF95-24)/6,IF(IF(IF(ISERROR('Model inputs'!AF95&lt;=36),'Model inputs'!AF95&lt;=36,IF('Model inputs'!AF95="","",'Model inputs'!AF95&lt;=36))="",FALSE,IF(ISERROR('Model inputs'!AF95&lt;=36),'Model inputs'!AF95&lt;=36,IF('Model inputs'!AF95="","",'Model inputs'!AF95&lt;=36))),'Model inputs'!AM57+('Model inputs'!AM58-'Model inputs'!AM57)*('Model inputs'!AF95-30)/6,IF('Model inputs'!AM58="","",'Model inputs'!AM58))))))))="",0,(IF(IF(IF(ISERROR('Model inputs'!AF95&lt;=6),'Model inputs'!AF95&lt;=6,IF('Model inputs'!AF95="","",'Model inputs'!AF95&lt;=6))="",FALSE,IF(ISERROR('Model inputs'!AF95&lt;=6),'Model inputs'!AF95&lt;=6,IF('Model inputs'!AF95="","",'Model inputs'!AF95&lt;=6))),'Model inputs'!AM53+('Model inputs'!AM59-'Model inputs'!AM53)*('Model inputs'!AF95-0)/6,IF(IF(IF(ISERROR('Model inputs'!AF95&lt;=12),'Model inputs'!AF95&lt;=12,IF('Model inputs'!AF95="","",'Model inputs'!AF95&lt;=12))="",FALSE,IF(ISERROR('Model inputs'!AF95&lt;=12),'Model inputs'!AF95&lt;=12,IF('Model inputs'!AF95="","",'Model inputs'!AF95&lt;=12))),'Model inputs'!AM59+('Model inputs'!AM54-'Model inputs'!AM59)*('Model inputs'!AF95-6)/6,IF(IF(IF(ISERROR('Model inputs'!AF95&lt;=18),'Model inputs'!AF95&lt;=18,IF('Model inputs'!AF95="","",'Model inputs'!AF95&lt;=18))="",FALSE,IF(ISERROR('Model inputs'!AF95&lt;=18),'Model inputs'!AF95&lt;=18,IF('Model inputs'!AF95="","",'Model inputs'!AF95&lt;=18))),'Model inputs'!AM54+('Model inputs'!AM55-'Model inputs'!AM54)*('Model inputs'!AF95-12)/6,IF(IF(IF(ISERROR('Model inputs'!AF95&lt;=24),'Model inputs'!AF95&lt;=24,IF('Model inputs'!AF95="","",'Model inputs'!AF95&lt;=24))="",FALSE,IF(ISERROR('Model inputs'!AF95&lt;=24),'Model inputs'!AF95&lt;=24,IF('Model inputs'!AF95="","",'Model inputs'!AF95&lt;=24))),'Model inputs'!AM55+('Model inputs'!AM56-'Model inputs'!AM55)*('Model inputs'!AF95-18)/6,IF(IF(IF(ISERROR('Model inputs'!AF95&lt;=30),'Model inputs'!AF95&lt;=30,IF('Model inputs'!AF95="","",'Model inputs'!AF95&lt;=30))="",FALSE,IF(ISERROR('Model inputs'!AF95&lt;=30),'Model inputs'!AF95&lt;=30,IF('Model inputs'!AF95="","",'Model inputs'!AF95&lt;=30))),'Model inputs'!AM56+('Model inputs'!AM57-'Model inputs'!AM56)*('Model inputs'!AF95-24)/6,IF(IF(IF(ISERROR('Model inputs'!AF95&lt;=36),'Model inputs'!AF95&lt;=36,IF('Model inputs'!AF95="","",'Model inputs'!AF95&lt;=36))="",FALSE,IF(ISERROR('Model inputs'!AF95&lt;=36),'Model inputs'!AF95&lt;=36,IF('Model inputs'!AF95="","",'Model inputs'!AF95&lt;=36))),'Model inputs'!AM57+('Model inputs'!AM58-'Model inputs'!AM57)*('Model inputs'!AF95-30)/6,IF('Model inputs'!AM58="","",'Model inputs'!AM58)))))))))*'Model inputs'!AM60</f>
        <v>175000</v>
      </c>
      <c r="AG98" s="23">
        <f>IF((IF(IF(IF(ISERROR('Model inputs'!AG95&lt;=6),'Model inputs'!AG95&lt;=6,IF('Model inputs'!AG95="","",'Model inputs'!AG95&lt;=6))="",FALSE,IF(ISERROR('Model inputs'!AG95&lt;=6),'Model inputs'!AG95&lt;=6,IF('Model inputs'!AG95="","",'Model inputs'!AG95&lt;=6))),'Model inputs'!AM53+('Model inputs'!AM59-'Model inputs'!AM53)*('Model inputs'!AG95-0)/6,IF(IF(IF(ISERROR('Model inputs'!AG95&lt;=12),'Model inputs'!AG95&lt;=12,IF('Model inputs'!AG95="","",'Model inputs'!AG95&lt;=12))="",FALSE,IF(ISERROR('Model inputs'!AG95&lt;=12),'Model inputs'!AG95&lt;=12,IF('Model inputs'!AG95="","",'Model inputs'!AG95&lt;=12))),'Model inputs'!AM59+('Model inputs'!AM54-'Model inputs'!AM59)*('Model inputs'!AG95-6)/6,IF(IF(IF(ISERROR('Model inputs'!AG95&lt;=18),'Model inputs'!AG95&lt;=18,IF('Model inputs'!AG95="","",'Model inputs'!AG95&lt;=18))="",FALSE,IF(ISERROR('Model inputs'!AG95&lt;=18),'Model inputs'!AG95&lt;=18,IF('Model inputs'!AG95="","",'Model inputs'!AG95&lt;=18))),'Model inputs'!AM54+('Model inputs'!AM55-'Model inputs'!AM54)*('Model inputs'!AG95-12)/6,IF(IF(IF(ISERROR('Model inputs'!AG95&lt;=24),'Model inputs'!AG95&lt;=24,IF('Model inputs'!AG95="","",'Model inputs'!AG95&lt;=24))="",FALSE,IF(ISERROR('Model inputs'!AG95&lt;=24),'Model inputs'!AG95&lt;=24,IF('Model inputs'!AG95="","",'Model inputs'!AG95&lt;=24))),'Model inputs'!AM55+('Model inputs'!AM56-'Model inputs'!AM55)*('Model inputs'!AG95-18)/6,IF(IF(IF(ISERROR('Model inputs'!AG95&lt;=30),'Model inputs'!AG95&lt;=30,IF('Model inputs'!AG95="","",'Model inputs'!AG95&lt;=30))="",FALSE,IF(ISERROR('Model inputs'!AG95&lt;=30),'Model inputs'!AG95&lt;=30,IF('Model inputs'!AG95="","",'Model inputs'!AG95&lt;=30))),'Model inputs'!AM56+('Model inputs'!AM57-'Model inputs'!AM56)*('Model inputs'!AG95-24)/6,IF(IF(IF(ISERROR('Model inputs'!AG95&lt;=36),'Model inputs'!AG95&lt;=36,IF('Model inputs'!AG95="","",'Model inputs'!AG95&lt;=36))="",FALSE,IF(ISERROR('Model inputs'!AG95&lt;=36),'Model inputs'!AG95&lt;=36,IF('Model inputs'!AG95="","",'Model inputs'!AG95&lt;=36))),'Model inputs'!AM57+('Model inputs'!AM58-'Model inputs'!AM57)*('Model inputs'!AG95-30)/6,IF('Model inputs'!AM58="","",'Model inputs'!AM58))))))))="",0,(IF(IF(IF(ISERROR('Model inputs'!AG95&lt;=6),'Model inputs'!AG95&lt;=6,IF('Model inputs'!AG95="","",'Model inputs'!AG95&lt;=6))="",FALSE,IF(ISERROR('Model inputs'!AG95&lt;=6),'Model inputs'!AG95&lt;=6,IF('Model inputs'!AG95="","",'Model inputs'!AG95&lt;=6))),'Model inputs'!AM53+('Model inputs'!AM59-'Model inputs'!AM53)*('Model inputs'!AG95-0)/6,IF(IF(IF(ISERROR('Model inputs'!AG95&lt;=12),'Model inputs'!AG95&lt;=12,IF('Model inputs'!AG95="","",'Model inputs'!AG95&lt;=12))="",FALSE,IF(ISERROR('Model inputs'!AG95&lt;=12),'Model inputs'!AG95&lt;=12,IF('Model inputs'!AG95="","",'Model inputs'!AG95&lt;=12))),'Model inputs'!AM59+('Model inputs'!AM54-'Model inputs'!AM59)*('Model inputs'!AG95-6)/6,IF(IF(IF(ISERROR('Model inputs'!AG95&lt;=18),'Model inputs'!AG95&lt;=18,IF('Model inputs'!AG95="","",'Model inputs'!AG95&lt;=18))="",FALSE,IF(ISERROR('Model inputs'!AG95&lt;=18),'Model inputs'!AG95&lt;=18,IF('Model inputs'!AG95="","",'Model inputs'!AG95&lt;=18))),'Model inputs'!AM54+('Model inputs'!AM55-'Model inputs'!AM54)*('Model inputs'!AG95-12)/6,IF(IF(IF(ISERROR('Model inputs'!AG95&lt;=24),'Model inputs'!AG95&lt;=24,IF('Model inputs'!AG95="","",'Model inputs'!AG95&lt;=24))="",FALSE,IF(ISERROR('Model inputs'!AG95&lt;=24),'Model inputs'!AG95&lt;=24,IF('Model inputs'!AG95="","",'Model inputs'!AG95&lt;=24))),'Model inputs'!AM55+('Model inputs'!AM56-'Model inputs'!AM55)*('Model inputs'!AG95-18)/6,IF(IF(IF(ISERROR('Model inputs'!AG95&lt;=30),'Model inputs'!AG95&lt;=30,IF('Model inputs'!AG95="","",'Model inputs'!AG95&lt;=30))="",FALSE,IF(ISERROR('Model inputs'!AG95&lt;=30),'Model inputs'!AG95&lt;=30,IF('Model inputs'!AG95="","",'Model inputs'!AG95&lt;=30))),'Model inputs'!AM56+('Model inputs'!AM57-'Model inputs'!AM56)*('Model inputs'!AG95-24)/6,IF(IF(IF(ISERROR('Model inputs'!AG95&lt;=36),'Model inputs'!AG95&lt;=36,IF('Model inputs'!AG95="","",'Model inputs'!AG95&lt;=36))="",FALSE,IF(ISERROR('Model inputs'!AG95&lt;=36),'Model inputs'!AG95&lt;=36,IF('Model inputs'!AG95="","",'Model inputs'!AG95&lt;=36))),'Model inputs'!AM57+('Model inputs'!AM58-'Model inputs'!AM57)*('Model inputs'!AG95-30)/6,IF('Model inputs'!AM58="","",'Model inputs'!AM58)))))))))*'Model inputs'!AM60</f>
        <v>180000</v>
      </c>
      <c r="AH98" s="23">
        <f>IF((IF(IF(IF(ISERROR('Model inputs'!AH95&lt;=6),'Model inputs'!AH95&lt;=6,IF('Model inputs'!AH95="","",'Model inputs'!AH95&lt;=6))="",FALSE,IF(ISERROR('Model inputs'!AH95&lt;=6),'Model inputs'!AH95&lt;=6,IF('Model inputs'!AH95="","",'Model inputs'!AH95&lt;=6))),'Model inputs'!AM53+('Model inputs'!AM59-'Model inputs'!AM53)*('Model inputs'!AH95-0)/6,IF(IF(IF(ISERROR('Model inputs'!AH95&lt;=12),'Model inputs'!AH95&lt;=12,IF('Model inputs'!AH95="","",'Model inputs'!AH95&lt;=12))="",FALSE,IF(ISERROR('Model inputs'!AH95&lt;=12),'Model inputs'!AH95&lt;=12,IF('Model inputs'!AH95="","",'Model inputs'!AH95&lt;=12))),'Model inputs'!AM59+('Model inputs'!AM54-'Model inputs'!AM59)*('Model inputs'!AH95-6)/6,IF(IF(IF(ISERROR('Model inputs'!AH95&lt;=18),'Model inputs'!AH95&lt;=18,IF('Model inputs'!AH95="","",'Model inputs'!AH95&lt;=18))="",FALSE,IF(ISERROR('Model inputs'!AH95&lt;=18),'Model inputs'!AH95&lt;=18,IF('Model inputs'!AH95="","",'Model inputs'!AH95&lt;=18))),'Model inputs'!AM54+('Model inputs'!AM55-'Model inputs'!AM54)*('Model inputs'!AH95-12)/6,IF(IF(IF(ISERROR('Model inputs'!AH95&lt;=24),'Model inputs'!AH95&lt;=24,IF('Model inputs'!AH95="","",'Model inputs'!AH95&lt;=24))="",FALSE,IF(ISERROR('Model inputs'!AH95&lt;=24),'Model inputs'!AH95&lt;=24,IF('Model inputs'!AH95="","",'Model inputs'!AH95&lt;=24))),'Model inputs'!AM55+('Model inputs'!AM56-'Model inputs'!AM55)*('Model inputs'!AH95-18)/6,IF(IF(IF(ISERROR('Model inputs'!AH95&lt;=30),'Model inputs'!AH95&lt;=30,IF('Model inputs'!AH95="","",'Model inputs'!AH95&lt;=30))="",FALSE,IF(ISERROR('Model inputs'!AH95&lt;=30),'Model inputs'!AH95&lt;=30,IF('Model inputs'!AH95="","",'Model inputs'!AH95&lt;=30))),'Model inputs'!AM56+('Model inputs'!AM57-'Model inputs'!AM56)*('Model inputs'!AH95-24)/6,IF(IF(IF(ISERROR('Model inputs'!AH95&lt;=36),'Model inputs'!AH95&lt;=36,IF('Model inputs'!AH95="","",'Model inputs'!AH95&lt;=36))="",FALSE,IF(ISERROR('Model inputs'!AH95&lt;=36),'Model inputs'!AH95&lt;=36,IF('Model inputs'!AH95="","",'Model inputs'!AH95&lt;=36))),'Model inputs'!AM57+('Model inputs'!AM58-'Model inputs'!AM57)*('Model inputs'!AH95-30)/6,IF('Model inputs'!AM58="","",'Model inputs'!AM58))))))))="",0,(IF(IF(IF(ISERROR('Model inputs'!AH95&lt;=6),'Model inputs'!AH95&lt;=6,IF('Model inputs'!AH95="","",'Model inputs'!AH95&lt;=6))="",FALSE,IF(ISERROR('Model inputs'!AH95&lt;=6),'Model inputs'!AH95&lt;=6,IF('Model inputs'!AH95="","",'Model inputs'!AH95&lt;=6))),'Model inputs'!AM53+('Model inputs'!AM59-'Model inputs'!AM53)*('Model inputs'!AH95-0)/6,IF(IF(IF(ISERROR('Model inputs'!AH95&lt;=12),'Model inputs'!AH95&lt;=12,IF('Model inputs'!AH95="","",'Model inputs'!AH95&lt;=12))="",FALSE,IF(ISERROR('Model inputs'!AH95&lt;=12),'Model inputs'!AH95&lt;=12,IF('Model inputs'!AH95="","",'Model inputs'!AH95&lt;=12))),'Model inputs'!AM59+('Model inputs'!AM54-'Model inputs'!AM59)*('Model inputs'!AH95-6)/6,IF(IF(IF(ISERROR('Model inputs'!AH95&lt;=18),'Model inputs'!AH95&lt;=18,IF('Model inputs'!AH95="","",'Model inputs'!AH95&lt;=18))="",FALSE,IF(ISERROR('Model inputs'!AH95&lt;=18),'Model inputs'!AH95&lt;=18,IF('Model inputs'!AH95="","",'Model inputs'!AH95&lt;=18))),'Model inputs'!AM54+('Model inputs'!AM55-'Model inputs'!AM54)*('Model inputs'!AH95-12)/6,IF(IF(IF(ISERROR('Model inputs'!AH95&lt;=24),'Model inputs'!AH95&lt;=24,IF('Model inputs'!AH95="","",'Model inputs'!AH95&lt;=24))="",FALSE,IF(ISERROR('Model inputs'!AH95&lt;=24),'Model inputs'!AH95&lt;=24,IF('Model inputs'!AH95="","",'Model inputs'!AH95&lt;=24))),'Model inputs'!AM55+('Model inputs'!AM56-'Model inputs'!AM55)*('Model inputs'!AH95-18)/6,IF(IF(IF(ISERROR('Model inputs'!AH95&lt;=30),'Model inputs'!AH95&lt;=30,IF('Model inputs'!AH95="","",'Model inputs'!AH95&lt;=30))="",FALSE,IF(ISERROR('Model inputs'!AH95&lt;=30),'Model inputs'!AH95&lt;=30,IF('Model inputs'!AH95="","",'Model inputs'!AH95&lt;=30))),'Model inputs'!AM56+('Model inputs'!AM57-'Model inputs'!AM56)*('Model inputs'!AH95-24)/6,IF(IF(IF(ISERROR('Model inputs'!AH95&lt;=36),'Model inputs'!AH95&lt;=36,IF('Model inputs'!AH95="","",'Model inputs'!AH95&lt;=36))="",FALSE,IF(ISERROR('Model inputs'!AH95&lt;=36),'Model inputs'!AH95&lt;=36,IF('Model inputs'!AH95="","",'Model inputs'!AH95&lt;=36))),'Model inputs'!AM57+('Model inputs'!AM58-'Model inputs'!AM57)*('Model inputs'!AH95-30)/6,IF('Model inputs'!AM58="","",'Model inputs'!AM58)))))))))*'Model inputs'!AM60</f>
        <v>185000</v>
      </c>
      <c r="AI98" s="23">
        <f>IF((IF(IF(IF(ISERROR('Model inputs'!AI95&lt;=6),'Model inputs'!AI95&lt;=6,IF('Model inputs'!AI95="","",'Model inputs'!AI95&lt;=6))="",FALSE,IF(ISERROR('Model inputs'!AI95&lt;=6),'Model inputs'!AI95&lt;=6,IF('Model inputs'!AI95="","",'Model inputs'!AI95&lt;=6))),'Model inputs'!AM53+('Model inputs'!AM59-'Model inputs'!AM53)*('Model inputs'!AI95-0)/6,IF(IF(IF(ISERROR('Model inputs'!AI95&lt;=12),'Model inputs'!AI95&lt;=12,IF('Model inputs'!AI95="","",'Model inputs'!AI95&lt;=12))="",FALSE,IF(ISERROR('Model inputs'!AI95&lt;=12),'Model inputs'!AI95&lt;=12,IF('Model inputs'!AI95="","",'Model inputs'!AI95&lt;=12))),'Model inputs'!AM59+('Model inputs'!AM54-'Model inputs'!AM59)*('Model inputs'!AI95-6)/6,IF(IF(IF(ISERROR('Model inputs'!AI95&lt;=18),'Model inputs'!AI95&lt;=18,IF('Model inputs'!AI95="","",'Model inputs'!AI95&lt;=18))="",FALSE,IF(ISERROR('Model inputs'!AI95&lt;=18),'Model inputs'!AI95&lt;=18,IF('Model inputs'!AI95="","",'Model inputs'!AI95&lt;=18))),'Model inputs'!AM54+('Model inputs'!AM55-'Model inputs'!AM54)*('Model inputs'!AI95-12)/6,IF(IF(IF(ISERROR('Model inputs'!AI95&lt;=24),'Model inputs'!AI95&lt;=24,IF('Model inputs'!AI95="","",'Model inputs'!AI95&lt;=24))="",FALSE,IF(ISERROR('Model inputs'!AI95&lt;=24),'Model inputs'!AI95&lt;=24,IF('Model inputs'!AI95="","",'Model inputs'!AI95&lt;=24))),'Model inputs'!AM55+('Model inputs'!AM56-'Model inputs'!AM55)*('Model inputs'!AI95-18)/6,IF(IF(IF(ISERROR('Model inputs'!AI95&lt;=30),'Model inputs'!AI95&lt;=30,IF('Model inputs'!AI95="","",'Model inputs'!AI95&lt;=30))="",FALSE,IF(ISERROR('Model inputs'!AI95&lt;=30),'Model inputs'!AI95&lt;=30,IF('Model inputs'!AI95="","",'Model inputs'!AI95&lt;=30))),'Model inputs'!AM56+('Model inputs'!AM57-'Model inputs'!AM56)*('Model inputs'!AI95-24)/6,IF(IF(IF(ISERROR('Model inputs'!AI95&lt;=36),'Model inputs'!AI95&lt;=36,IF('Model inputs'!AI95="","",'Model inputs'!AI95&lt;=36))="",FALSE,IF(ISERROR('Model inputs'!AI95&lt;=36),'Model inputs'!AI95&lt;=36,IF('Model inputs'!AI95="","",'Model inputs'!AI95&lt;=36))),'Model inputs'!AM57+('Model inputs'!AM58-'Model inputs'!AM57)*('Model inputs'!AI95-30)/6,IF('Model inputs'!AM58="","",'Model inputs'!AM58))))))))="",0,(IF(IF(IF(ISERROR('Model inputs'!AI95&lt;=6),'Model inputs'!AI95&lt;=6,IF('Model inputs'!AI95="","",'Model inputs'!AI95&lt;=6))="",FALSE,IF(ISERROR('Model inputs'!AI95&lt;=6),'Model inputs'!AI95&lt;=6,IF('Model inputs'!AI95="","",'Model inputs'!AI95&lt;=6))),'Model inputs'!AM53+('Model inputs'!AM59-'Model inputs'!AM53)*('Model inputs'!AI95-0)/6,IF(IF(IF(ISERROR('Model inputs'!AI95&lt;=12),'Model inputs'!AI95&lt;=12,IF('Model inputs'!AI95="","",'Model inputs'!AI95&lt;=12))="",FALSE,IF(ISERROR('Model inputs'!AI95&lt;=12),'Model inputs'!AI95&lt;=12,IF('Model inputs'!AI95="","",'Model inputs'!AI95&lt;=12))),'Model inputs'!AM59+('Model inputs'!AM54-'Model inputs'!AM59)*('Model inputs'!AI95-6)/6,IF(IF(IF(ISERROR('Model inputs'!AI95&lt;=18),'Model inputs'!AI95&lt;=18,IF('Model inputs'!AI95="","",'Model inputs'!AI95&lt;=18))="",FALSE,IF(ISERROR('Model inputs'!AI95&lt;=18),'Model inputs'!AI95&lt;=18,IF('Model inputs'!AI95="","",'Model inputs'!AI95&lt;=18))),'Model inputs'!AM54+('Model inputs'!AM55-'Model inputs'!AM54)*('Model inputs'!AI95-12)/6,IF(IF(IF(ISERROR('Model inputs'!AI95&lt;=24),'Model inputs'!AI95&lt;=24,IF('Model inputs'!AI95="","",'Model inputs'!AI95&lt;=24))="",FALSE,IF(ISERROR('Model inputs'!AI95&lt;=24),'Model inputs'!AI95&lt;=24,IF('Model inputs'!AI95="","",'Model inputs'!AI95&lt;=24))),'Model inputs'!AM55+('Model inputs'!AM56-'Model inputs'!AM55)*('Model inputs'!AI95-18)/6,IF(IF(IF(ISERROR('Model inputs'!AI95&lt;=30),'Model inputs'!AI95&lt;=30,IF('Model inputs'!AI95="","",'Model inputs'!AI95&lt;=30))="",FALSE,IF(ISERROR('Model inputs'!AI95&lt;=30),'Model inputs'!AI95&lt;=30,IF('Model inputs'!AI95="","",'Model inputs'!AI95&lt;=30))),'Model inputs'!AM56+('Model inputs'!AM57-'Model inputs'!AM56)*('Model inputs'!AI95-24)/6,IF(IF(IF(ISERROR('Model inputs'!AI95&lt;=36),'Model inputs'!AI95&lt;=36,IF('Model inputs'!AI95="","",'Model inputs'!AI95&lt;=36))="",FALSE,IF(ISERROR('Model inputs'!AI95&lt;=36),'Model inputs'!AI95&lt;=36,IF('Model inputs'!AI95="","",'Model inputs'!AI95&lt;=36))),'Model inputs'!AM57+('Model inputs'!AM58-'Model inputs'!AM57)*('Model inputs'!AI95-30)/6,IF('Model inputs'!AM58="","",'Model inputs'!AM58)))))))))*'Model inputs'!AM60</f>
        <v>190000</v>
      </c>
      <c r="AJ98" s="23">
        <f>IF((IF(IF(IF(ISERROR('Model inputs'!AJ95&lt;=6),'Model inputs'!AJ95&lt;=6,IF('Model inputs'!AJ95="","",'Model inputs'!AJ95&lt;=6))="",FALSE,IF(ISERROR('Model inputs'!AJ95&lt;=6),'Model inputs'!AJ95&lt;=6,IF('Model inputs'!AJ95="","",'Model inputs'!AJ95&lt;=6))),'Model inputs'!AM53+('Model inputs'!AM59-'Model inputs'!AM53)*('Model inputs'!AJ95-0)/6,IF(IF(IF(ISERROR('Model inputs'!AJ95&lt;=12),'Model inputs'!AJ95&lt;=12,IF('Model inputs'!AJ95="","",'Model inputs'!AJ95&lt;=12))="",FALSE,IF(ISERROR('Model inputs'!AJ95&lt;=12),'Model inputs'!AJ95&lt;=12,IF('Model inputs'!AJ95="","",'Model inputs'!AJ95&lt;=12))),'Model inputs'!AM59+('Model inputs'!AM54-'Model inputs'!AM59)*('Model inputs'!AJ95-6)/6,IF(IF(IF(ISERROR('Model inputs'!AJ95&lt;=18),'Model inputs'!AJ95&lt;=18,IF('Model inputs'!AJ95="","",'Model inputs'!AJ95&lt;=18))="",FALSE,IF(ISERROR('Model inputs'!AJ95&lt;=18),'Model inputs'!AJ95&lt;=18,IF('Model inputs'!AJ95="","",'Model inputs'!AJ95&lt;=18))),'Model inputs'!AM54+('Model inputs'!AM55-'Model inputs'!AM54)*('Model inputs'!AJ95-12)/6,IF(IF(IF(ISERROR('Model inputs'!AJ95&lt;=24),'Model inputs'!AJ95&lt;=24,IF('Model inputs'!AJ95="","",'Model inputs'!AJ95&lt;=24))="",FALSE,IF(ISERROR('Model inputs'!AJ95&lt;=24),'Model inputs'!AJ95&lt;=24,IF('Model inputs'!AJ95="","",'Model inputs'!AJ95&lt;=24))),'Model inputs'!AM55+('Model inputs'!AM56-'Model inputs'!AM55)*('Model inputs'!AJ95-18)/6,IF(IF(IF(ISERROR('Model inputs'!AJ95&lt;=30),'Model inputs'!AJ95&lt;=30,IF('Model inputs'!AJ95="","",'Model inputs'!AJ95&lt;=30))="",FALSE,IF(ISERROR('Model inputs'!AJ95&lt;=30),'Model inputs'!AJ95&lt;=30,IF('Model inputs'!AJ95="","",'Model inputs'!AJ95&lt;=30))),'Model inputs'!AM56+('Model inputs'!AM57-'Model inputs'!AM56)*('Model inputs'!AJ95-24)/6,IF(IF(IF(ISERROR('Model inputs'!AJ95&lt;=36),'Model inputs'!AJ95&lt;=36,IF('Model inputs'!AJ95="","",'Model inputs'!AJ95&lt;=36))="",FALSE,IF(ISERROR('Model inputs'!AJ95&lt;=36),'Model inputs'!AJ95&lt;=36,IF('Model inputs'!AJ95="","",'Model inputs'!AJ95&lt;=36))),'Model inputs'!AM57+('Model inputs'!AM58-'Model inputs'!AM57)*('Model inputs'!AJ95-30)/6,IF('Model inputs'!AM58="","",'Model inputs'!AM58))))))))="",0,(IF(IF(IF(ISERROR('Model inputs'!AJ95&lt;=6),'Model inputs'!AJ95&lt;=6,IF('Model inputs'!AJ95="","",'Model inputs'!AJ95&lt;=6))="",FALSE,IF(ISERROR('Model inputs'!AJ95&lt;=6),'Model inputs'!AJ95&lt;=6,IF('Model inputs'!AJ95="","",'Model inputs'!AJ95&lt;=6))),'Model inputs'!AM53+('Model inputs'!AM59-'Model inputs'!AM53)*('Model inputs'!AJ95-0)/6,IF(IF(IF(ISERROR('Model inputs'!AJ95&lt;=12),'Model inputs'!AJ95&lt;=12,IF('Model inputs'!AJ95="","",'Model inputs'!AJ95&lt;=12))="",FALSE,IF(ISERROR('Model inputs'!AJ95&lt;=12),'Model inputs'!AJ95&lt;=12,IF('Model inputs'!AJ95="","",'Model inputs'!AJ95&lt;=12))),'Model inputs'!AM59+('Model inputs'!AM54-'Model inputs'!AM59)*('Model inputs'!AJ95-6)/6,IF(IF(IF(ISERROR('Model inputs'!AJ95&lt;=18),'Model inputs'!AJ95&lt;=18,IF('Model inputs'!AJ95="","",'Model inputs'!AJ95&lt;=18))="",FALSE,IF(ISERROR('Model inputs'!AJ95&lt;=18),'Model inputs'!AJ95&lt;=18,IF('Model inputs'!AJ95="","",'Model inputs'!AJ95&lt;=18))),'Model inputs'!AM54+('Model inputs'!AM55-'Model inputs'!AM54)*('Model inputs'!AJ95-12)/6,IF(IF(IF(ISERROR('Model inputs'!AJ95&lt;=24),'Model inputs'!AJ95&lt;=24,IF('Model inputs'!AJ95="","",'Model inputs'!AJ95&lt;=24))="",FALSE,IF(ISERROR('Model inputs'!AJ95&lt;=24),'Model inputs'!AJ95&lt;=24,IF('Model inputs'!AJ95="","",'Model inputs'!AJ95&lt;=24))),'Model inputs'!AM55+('Model inputs'!AM56-'Model inputs'!AM55)*('Model inputs'!AJ95-18)/6,IF(IF(IF(ISERROR('Model inputs'!AJ95&lt;=30),'Model inputs'!AJ95&lt;=30,IF('Model inputs'!AJ95="","",'Model inputs'!AJ95&lt;=30))="",FALSE,IF(ISERROR('Model inputs'!AJ95&lt;=30),'Model inputs'!AJ95&lt;=30,IF('Model inputs'!AJ95="","",'Model inputs'!AJ95&lt;=30))),'Model inputs'!AM56+('Model inputs'!AM57-'Model inputs'!AM56)*('Model inputs'!AJ95-24)/6,IF(IF(IF(ISERROR('Model inputs'!AJ95&lt;=36),'Model inputs'!AJ95&lt;=36,IF('Model inputs'!AJ95="","",'Model inputs'!AJ95&lt;=36))="",FALSE,IF(ISERROR('Model inputs'!AJ95&lt;=36),'Model inputs'!AJ95&lt;=36,IF('Model inputs'!AJ95="","",'Model inputs'!AJ95&lt;=36))),'Model inputs'!AM57+('Model inputs'!AM58-'Model inputs'!AM57)*('Model inputs'!AJ95-30)/6,IF('Model inputs'!AM58="","",'Model inputs'!AM58)))))))))*'Model inputs'!AM60</f>
        <v>195000</v>
      </c>
      <c r="AK98" s="23">
        <f>IF((IF(IF(IF(ISERROR('Model inputs'!AK95&lt;=6),'Model inputs'!AK95&lt;=6,IF('Model inputs'!AK95="","",'Model inputs'!AK95&lt;=6))="",FALSE,IF(ISERROR('Model inputs'!AK95&lt;=6),'Model inputs'!AK95&lt;=6,IF('Model inputs'!AK95="","",'Model inputs'!AK95&lt;=6))),'Model inputs'!AM53+('Model inputs'!AM59-'Model inputs'!AM53)*('Model inputs'!AK95-0)/6,IF(IF(IF(ISERROR('Model inputs'!AK95&lt;=12),'Model inputs'!AK95&lt;=12,IF('Model inputs'!AK95="","",'Model inputs'!AK95&lt;=12))="",FALSE,IF(ISERROR('Model inputs'!AK95&lt;=12),'Model inputs'!AK95&lt;=12,IF('Model inputs'!AK95="","",'Model inputs'!AK95&lt;=12))),'Model inputs'!AM59+('Model inputs'!AM54-'Model inputs'!AM59)*('Model inputs'!AK95-6)/6,IF(IF(IF(ISERROR('Model inputs'!AK95&lt;=18),'Model inputs'!AK95&lt;=18,IF('Model inputs'!AK95="","",'Model inputs'!AK95&lt;=18))="",FALSE,IF(ISERROR('Model inputs'!AK95&lt;=18),'Model inputs'!AK95&lt;=18,IF('Model inputs'!AK95="","",'Model inputs'!AK95&lt;=18))),'Model inputs'!AM54+('Model inputs'!AM55-'Model inputs'!AM54)*('Model inputs'!AK95-12)/6,IF(IF(IF(ISERROR('Model inputs'!AK95&lt;=24),'Model inputs'!AK95&lt;=24,IF('Model inputs'!AK95="","",'Model inputs'!AK95&lt;=24))="",FALSE,IF(ISERROR('Model inputs'!AK95&lt;=24),'Model inputs'!AK95&lt;=24,IF('Model inputs'!AK95="","",'Model inputs'!AK95&lt;=24))),'Model inputs'!AM55+('Model inputs'!AM56-'Model inputs'!AM55)*('Model inputs'!AK95-18)/6,IF(IF(IF(ISERROR('Model inputs'!AK95&lt;=30),'Model inputs'!AK95&lt;=30,IF('Model inputs'!AK95="","",'Model inputs'!AK95&lt;=30))="",FALSE,IF(ISERROR('Model inputs'!AK95&lt;=30),'Model inputs'!AK95&lt;=30,IF('Model inputs'!AK95="","",'Model inputs'!AK95&lt;=30))),'Model inputs'!AM56+('Model inputs'!AM57-'Model inputs'!AM56)*('Model inputs'!AK95-24)/6,IF(IF(IF(ISERROR('Model inputs'!AK95&lt;=36),'Model inputs'!AK95&lt;=36,IF('Model inputs'!AK95="","",'Model inputs'!AK95&lt;=36))="",FALSE,IF(ISERROR('Model inputs'!AK95&lt;=36),'Model inputs'!AK95&lt;=36,IF('Model inputs'!AK95="","",'Model inputs'!AK95&lt;=36))),'Model inputs'!AM57+('Model inputs'!AM58-'Model inputs'!AM57)*('Model inputs'!AK95-30)/6,IF('Model inputs'!AM58="","",'Model inputs'!AM58))))))))="",0,(IF(IF(IF(ISERROR('Model inputs'!AK95&lt;=6),'Model inputs'!AK95&lt;=6,IF('Model inputs'!AK95="","",'Model inputs'!AK95&lt;=6))="",FALSE,IF(ISERROR('Model inputs'!AK95&lt;=6),'Model inputs'!AK95&lt;=6,IF('Model inputs'!AK95="","",'Model inputs'!AK95&lt;=6))),'Model inputs'!AM53+('Model inputs'!AM59-'Model inputs'!AM53)*('Model inputs'!AK95-0)/6,IF(IF(IF(ISERROR('Model inputs'!AK95&lt;=12),'Model inputs'!AK95&lt;=12,IF('Model inputs'!AK95="","",'Model inputs'!AK95&lt;=12))="",FALSE,IF(ISERROR('Model inputs'!AK95&lt;=12),'Model inputs'!AK95&lt;=12,IF('Model inputs'!AK95="","",'Model inputs'!AK95&lt;=12))),'Model inputs'!AM59+('Model inputs'!AM54-'Model inputs'!AM59)*('Model inputs'!AK95-6)/6,IF(IF(IF(ISERROR('Model inputs'!AK95&lt;=18),'Model inputs'!AK95&lt;=18,IF('Model inputs'!AK95="","",'Model inputs'!AK95&lt;=18))="",FALSE,IF(ISERROR('Model inputs'!AK95&lt;=18),'Model inputs'!AK95&lt;=18,IF('Model inputs'!AK95="","",'Model inputs'!AK95&lt;=18))),'Model inputs'!AM54+('Model inputs'!AM55-'Model inputs'!AM54)*('Model inputs'!AK95-12)/6,IF(IF(IF(ISERROR('Model inputs'!AK95&lt;=24),'Model inputs'!AK95&lt;=24,IF('Model inputs'!AK95="","",'Model inputs'!AK95&lt;=24))="",FALSE,IF(ISERROR('Model inputs'!AK95&lt;=24),'Model inputs'!AK95&lt;=24,IF('Model inputs'!AK95="","",'Model inputs'!AK95&lt;=24))),'Model inputs'!AM55+('Model inputs'!AM56-'Model inputs'!AM55)*('Model inputs'!AK95-18)/6,IF(IF(IF(ISERROR('Model inputs'!AK95&lt;=30),'Model inputs'!AK95&lt;=30,IF('Model inputs'!AK95="","",'Model inputs'!AK95&lt;=30))="",FALSE,IF(ISERROR('Model inputs'!AK95&lt;=30),'Model inputs'!AK95&lt;=30,IF('Model inputs'!AK95="","",'Model inputs'!AK95&lt;=30))),'Model inputs'!AM56+('Model inputs'!AM57-'Model inputs'!AM56)*('Model inputs'!AK95-24)/6,IF(IF(IF(ISERROR('Model inputs'!AK95&lt;=36),'Model inputs'!AK95&lt;=36,IF('Model inputs'!AK95="","",'Model inputs'!AK95&lt;=36))="",FALSE,IF(ISERROR('Model inputs'!AK95&lt;=36),'Model inputs'!AK95&lt;=36,IF('Model inputs'!AK95="","",'Model inputs'!AK95&lt;=36))),'Model inputs'!AM57+('Model inputs'!AM58-'Model inputs'!AM57)*('Model inputs'!AK95-30)/6,IF('Model inputs'!AM58="","",'Model inputs'!AM58)))))))))*'Model inputs'!AM60</f>
        <v>200000</v>
      </c>
      <c r="AL98" s="23">
        <f>IF((IF(IF(IF(ISERROR('Model inputs'!AL95&lt;=6),'Model inputs'!AL95&lt;=6,IF('Model inputs'!AL95="","",'Model inputs'!AL95&lt;=6))="",FALSE,IF(ISERROR('Model inputs'!AL95&lt;=6),'Model inputs'!AL95&lt;=6,IF('Model inputs'!AL95="","",'Model inputs'!AL95&lt;=6))),'Model inputs'!AM53+('Model inputs'!AM59-'Model inputs'!AM53)*('Model inputs'!AL95-0)/6,IF(IF(IF(ISERROR('Model inputs'!AL95&lt;=12),'Model inputs'!AL95&lt;=12,IF('Model inputs'!AL95="","",'Model inputs'!AL95&lt;=12))="",FALSE,IF(ISERROR('Model inputs'!AL95&lt;=12),'Model inputs'!AL95&lt;=12,IF('Model inputs'!AL95="","",'Model inputs'!AL95&lt;=12))),'Model inputs'!AM59+('Model inputs'!AM54-'Model inputs'!AM59)*('Model inputs'!AL95-6)/6,IF(IF(IF(ISERROR('Model inputs'!AL95&lt;=18),'Model inputs'!AL95&lt;=18,IF('Model inputs'!AL95="","",'Model inputs'!AL95&lt;=18))="",FALSE,IF(ISERROR('Model inputs'!AL95&lt;=18),'Model inputs'!AL95&lt;=18,IF('Model inputs'!AL95="","",'Model inputs'!AL95&lt;=18))),'Model inputs'!AM54+('Model inputs'!AM55-'Model inputs'!AM54)*('Model inputs'!AL95-12)/6,IF(IF(IF(ISERROR('Model inputs'!AL95&lt;=24),'Model inputs'!AL95&lt;=24,IF('Model inputs'!AL95="","",'Model inputs'!AL95&lt;=24))="",FALSE,IF(ISERROR('Model inputs'!AL95&lt;=24),'Model inputs'!AL95&lt;=24,IF('Model inputs'!AL95="","",'Model inputs'!AL95&lt;=24))),'Model inputs'!AM55+('Model inputs'!AM56-'Model inputs'!AM55)*('Model inputs'!AL95-18)/6,IF(IF(IF(ISERROR('Model inputs'!AL95&lt;=30),'Model inputs'!AL95&lt;=30,IF('Model inputs'!AL95="","",'Model inputs'!AL95&lt;=30))="",FALSE,IF(ISERROR('Model inputs'!AL95&lt;=30),'Model inputs'!AL95&lt;=30,IF('Model inputs'!AL95="","",'Model inputs'!AL95&lt;=30))),'Model inputs'!AM56+('Model inputs'!AM57-'Model inputs'!AM56)*('Model inputs'!AL95-24)/6,IF(IF(IF(ISERROR('Model inputs'!AL95&lt;=36),'Model inputs'!AL95&lt;=36,IF('Model inputs'!AL95="","",'Model inputs'!AL95&lt;=36))="",FALSE,IF(ISERROR('Model inputs'!AL95&lt;=36),'Model inputs'!AL95&lt;=36,IF('Model inputs'!AL95="","",'Model inputs'!AL95&lt;=36))),'Model inputs'!AM57+('Model inputs'!AM58-'Model inputs'!AM57)*('Model inputs'!AL95-30)/6,IF('Model inputs'!AM58="","",'Model inputs'!AM58))))))))="",0,(IF(IF(IF(ISERROR('Model inputs'!AL95&lt;=6),'Model inputs'!AL95&lt;=6,IF('Model inputs'!AL95="","",'Model inputs'!AL95&lt;=6))="",FALSE,IF(ISERROR('Model inputs'!AL95&lt;=6),'Model inputs'!AL95&lt;=6,IF('Model inputs'!AL95="","",'Model inputs'!AL95&lt;=6))),'Model inputs'!AM53+('Model inputs'!AM59-'Model inputs'!AM53)*('Model inputs'!AL95-0)/6,IF(IF(IF(ISERROR('Model inputs'!AL95&lt;=12),'Model inputs'!AL95&lt;=12,IF('Model inputs'!AL95="","",'Model inputs'!AL95&lt;=12))="",FALSE,IF(ISERROR('Model inputs'!AL95&lt;=12),'Model inputs'!AL95&lt;=12,IF('Model inputs'!AL95="","",'Model inputs'!AL95&lt;=12))),'Model inputs'!AM59+('Model inputs'!AM54-'Model inputs'!AM59)*('Model inputs'!AL95-6)/6,IF(IF(IF(ISERROR('Model inputs'!AL95&lt;=18),'Model inputs'!AL95&lt;=18,IF('Model inputs'!AL95="","",'Model inputs'!AL95&lt;=18))="",FALSE,IF(ISERROR('Model inputs'!AL95&lt;=18),'Model inputs'!AL95&lt;=18,IF('Model inputs'!AL95="","",'Model inputs'!AL95&lt;=18))),'Model inputs'!AM54+('Model inputs'!AM55-'Model inputs'!AM54)*('Model inputs'!AL95-12)/6,IF(IF(IF(ISERROR('Model inputs'!AL95&lt;=24),'Model inputs'!AL95&lt;=24,IF('Model inputs'!AL95="","",'Model inputs'!AL95&lt;=24))="",FALSE,IF(ISERROR('Model inputs'!AL95&lt;=24),'Model inputs'!AL95&lt;=24,IF('Model inputs'!AL95="","",'Model inputs'!AL95&lt;=24))),'Model inputs'!AM55+('Model inputs'!AM56-'Model inputs'!AM55)*('Model inputs'!AL95-18)/6,IF(IF(IF(ISERROR('Model inputs'!AL95&lt;=30),'Model inputs'!AL95&lt;=30,IF('Model inputs'!AL95="","",'Model inputs'!AL95&lt;=30))="",FALSE,IF(ISERROR('Model inputs'!AL95&lt;=30),'Model inputs'!AL95&lt;=30,IF('Model inputs'!AL95="","",'Model inputs'!AL95&lt;=30))),'Model inputs'!AM56+('Model inputs'!AM57-'Model inputs'!AM56)*('Model inputs'!AL95-24)/6,IF(IF(IF(ISERROR('Model inputs'!AL95&lt;=36),'Model inputs'!AL95&lt;=36,IF('Model inputs'!AL95="","",'Model inputs'!AL95&lt;=36))="",FALSE,IF(ISERROR('Model inputs'!AL95&lt;=36),'Model inputs'!AL95&lt;=36,IF('Model inputs'!AL95="","",'Model inputs'!AL95&lt;=36))),'Model inputs'!AM57+('Model inputs'!AM58-'Model inputs'!AM57)*('Model inputs'!AL95-30)/6,IF('Model inputs'!AM58="","",'Model inputs'!AM58)))))))))*'Model inputs'!AM60</f>
        <v>205000</v>
      </c>
    </row>
    <row r="99">
      <c r="A99" t="inlineStr" s="25">
        <is>
          <t xml:space="preserve">Protocol target M0 · POA — Monthly financial forecast</t>
        </is>
      </c>
      <c r="AM99" s="23">
        <f>0</f>
        <v>0</v>
      </c>
    </row>
    <row r="100">
      <c r="A100" t="inlineStr" s="25">
        <is>
          <t xml:space="preserve">Protocol target M12 · POA — Monthly financial forecast</t>
        </is>
      </c>
      <c r="AM100" s="23">
        <f>22</f>
        <v>22</v>
      </c>
    </row>
    <row r="101">
      <c r="A101" t="inlineStr" s="25">
        <is>
          <t xml:space="preserve">Protocol target M18 · POA — Monthly financial forecast</t>
        </is>
      </c>
      <c r="AM101" s="23">
        <f>60</f>
        <v>60</v>
      </c>
    </row>
    <row r="102">
      <c r="A102" t="inlineStr" s="25">
        <is>
          <t xml:space="preserve">Protocol target M24 · POA — Monthly financial forecast</t>
        </is>
      </c>
      <c r="AM102" s="23">
        <f>100</f>
        <v>100</v>
      </c>
    </row>
    <row r="103">
      <c r="A103" t="inlineStr" s="25">
        <is>
          <t xml:space="preserve">Protocol target M30 · POA — Monthly financial forecast</t>
        </is>
      </c>
      <c r="AM103" s="23">
        <f>135</f>
        <v>135</v>
      </c>
    </row>
    <row r="104">
      <c r="A104" t="inlineStr" s="25">
        <is>
          <t xml:space="preserve">Protocol target M36 · POA — Monthly financial forecast</t>
        </is>
      </c>
      <c r="AM104" s="23">
        <f>160</f>
        <v>160</v>
      </c>
    </row>
    <row r="105">
      <c r="A105" t="inlineStr" s="25">
        <is>
          <t xml:space="preserve">Protocol target M6 · POA — Monthly financial forecast</t>
        </is>
      </c>
      <c r="AM105" s="23">
        <f>6</f>
        <v>6</v>
      </c>
    </row>
    <row r="106">
      <c r="A106" t="inlineStr" s="25">
        <is>
          <t xml:space="preserve">Target market protocols · POA — Monthly financial forecast</t>
        </is>
      </c>
      <c r="AM106" s="23">
        <f>200</f>
        <v>200</v>
      </c>
    </row>
    <row r="107">
      <c r="A107" t="inlineStr" s="25">
        <is>
          <t xml:space="preserve">Total cash outflow · POA — Monthly financial forecast</t>
        </is>
      </c>
      <c r="B107" s="23">
        <v>0</v>
      </c>
      <c r="C107" s="23">
        <f>'Model inputs'!C108+'Model inputs'!C109+'Model inputs'!C111+'Model inputs'!C110</f>
        <v>21290.375</v>
      </c>
      <c r="D107" s="23">
        <f>'Model inputs'!D108+'Model inputs'!D109+'Model inputs'!D111+'Model inputs'!D110</f>
        <v>23599.880952380954</v>
      </c>
      <c r="E107" s="23">
        <f>'Model inputs'!E108+'Model inputs'!E109+'Model inputs'!E111+'Model inputs'!E110</f>
        <v>25909.470238095237</v>
      </c>
      <c r="F107" s="23">
        <f>'Model inputs'!F108+'Model inputs'!F109+'Model inputs'!F111+'Model inputs'!F110</f>
        <v>28219.14285714286</v>
      </c>
      <c r="G107" s="23">
        <f>'Model inputs'!G108+'Model inputs'!G109+'Model inputs'!G111+'Model inputs'!G110</f>
        <v>30528.89880952381</v>
      </c>
      <c r="H107" s="23">
        <f>'Model inputs'!H108+'Model inputs'!H109+'Model inputs'!H111+'Model inputs'!H110</f>
        <v>32838.73809523809</v>
      </c>
      <c r="I107" s="23">
        <f>'Model inputs'!I108+'Model inputs'!I109+'Model inputs'!I111+'Model inputs'!I110</f>
        <v>52628.902717652716</v>
      </c>
      <c r="J107" s="23">
        <f>'Model inputs'!J108+'Model inputs'!J109+'Model inputs'!J111+'Model inputs'!J110</f>
        <v>57451.91101491101</v>
      </c>
      <c r="K107" s="23">
        <f>'Model inputs'!K108+'Model inputs'!K109+'Model inputs'!K111+'Model inputs'!K110</f>
        <v>62276.01695526696</v>
      </c>
      <c r="L107" s="23">
        <f>'Model inputs'!L108+'Model inputs'!L109+'Model inputs'!L111+'Model inputs'!L110</f>
        <v>67101.22053872052</v>
      </c>
      <c r="M107" s="23">
        <f>'Model inputs'!M108+'Model inputs'!M109+'Model inputs'!M111+'Model inputs'!M110</f>
        <v>71927.52176527177</v>
      </c>
      <c r="N107" s="23">
        <f>'Model inputs'!N108+'Model inputs'!N109+'Model inputs'!N111+'Model inputs'!N110</f>
        <v>76754.92063492065</v>
      </c>
      <c r="O107" s="23">
        <f>'Model inputs'!O108+'Model inputs'!O109+'Model inputs'!O111+'Model inputs'!O110</f>
        <v>119530.91209716209</v>
      </c>
      <c r="P107" s="23">
        <f>'Model inputs'!P108+'Model inputs'!P109+'Model inputs'!P111+'Model inputs'!P110</f>
        <v>129378.88792688791</v>
      </c>
      <c r="Q107" s="23">
        <f>'Model inputs'!Q108+'Model inputs'!Q109+'Model inputs'!Q111+'Model inputs'!Q110</f>
        <v>139229.00685425688</v>
      </c>
      <c r="R107" s="23">
        <f>'Model inputs'!R108+'Model inputs'!R109+'Model inputs'!R111+'Model inputs'!R110</f>
        <v>149081.2688792688</v>
      </c>
      <c r="S107" s="23">
        <f>'Model inputs'!S108+'Model inputs'!S109+'Model inputs'!S111+'Model inputs'!S110</f>
        <v>158935.67400192402</v>
      </c>
      <c r="T107" s="23">
        <f>'Model inputs'!T108+'Model inputs'!T109+'Model inputs'!T111+'Model inputs'!T110</f>
        <v>168792.22222222225</v>
      </c>
      <c r="U107" s="23">
        <f>'Model inputs'!U108+'Model inputs'!U109+'Model inputs'!U111+'Model inputs'!U110</f>
        <v>180281.74603174606</v>
      </c>
      <c r="V107" s="23">
        <f>'Model inputs'!V108+'Model inputs'!V109+'Model inputs'!V111+'Model inputs'!V110</f>
        <v>188778.73015873006</v>
      </c>
      <c r="W107" s="23">
        <f>'Model inputs'!W108+'Model inputs'!W109+'Model inputs'!W111+'Model inputs'!W110</f>
        <v>197276.82539682544</v>
      </c>
      <c r="X107" s="23">
        <f>'Model inputs'!X108+'Model inputs'!X109+'Model inputs'!X111+'Model inputs'!X110</f>
        <v>205776.03174603163</v>
      </c>
      <c r="Y107" s="23">
        <f>'Model inputs'!Y108+'Model inputs'!Y109+'Model inputs'!Y111+'Model inputs'!Y110</f>
        <v>214276.34920634923</v>
      </c>
      <c r="Z107" s="23">
        <f>'Model inputs'!Z108+'Model inputs'!Z109+'Model inputs'!Z111+'Model inputs'!Z110</f>
        <v>222777.7777777778</v>
      </c>
      <c r="AA107" s="23">
        <f>'Model inputs'!AA108+'Model inputs'!AA109+'Model inputs'!AA111+'Model inputs'!AA110</f>
        <v>222471.91468253967</v>
      </c>
      <c r="AB107" s="23">
        <f>'Model inputs'!AB108+'Model inputs'!AB109+'Model inputs'!AB111+'Model inputs'!AB110</f>
        <v>229651.15079365086</v>
      </c>
      <c r="AC107" s="23">
        <f>'Model inputs'!AC108+'Model inputs'!AC109+'Model inputs'!AC111+'Model inputs'!AC110</f>
        <v>236831.35912698408</v>
      </c>
      <c r="AD107" s="23">
        <f>'Model inputs'!AD108+'Model inputs'!AD109+'Model inputs'!AD111+'Model inputs'!AD110</f>
        <v>244012.53968253965</v>
      </c>
      <c r="AE107" s="23">
        <f>'Model inputs'!AE108+'Model inputs'!AE109+'Model inputs'!AE111+'Model inputs'!AE110</f>
        <v>251194.69246031743</v>
      </c>
      <c r="AF107" s="23">
        <f>'Model inputs'!AF108+'Model inputs'!AF109+'Model inputs'!AF111+'Model inputs'!AF110</f>
        <v>258377.81746031757</v>
      </c>
      <c r="AG107" s="23">
        <f>'Model inputs'!AG108+'Model inputs'!AG109+'Model inputs'!AG111+'Model inputs'!AG110</f>
        <v>249377.60912698403</v>
      </c>
      <c r="AH107" s="23">
        <f>'Model inputs'!AH108+'Model inputs'!AH109+'Model inputs'!AH111+'Model inputs'!AH110</f>
        <v>255346.34920634935</v>
      </c>
      <c r="AI107" s="23">
        <f>'Model inputs'!AI108+'Model inputs'!AI109+'Model inputs'!AI111+'Model inputs'!AI110</f>
        <v>261315.78373015864</v>
      </c>
      <c r="AJ107" s="23">
        <f>'Model inputs'!AJ108+'Model inputs'!AJ109+'Model inputs'!AJ111+'Model inputs'!AJ110</f>
        <v>267285.9126984126</v>
      </c>
      <c r="AK107" s="23">
        <f>'Model inputs'!AK108+'Model inputs'!AK109+'Model inputs'!AK111+'Model inputs'!AK110</f>
        <v>273256.7361111113</v>
      </c>
      <c r="AL107" s="23">
        <f>'Model inputs'!AL108+'Model inputs'!AL109+'Model inputs'!AL111+'Model inputs'!AL110</f>
        <v>279228.25396825385</v>
      </c>
    </row>
    <row r="108">
      <c r="A108" t="inlineStr" s="25">
        <is>
          <t xml:space="preserve">Total COGS · POA — Monthly financial forecast</t>
        </is>
      </c>
      <c r="B108" s="23">
        <v>0</v>
      </c>
      <c r="C108" s="23">
        <f>'Model inputs'!C113+'Model inputs'!C115</f>
        <v>7.041666666666667</v>
      </c>
      <c r="D108" s="23">
        <f>'Model inputs'!D113+'Model inputs'!D115</f>
        <v>14.166666666666666</v>
      </c>
      <c r="E108" s="23">
        <f>'Model inputs'!E113+'Model inputs'!E115</f>
        <v>21.375</v>
      </c>
      <c r="F108" s="23">
        <f>'Model inputs'!F113+'Model inputs'!F115</f>
        <v>28.666666666666668</v>
      </c>
      <c r="G108" s="23">
        <f>'Model inputs'!G113+'Model inputs'!G115</f>
        <v>36.041666666666664</v>
      </c>
      <c r="H108" s="23">
        <f>'Model inputs'!H113+'Model inputs'!H115</f>
        <v>43.5</v>
      </c>
      <c r="I108" s="23">
        <f>'Model inputs'!I113+'Model inputs'!I115</f>
        <v>64.61700336700336</v>
      </c>
      <c r="J108" s="23">
        <f>'Model inputs'!J113+'Model inputs'!J115</f>
        <v>86.83164983164983</v>
      </c>
      <c r="K108" s="23">
        <f>'Model inputs'!K113+'Model inputs'!K115</f>
        <v>110.14393939393939</v>
      </c>
      <c r="L108" s="23">
        <f>'Model inputs'!L113+'Model inputs'!L115</f>
        <v>134.55387205387203</v>
      </c>
      <c r="M108" s="23">
        <f>'Model inputs'!M113+'Model inputs'!M115</f>
        <v>160.0614478114478</v>
      </c>
      <c r="N108" s="23">
        <f>'Model inputs'!N113+'Model inputs'!N115</f>
        <v>186.66666666666666</v>
      </c>
      <c r="O108" s="23">
        <f>'Model inputs'!O113+'Model inputs'!O115</f>
        <v>245.19781144781143</v>
      </c>
      <c r="P108" s="23">
        <f>'Model inputs'!P113+'Model inputs'!P115</f>
        <v>305.8720538720538</v>
      </c>
      <c r="Q108" s="23">
        <f>'Model inputs'!Q113+'Model inputs'!Q115</f>
        <v>368.68939393939394</v>
      </c>
      <c r="R108" s="23">
        <f>'Model inputs'!R113+'Model inputs'!R115</f>
        <v>433.64983164983164</v>
      </c>
      <c r="S108" s="23">
        <f>'Model inputs'!S113+'Model inputs'!S115</f>
        <v>500.753367003367</v>
      </c>
      <c r="T108" s="23">
        <f>'Model inputs'!T113+'Model inputs'!T115</f>
        <v>570</v>
      </c>
      <c r="U108" s="23">
        <f>'Model inputs'!U113+'Model inputs'!U115</f>
        <v>638.888888888889</v>
      </c>
      <c r="V108" s="23">
        <f>'Model inputs'!V113+'Model inputs'!V115</f>
        <v>708.8888888888888</v>
      </c>
      <c r="W108" s="23">
        <f>'Model inputs'!W113+'Model inputs'!W115</f>
        <v>780</v>
      </c>
      <c r="X108" s="23">
        <f>'Model inputs'!X113+'Model inputs'!X115</f>
        <v>852.2222222222222</v>
      </c>
      <c r="Y108" s="23">
        <f>'Model inputs'!Y113+'Model inputs'!Y115</f>
        <v>925.5555555555555</v>
      </c>
      <c r="Z108" s="23">
        <f>'Model inputs'!Z113+'Model inputs'!Z115</f>
        <v>1000</v>
      </c>
      <c r="AA108" s="23">
        <f>'Model inputs'!AA113+'Model inputs'!AA115</f>
        <v>1067.1527777777778</v>
      </c>
      <c r="AB108" s="23">
        <f>'Model inputs'!AB113+'Model inputs'!AB115</f>
        <v>1135.277777777778</v>
      </c>
      <c r="AC108" s="23">
        <f>'Model inputs'!AC113+'Model inputs'!AC115</f>
        <v>1204.375</v>
      </c>
      <c r="AD108" s="23">
        <f>'Model inputs'!AD113+'Model inputs'!AD115</f>
        <v>1274.4444444444446</v>
      </c>
      <c r="AE108" s="23">
        <f>'Model inputs'!AE113+'Model inputs'!AE115</f>
        <v>1345.486111111111</v>
      </c>
      <c r="AF108" s="23">
        <f>'Model inputs'!AF113+'Model inputs'!AF115</f>
        <v>1417.5</v>
      </c>
      <c r="AG108" s="23">
        <f>'Model inputs'!AG113+'Model inputs'!AG115</f>
        <v>1472.847222222222</v>
      </c>
      <c r="AH108" s="23">
        <f>'Model inputs'!AH113+'Model inputs'!AH115</f>
        <v>1528.888888888889</v>
      </c>
      <c r="AI108" s="23">
        <f>'Model inputs'!AI113+'Model inputs'!AI115</f>
        <v>1585.625</v>
      </c>
      <c r="AJ108" s="23">
        <f>'Model inputs'!AJ113+'Model inputs'!AJ115</f>
        <v>1643.0555555555554</v>
      </c>
      <c r="AK108" s="23">
        <f>'Model inputs'!AK113+'Model inputs'!AK115</f>
        <v>1701.1805555555559</v>
      </c>
      <c r="AL108" s="23">
        <f>'Model inputs'!AL113+'Model inputs'!AL115</f>
        <v>1760</v>
      </c>
    </row>
    <row r="109">
      <c r="A109" t="inlineStr" s="25">
        <is>
          <t xml:space="preserve">Total operating expenses · POA — Monthly financial forecast</t>
        </is>
      </c>
      <c r="B109" s="23">
        <v>0</v>
      </c>
      <c r="C109" s="23">
        <f>'Model inputs'!C61+'Model inputs'!C28</f>
        <v>21283.333333333332</v>
      </c>
      <c r="D109" s="23">
        <f>'Model inputs'!D61+'Model inputs'!D28</f>
        <v>23585.714285714286</v>
      </c>
      <c r="E109" s="23">
        <f>'Model inputs'!E61+'Model inputs'!E28</f>
        <v>25888.095238095237</v>
      </c>
      <c r="F109" s="23">
        <f>'Model inputs'!F61+'Model inputs'!F28</f>
        <v>28190.47619047619</v>
      </c>
      <c r="G109" s="23">
        <f>'Model inputs'!G61+'Model inputs'!G28</f>
        <v>30492.85714285714</v>
      </c>
      <c r="H109" s="23">
        <f>'Model inputs'!H61+'Model inputs'!H28</f>
        <v>32795.23809523809</v>
      </c>
      <c r="I109" s="23">
        <f>'Model inputs'!I61+'Model inputs'!I28</f>
        <v>52564.28571428571</v>
      </c>
      <c r="J109" s="23">
        <f>'Model inputs'!J61+'Model inputs'!J28</f>
        <v>57365.079365079364</v>
      </c>
      <c r="K109" s="23">
        <f>'Model inputs'!K61+'Model inputs'!K28</f>
        <v>62165.873015873025</v>
      </c>
      <c r="L109" s="23">
        <f>'Model inputs'!L61+'Model inputs'!L28</f>
        <v>66966.66666666664</v>
      </c>
      <c r="M109" s="23">
        <f>'Model inputs'!M61+'Model inputs'!M28</f>
        <v>71767.46031746033</v>
      </c>
      <c r="N109" s="23">
        <f>'Model inputs'!N61+'Model inputs'!N28</f>
        <v>76568.25396825398</v>
      </c>
      <c r="O109" s="23">
        <f>'Model inputs'!O61+'Model inputs'!O28</f>
        <v>119285.71428571428</v>
      </c>
      <c r="P109" s="23">
        <f>'Model inputs'!P61+'Model inputs'!P28</f>
        <v>129073.01587301586</v>
      </c>
      <c r="Q109" s="23">
        <f>'Model inputs'!Q61+'Model inputs'!Q28</f>
        <v>138860.31746031748</v>
      </c>
      <c r="R109" s="23">
        <f>'Model inputs'!R61+'Model inputs'!R28</f>
        <v>148647.619047619</v>
      </c>
      <c r="S109" s="23">
        <f>'Model inputs'!S61+'Model inputs'!S28</f>
        <v>158434.92063492065</v>
      </c>
      <c r="T109" s="23">
        <f>'Model inputs'!T61+'Model inputs'!T28</f>
        <v>168222.22222222225</v>
      </c>
      <c r="U109" s="23">
        <f>'Model inputs'!U61+'Model inputs'!U28</f>
        <v>179642.8571428572</v>
      </c>
      <c r="V109" s="23">
        <f>'Model inputs'!V61+'Model inputs'!V28</f>
        <v>188069.84126984118</v>
      </c>
      <c r="W109" s="23">
        <f>'Model inputs'!W61+'Model inputs'!W28</f>
        <v>196496.82539682544</v>
      </c>
      <c r="X109" s="23">
        <f>'Model inputs'!X61+'Model inputs'!X28</f>
        <v>204923.8095238094</v>
      </c>
      <c r="Y109" s="23">
        <f>'Model inputs'!Y61+'Model inputs'!Y28</f>
        <v>213350.79365079367</v>
      </c>
      <c r="Z109" s="23">
        <f>'Model inputs'!Z61+'Model inputs'!Z28</f>
        <v>221777.7777777778</v>
      </c>
      <c r="AA109" s="23">
        <f>'Model inputs'!AA61+'Model inputs'!AA28</f>
        <v>221404.7619047619</v>
      </c>
      <c r="AB109" s="23">
        <f>'Model inputs'!AB61+'Model inputs'!AB28</f>
        <v>228515.87301587308</v>
      </c>
      <c r="AC109" s="23">
        <f>'Model inputs'!AC61+'Model inputs'!AC28</f>
        <v>235626.98412698408</v>
      </c>
      <c r="AD109" s="23">
        <f>'Model inputs'!AD61+'Model inputs'!AD28</f>
        <v>242738.0952380952</v>
      </c>
      <c r="AE109" s="23">
        <f>'Model inputs'!AE61+'Model inputs'!AE28</f>
        <v>249849.2063492063</v>
      </c>
      <c r="AF109" s="23">
        <f>'Model inputs'!AF61+'Model inputs'!AF28</f>
        <v>256960.31746031757</v>
      </c>
      <c r="AG109" s="23">
        <f>'Model inputs'!AG61+'Model inputs'!AG28</f>
        <v>247904.7619047618</v>
      </c>
      <c r="AH109" s="23">
        <f>'Model inputs'!AH61+'Model inputs'!AH28</f>
        <v>253817.46031746047</v>
      </c>
      <c r="AI109" s="23">
        <f>'Model inputs'!AI61+'Model inputs'!AI28</f>
        <v>259730.15873015864</v>
      </c>
      <c r="AJ109" s="23">
        <f>'Model inputs'!AJ61+'Model inputs'!AJ28</f>
        <v>265642.85714285704</v>
      </c>
      <c r="AK109" s="23">
        <f>'Model inputs'!AK61+'Model inputs'!AK28</f>
        <v>271555.55555555574</v>
      </c>
      <c r="AL109" s="23">
        <f>'Model inputs'!AL61+'Model inputs'!AL28</f>
        <v>277468.25396825385</v>
      </c>
    </row>
    <row r="110">
      <c r="A110" t="inlineStr" s="25">
        <is>
          <t xml:space="preserve">Capital expenditure · POA — Monthly financial forecast</t>
        </is>
      </c>
      <c r="B110" s="23">
        <v>0</v>
      </c>
      <c r="C110" s="23">
        <f>IF('Model inputs'!AM41="","",'Model inputs'!AM41)</f>
        <v>0</v>
      </c>
      <c r="D110" s="23">
        <f>IF('Model inputs'!AM41="","",'Model inputs'!AM41)</f>
        <v>0</v>
      </c>
      <c r="E110" s="23">
        <f>IF('Model inputs'!AM41="","",'Model inputs'!AM41)</f>
        <v>0</v>
      </c>
      <c r="F110" s="23">
        <f>IF('Model inputs'!AM41="","",'Model inputs'!AM41)</f>
        <v>0</v>
      </c>
      <c r="G110" s="23">
        <f>IF('Model inputs'!AM41="","",'Model inputs'!AM41)</f>
        <v>0</v>
      </c>
      <c r="H110" s="23">
        <f>IF('Model inputs'!AM41="","",'Model inputs'!AM41)</f>
        <v>0</v>
      </c>
      <c r="I110" s="23">
        <f>IF('Model inputs'!AM41="","",'Model inputs'!AM41)</f>
        <v>0</v>
      </c>
      <c r="J110" s="23">
        <f>IF('Model inputs'!AM41="","",'Model inputs'!AM41)</f>
        <v>0</v>
      </c>
      <c r="K110" s="23">
        <f>IF('Model inputs'!AM41="","",'Model inputs'!AM41)</f>
        <v>0</v>
      </c>
      <c r="L110" s="23">
        <f>IF('Model inputs'!AM41="","",'Model inputs'!AM41)</f>
        <v>0</v>
      </c>
      <c r="M110" s="23">
        <f>IF('Model inputs'!AM41="","",'Model inputs'!AM41)</f>
        <v>0</v>
      </c>
      <c r="N110" s="23">
        <f>IF('Model inputs'!AM41="","",'Model inputs'!AM41)</f>
        <v>0</v>
      </c>
      <c r="O110" s="23">
        <f>IF('Model inputs'!AM41="","",'Model inputs'!AM41)</f>
        <v>0</v>
      </c>
      <c r="P110" s="23">
        <f>IF('Model inputs'!AM41="","",'Model inputs'!AM41)</f>
        <v>0</v>
      </c>
      <c r="Q110" s="23">
        <f>IF('Model inputs'!AM41="","",'Model inputs'!AM41)</f>
        <v>0</v>
      </c>
      <c r="R110" s="23">
        <f>IF('Model inputs'!AM41="","",'Model inputs'!AM41)</f>
        <v>0</v>
      </c>
      <c r="S110" s="23">
        <f>IF('Model inputs'!AM41="","",'Model inputs'!AM41)</f>
        <v>0</v>
      </c>
      <c r="T110" s="23">
        <f>IF('Model inputs'!AM41="","",'Model inputs'!AM41)</f>
        <v>0</v>
      </c>
      <c r="U110" s="23">
        <f>IF('Model inputs'!AM41="","",'Model inputs'!AM41)</f>
        <v>0</v>
      </c>
      <c r="V110" s="23">
        <f>IF('Model inputs'!AM41="","",'Model inputs'!AM41)</f>
        <v>0</v>
      </c>
      <c r="W110" s="23">
        <f>IF('Model inputs'!AM41="","",'Model inputs'!AM41)</f>
        <v>0</v>
      </c>
      <c r="X110" s="23">
        <f>IF('Model inputs'!AM41="","",'Model inputs'!AM41)</f>
        <v>0</v>
      </c>
      <c r="Y110" s="23">
        <f>IF('Model inputs'!AM41="","",'Model inputs'!AM41)</f>
        <v>0</v>
      </c>
      <c r="Z110" s="23">
        <f>IF('Model inputs'!AM41="","",'Model inputs'!AM41)</f>
        <v>0</v>
      </c>
      <c r="AA110" s="23">
        <f>IF('Model inputs'!AM41="","",'Model inputs'!AM41)</f>
        <v>0</v>
      </c>
      <c r="AB110" s="23">
        <f>IF('Model inputs'!AM41="","",'Model inputs'!AM41)</f>
        <v>0</v>
      </c>
      <c r="AC110" s="23">
        <f>IF('Model inputs'!AM41="","",'Model inputs'!AM41)</f>
        <v>0</v>
      </c>
      <c r="AD110" s="23">
        <f>IF('Model inputs'!AM41="","",'Model inputs'!AM41)</f>
        <v>0</v>
      </c>
      <c r="AE110" s="23">
        <f>IF('Model inputs'!AM41="","",'Model inputs'!AM41)</f>
        <v>0</v>
      </c>
      <c r="AF110" s="23">
        <f>IF('Model inputs'!AM41="","",'Model inputs'!AM41)</f>
        <v>0</v>
      </c>
      <c r="AG110" s="23">
        <f>IF('Model inputs'!AM41="","",'Model inputs'!AM41)</f>
        <v>0</v>
      </c>
      <c r="AH110" s="23">
        <f>IF('Model inputs'!AM41="","",'Model inputs'!AM41)</f>
        <v>0</v>
      </c>
      <c r="AI110" s="23">
        <f>IF('Model inputs'!AM41="","",'Model inputs'!AM41)</f>
        <v>0</v>
      </c>
      <c r="AJ110" s="23">
        <f>IF('Model inputs'!AM41="","",'Model inputs'!AM41)</f>
        <v>0</v>
      </c>
      <c r="AK110" s="23">
        <f>IF('Model inputs'!AM41="","",'Model inputs'!AM41)</f>
        <v>0</v>
      </c>
      <c r="AL110" s="23">
        <f>IF('Model inputs'!AM41="","",'Model inputs'!AM41)</f>
        <v>0</v>
      </c>
    </row>
    <row r="111">
      <c r="A111" t="inlineStr" s="25">
        <is>
          <t xml:space="preserve">Cash taxes · POA — Monthly financial forecast</t>
        </is>
      </c>
      <c r="B111" s="23">
        <v>0</v>
      </c>
      <c r="C111" s="23">
        <f>MAX('Model inputs'!C32,0)*'Model inputs'!AM12</f>
        <v>0</v>
      </c>
      <c r="D111" s="23">
        <f>MAX('Model inputs'!D32,0)*'Model inputs'!AM12</f>
        <v>0</v>
      </c>
      <c r="E111" s="23">
        <f>MAX('Model inputs'!E32,0)*'Model inputs'!AM12</f>
        <v>0</v>
      </c>
      <c r="F111" s="23">
        <f>MAX('Model inputs'!F32,0)*'Model inputs'!AM12</f>
        <v>0</v>
      </c>
      <c r="G111" s="23">
        <f>MAX('Model inputs'!G32,0)*'Model inputs'!AM12</f>
        <v>0</v>
      </c>
      <c r="H111" s="23">
        <f>MAX('Model inputs'!H32,0)*'Model inputs'!AM12</f>
        <v>0</v>
      </c>
      <c r="I111" s="23">
        <f>MAX('Model inputs'!I32,0)*'Model inputs'!AM12</f>
        <v>0</v>
      </c>
      <c r="J111" s="23">
        <f>MAX('Model inputs'!J32,0)*'Model inputs'!AM12</f>
        <v>0</v>
      </c>
      <c r="K111" s="23">
        <f>MAX('Model inputs'!K32,0)*'Model inputs'!AM12</f>
        <v>0</v>
      </c>
      <c r="L111" s="23">
        <f>MAX('Model inputs'!L32,0)*'Model inputs'!AM12</f>
        <v>0</v>
      </c>
      <c r="M111" s="23">
        <f>MAX('Model inputs'!M32,0)*'Model inputs'!AM12</f>
        <v>0</v>
      </c>
      <c r="N111" s="23">
        <f>MAX('Model inputs'!N32,0)*'Model inputs'!AM12</f>
        <v>0</v>
      </c>
      <c r="O111" s="23">
        <f>MAX('Model inputs'!O32,0)*'Model inputs'!AM12</f>
        <v>0</v>
      </c>
      <c r="P111" s="23">
        <f>MAX('Model inputs'!P32,0)*'Model inputs'!AM12</f>
        <v>0</v>
      </c>
      <c r="Q111" s="23">
        <f>MAX('Model inputs'!Q32,0)*'Model inputs'!AM12</f>
        <v>0</v>
      </c>
      <c r="R111" s="23">
        <f>MAX('Model inputs'!R32,0)*'Model inputs'!AM12</f>
        <v>0</v>
      </c>
      <c r="S111" s="23">
        <f>MAX('Model inputs'!S32,0)*'Model inputs'!AM12</f>
        <v>0</v>
      </c>
      <c r="T111" s="23">
        <f>MAX('Model inputs'!T32,0)*'Model inputs'!AM12</f>
        <v>0</v>
      </c>
      <c r="U111" s="23">
        <f>MAX('Model inputs'!U32,0)*'Model inputs'!AM12</f>
        <v>0</v>
      </c>
      <c r="V111" s="23">
        <f>MAX('Model inputs'!V32,0)*'Model inputs'!AM12</f>
        <v>0</v>
      </c>
      <c r="W111" s="23">
        <f>MAX('Model inputs'!W32,0)*'Model inputs'!AM12</f>
        <v>0</v>
      </c>
      <c r="X111" s="23">
        <f>MAX('Model inputs'!X32,0)*'Model inputs'!AM12</f>
        <v>0</v>
      </c>
      <c r="Y111" s="23">
        <f>MAX('Model inputs'!Y32,0)*'Model inputs'!AM12</f>
        <v>0</v>
      </c>
      <c r="Z111" s="23">
        <f>MAX('Model inputs'!Z32,0)*'Model inputs'!AM12</f>
        <v>0</v>
      </c>
      <c r="AA111" s="23">
        <f>MAX('Model inputs'!AA32,0)*'Model inputs'!AM12</f>
        <v>0</v>
      </c>
      <c r="AB111" s="23">
        <f>MAX('Model inputs'!AB32,0)*'Model inputs'!AM12</f>
        <v>0</v>
      </c>
      <c r="AC111" s="23">
        <f>MAX('Model inputs'!AC32,0)*'Model inputs'!AM12</f>
        <v>0</v>
      </c>
      <c r="AD111" s="23">
        <f>MAX('Model inputs'!AD32,0)*'Model inputs'!AM12</f>
        <v>0</v>
      </c>
      <c r="AE111" s="23">
        <f>MAX('Model inputs'!AE32,0)*'Model inputs'!AM12</f>
        <v>0</v>
      </c>
      <c r="AF111" s="23">
        <f>MAX('Model inputs'!AF32,0)*'Model inputs'!AM12</f>
        <v>0</v>
      </c>
      <c r="AG111" s="23">
        <f>MAX('Model inputs'!AG32,0)*'Model inputs'!AM12</f>
        <v>0</v>
      </c>
      <c r="AH111" s="23">
        <f>MAX('Model inputs'!AH32,0)*'Model inputs'!AM12</f>
        <v>0</v>
      </c>
      <c r="AI111" s="23">
        <f>MAX('Model inputs'!AI32,0)*'Model inputs'!AM12</f>
        <v>0</v>
      </c>
      <c r="AJ111" s="23">
        <f>MAX('Model inputs'!AJ32,0)*'Model inputs'!AM12</f>
        <v>0</v>
      </c>
      <c r="AK111" s="23">
        <f>MAX('Model inputs'!AK32,0)*'Model inputs'!AM12</f>
        <v>0</v>
      </c>
      <c r="AL111" s="23">
        <f>MAX('Model inputs'!AL32,0)*'Model inputs'!AM12</f>
        <v>0</v>
      </c>
    </row>
    <row r="112">
      <c r="A112" t="inlineStr" s="25">
        <is>
          <t xml:space="preserve">Churned protocols · POA — Monthly financial forecast</t>
        </is>
      </c>
      <c r="B112" s="23">
        <v>0</v>
      </c>
      <c r="C112" s="23">
        <f>'Model inputs'!C120*'Model inputs'!C119</f>
        <v>0</v>
      </c>
      <c r="D112" s="23">
        <f>'Model inputs'!D120*'Model inputs'!D119</f>
        <v>0.023809523809523808</v>
      </c>
      <c r="E112" s="23">
        <f>'Model inputs'!E120*'Model inputs'!E119</f>
        <v>0.047619047619047616</v>
      </c>
      <c r="F112" s="23">
        <f>'Model inputs'!F120*'Model inputs'!F119</f>
        <v>0.07142857142857142</v>
      </c>
      <c r="G112" s="23">
        <f>'Model inputs'!G120*'Model inputs'!G119</f>
        <v>0.09523809523809523</v>
      </c>
      <c r="H112" s="23">
        <f>'Model inputs'!H120*'Model inputs'!H119</f>
        <v>0.11904761904761904</v>
      </c>
      <c r="I112" s="23">
        <f>'Model inputs'!I120*'Model inputs'!I119</f>
        <v>0.14285714285714285</v>
      </c>
      <c r="J112" s="23">
        <f>'Model inputs'!J120*'Model inputs'!J119</f>
        <v>0.2063492063492063</v>
      </c>
      <c r="K112" s="23">
        <f>'Model inputs'!K120*'Model inputs'!K119</f>
        <v>0.26984126984126977</v>
      </c>
      <c r="L112" s="23">
        <f>'Model inputs'!L120*'Model inputs'!L119</f>
        <v>0.3333333333333333</v>
      </c>
      <c r="M112" s="23">
        <f>'Model inputs'!M120*'Model inputs'!M119</f>
        <v>0.39682539682539675</v>
      </c>
      <c r="N112" s="23">
        <f>'Model inputs'!N120*'Model inputs'!N119</f>
        <v>0.46031746031746024</v>
      </c>
      <c r="O112" s="23">
        <f>'Model inputs'!O120*'Model inputs'!O119</f>
        <v>0.5238095238095237</v>
      </c>
      <c r="P112" s="23">
        <f>'Model inputs'!P120*'Model inputs'!P119</f>
        <v>0.6746031746031745</v>
      </c>
      <c r="Q112" s="23">
        <f>'Model inputs'!Q120*'Model inputs'!Q119</f>
        <v>0.8253968253968252</v>
      </c>
      <c r="R112" s="23">
        <f>'Model inputs'!R120*'Model inputs'!R119</f>
        <v>0.9761904761904762</v>
      </c>
      <c r="S112" s="23">
        <f>'Model inputs'!S120*'Model inputs'!S119</f>
        <v>1.1269841269841268</v>
      </c>
      <c r="T112" s="23">
        <f>'Model inputs'!T120*'Model inputs'!T119</f>
        <v>1.2777777777777777</v>
      </c>
      <c r="U112" s="23">
        <f>'Model inputs'!U120*'Model inputs'!U119</f>
        <v>1.4285714285714284</v>
      </c>
      <c r="V112" s="23">
        <f>'Model inputs'!V120*'Model inputs'!V119</f>
        <v>1.5873015873015874</v>
      </c>
      <c r="W112" s="23">
        <f>'Model inputs'!W120*'Model inputs'!W119</f>
        <v>1.7460317460317458</v>
      </c>
      <c r="X112" s="23">
        <f>'Model inputs'!X120*'Model inputs'!X119</f>
        <v>1.9047619047619047</v>
      </c>
      <c r="Y112" s="23">
        <f>'Model inputs'!Y120*'Model inputs'!Y119</f>
        <v>2.0634920634920633</v>
      </c>
      <c r="Z112" s="23">
        <f>'Model inputs'!Z120*'Model inputs'!Z119</f>
        <v>2.222222222222222</v>
      </c>
      <c r="AA112" s="23">
        <f>'Model inputs'!AA120*'Model inputs'!AA119</f>
        <v>2.380952380952381</v>
      </c>
      <c r="AB112" s="23">
        <f>'Model inputs'!AB120*'Model inputs'!AB119</f>
        <v>2.5198412698412698</v>
      </c>
      <c r="AC112" s="23">
        <f>'Model inputs'!AC120*'Model inputs'!AC119</f>
        <v>2.6587301587301586</v>
      </c>
      <c r="AD112" s="23">
        <f>'Model inputs'!AD120*'Model inputs'!AD119</f>
        <v>2.7976190476190474</v>
      </c>
      <c r="AE112" s="23">
        <f>'Model inputs'!AE120*'Model inputs'!AE119</f>
        <v>2.9365079365079363</v>
      </c>
      <c r="AF112" s="23">
        <f>'Model inputs'!AF120*'Model inputs'!AF119</f>
        <v>3.075396825396825</v>
      </c>
      <c r="AG112" s="23">
        <f>'Model inputs'!AG120*'Model inputs'!AG119</f>
        <v>3.214285714285714</v>
      </c>
      <c r="AH112" s="23">
        <f>'Model inputs'!AH120*'Model inputs'!AH119</f>
        <v>3.3134920634920633</v>
      </c>
      <c r="AI112" s="23">
        <f>'Model inputs'!AI120*'Model inputs'!AI119</f>
        <v>3.4126984126984126</v>
      </c>
      <c r="AJ112" s="23">
        <f>'Model inputs'!AJ120*'Model inputs'!AJ119</f>
        <v>3.511904761904762</v>
      </c>
      <c r="AK112" s="23">
        <f>'Model inputs'!AK120*'Model inputs'!AK119</f>
        <v>3.6111111111111107</v>
      </c>
      <c r="AL112" s="23">
        <f>'Model inputs'!AL120*'Model inputs'!AL119</f>
        <v>3.7103174603174605</v>
      </c>
    </row>
    <row r="113">
      <c r="A113" t="inlineStr" s="25">
        <is>
          <t xml:space="preserve">Incident COGS · POA — Monthly financial forecast</t>
        </is>
      </c>
      <c r="B113" s="23">
        <v>0</v>
      </c>
      <c r="C113" s="23">
        <f>'Model inputs'!C118+'Model inputs'!C116+'Model inputs'!C121+'Model inputs'!C117</f>
        <v>6.199999999999999</v>
      </c>
      <c r="D113" s="23">
        <f>'Model inputs'!D118+'Model inputs'!D116+'Model inputs'!D121+'Model inputs'!D117</f>
        <v>12.399999999999999</v>
      </c>
      <c r="E113" s="23">
        <f>'Model inputs'!E118+'Model inputs'!E116+'Model inputs'!E121+'Model inputs'!E117</f>
        <v>18.6</v>
      </c>
      <c r="F113" s="23">
        <f>'Model inputs'!F118+'Model inputs'!F116+'Model inputs'!F121+'Model inputs'!F117</f>
        <v>24.799999999999997</v>
      </c>
      <c r="G113" s="23">
        <f>'Model inputs'!G118+'Model inputs'!G116+'Model inputs'!G121+'Model inputs'!G117</f>
        <v>31</v>
      </c>
      <c r="H113" s="23">
        <f>'Model inputs'!H118+'Model inputs'!H116+'Model inputs'!H121+'Model inputs'!H117</f>
        <v>37.2</v>
      </c>
      <c r="I113" s="23">
        <f>'Model inputs'!I118+'Model inputs'!I116+'Model inputs'!I121+'Model inputs'!I117</f>
        <v>53.733333333333334</v>
      </c>
      <c r="J113" s="23">
        <f>'Model inputs'!J118+'Model inputs'!J116+'Model inputs'!J121+'Model inputs'!J117</f>
        <v>70.26666666666665</v>
      </c>
      <c r="K113" s="23">
        <f>'Model inputs'!K118+'Model inputs'!K116+'Model inputs'!K121+'Model inputs'!K117</f>
        <v>86.8</v>
      </c>
      <c r="L113" s="23">
        <f>'Model inputs'!L118+'Model inputs'!L116+'Model inputs'!L121+'Model inputs'!L117</f>
        <v>103.33333333333331</v>
      </c>
      <c r="M113" s="23">
        <f>'Model inputs'!M118+'Model inputs'!M116+'Model inputs'!M121+'Model inputs'!M117</f>
        <v>119.86666666666666</v>
      </c>
      <c r="N113" s="23">
        <f>'Model inputs'!N118+'Model inputs'!N116+'Model inputs'!N121+'Model inputs'!N117</f>
        <v>136.39999999999998</v>
      </c>
      <c r="O113" s="23">
        <f>'Model inputs'!O118+'Model inputs'!O116+'Model inputs'!O121+'Model inputs'!O117</f>
        <v>175.66666666666666</v>
      </c>
      <c r="P113" s="23">
        <f>'Model inputs'!P118+'Model inputs'!P116+'Model inputs'!P121+'Model inputs'!P117</f>
        <v>214.93333333333334</v>
      </c>
      <c r="Q113" s="23">
        <f>'Model inputs'!Q118+'Model inputs'!Q116+'Model inputs'!Q121+'Model inputs'!Q117</f>
        <v>254.2</v>
      </c>
      <c r="R113" s="23">
        <f>'Model inputs'!R118+'Model inputs'!R116+'Model inputs'!R121+'Model inputs'!R117</f>
        <v>293.46666666666664</v>
      </c>
      <c r="S113" s="23">
        <f>'Model inputs'!S118+'Model inputs'!S116+'Model inputs'!S121+'Model inputs'!S117</f>
        <v>332.7333333333333</v>
      </c>
      <c r="T113" s="23">
        <f>'Model inputs'!T118+'Model inputs'!T116+'Model inputs'!T121+'Model inputs'!T117</f>
        <v>372</v>
      </c>
      <c r="U113" s="23">
        <f>'Model inputs'!U118+'Model inputs'!U116+'Model inputs'!U121+'Model inputs'!U117</f>
        <v>413.33333333333337</v>
      </c>
      <c r="V113" s="23">
        <f>'Model inputs'!V118+'Model inputs'!V116+'Model inputs'!V121+'Model inputs'!V117</f>
        <v>454.66666666666663</v>
      </c>
      <c r="W113" s="23">
        <f>'Model inputs'!W118+'Model inputs'!W116+'Model inputs'!W121+'Model inputs'!W117</f>
        <v>496</v>
      </c>
      <c r="X113" s="23">
        <f>'Model inputs'!X118+'Model inputs'!X116+'Model inputs'!X121+'Model inputs'!X117</f>
        <v>537.3333333333333</v>
      </c>
      <c r="Y113" s="23">
        <f>'Model inputs'!Y118+'Model inputs'!Y116+'Model inputs'!Y121+'Model inputs'!Y117</f>
        <v>578.6666666666666</v>
      </c>
      <c r="Z113" s="23">
        <f>'Model inputs'!Z118+'Model inputs'!Z116+'Model inputs'!Z121+'Model inputs'!Z117</f>
        <v>620</v>
      </c>
      <c r="AA113" s="23">
        <f>'Model inputs'!AA118+'Model inputs'!AA116+'Model inputs'!AA121+'Model inputs'!AA117</f>
        <v>656.1666666666666</v>
      </c>
      <c r="AB113" s="23">
        <f>'Model inputs'!AB118+'Model inputs'!AB116+'Model inputs'!AB121+'Model inputs'!AB117</f>
        <v>692.3333333333334</v>
      </c>
      <c r="AC113" s="23">
        <f>'Model inputs'!AC118+'Model inputs'!AC116+'Model inputs'!AC121+'Model inputs'!AC117</f>
        <v>728.5</v>
      </c>
      <c r="AD113" s="23">
        <f>'Model inputs'!AD118+'Model inputs'!AD116+'Model inputs'!AD121+'Model inputs'!AD117</f>
        <v>764.6666666666666</v>
      </c>
      <c r="AE113" s="23">
        <f>'Model inputs'!AE118+'Model inputs'!AE116+'Model inputs'!AE121+'Model inputs'!AE117</f>
        <v>800.8333333333333</v>
      </c>
      <c r="AF113" s="23">
        <f>'Model inputs'!AF118+'Model inputs'!AF116+'Model inputs'!AF121+'Model inputs'!AF117</f>
        <v>837</v>
      </c>
      <c r="AG113" s="23">
        <f>'Model inputs'!AG118+'Model inputs'!AG116+'Model inputs'!AG121+'Model inputs'!AG117</f>
        <v>862.8333333333333</v>
      </c>
      <c r="AH113" s="23">
        <f>'Model inputs'!AH118+'Model inputs'!AH116+'Model inputs'!AH121+'Model inputs'!AH117</f>
        <v>888.6666666666666</v>
      </c>
      <c r="AI113" s="23">
        <f>'Model inputs'!AI118+'Model inputs'!AI116+'Model inputs'!AI121+'Model inputs'!AI117</f>
        <v>914.5</v>
      </c>
      <c r="AJ113" s="23">
        <f>'Model inputs'!AJ118+'Model inputs'!AJ116+'Model inputs'!AJ121+'Model inputs'!AJ117</f>
        <v>940.3333333333333</v>
      </c>
      <c r="AK113" s="23">
        <f>'Model inputs'!AK118+'Model inputs'!AK116+'Model inputs'!AK121+'Model inputs'!AK117</f>
        <v>966.1666666666666</v>
      </c>
      <c r="AL113" s="23">
        <f>'Model inputs'!AL118+'Model inputs'!AL116+'Model inputs'!AL121+'Model inputs'!AL117</f>
        <v>992</v>
      </c>
    </row>
    <row r="114">
      <c r="A114" t="inlineStr" s="25">
        <is>
          <t xml:space="preserve">Net protocol additions · POA — Monthly financial forecast</t>
        </is>
      </c>
      <c r="B114" s="23">
        <v>0</v>
      </c>
      <c r="C114" s="23">
        <f>'Model inputs'!C7-'Model inputs'!C120</f>
        <v>1</v>
      </c>
      <c r="D114" s="23">
        <f>'Model inputs'!D7-'Model inputs'!D120</f>
        <v>1</v>
      </c>
      <c r="E114" s="23">
        <f>'Model inputs'!E7-'Model inputs'!E120</f>
        <v>1</v>
      </c>
      <c r="F114" s="23">
        <f>'Model inputs'!F7-'Model inputs'!F120</f>
        <v>1</v>
      </c>
      <c r="G114" s="23">
        <f>'Model inputs'!G7-'Model inputs'!G120</f>
        <v>1</v>
      </c>
      <c r="H114" s="23">
        <f>'Model inputs'!H7-'Model inputs'!H120</f>
        <v>1</v>
      </c>
      <c r="I114" s="23">
        <f>'Model inputs'!I7-'Model inputs'!I120</f>
        <v>2.666666666666666</v>
      </c>
      <c r="J114" s="23">
        <f>'Model inputs'!J7-'Model inputs'!J120</f>
        <v>2.666666666666666</v>
      </c>
      <c r="K114" s="23">
        <f>'Model inputs'!K7-'Model inputs'!K120</f>
        <v>2.666666666666668</v>
      </c>
      <c r="L114" s="23">
        <f>'Model inputs'!L7-'Model inputs'!L120</f>
        <v>2.6666666666666643</v>
      </c>
      <c r="M114" s="23">
        <f>'Model inputs'!M7-'Model inputs'!M120</f>
        <v>2.666666666666668</v>
      </c>
      <c r="N114" s="23">
        <f>'Model inputs'!N7-'Model inputs'!N120</f>
        <v>2.666666666666668</v>
      </c>
      <c r="O114" s="23">
        <f>'Model inputs'!O7-'Model inputs'!O120</f>
        <v>6.333333333333332</v>
      </c>
      <c r="P114" s="23">
        <f>'Model inputs'!P7-'Model inputs'!P120</f>
        <v>6.333333333333332</v>
      </c>
      <c r="Q114" s="23">
        <f>'Model inputs'!Q7-'Model inputs'!Q120</f>
        <v>6.333333333333336</v>
      </c>
      <c r="R114" s="23">
        <f>'Model inputs'!R7-'Model inputs'!R120</f>
        <v>6.333333333333329</v>
      </c>
      <c r="S114" s="23">
        <f>'Model inputs'!S7-'Model inputs'!S120</f>
        <v>6.333333333333336</v>
      </c>
      <c r="T114" s="23">
        <f>'Model inputs'!T7-'Model inputs'!T120</f>
        <v>6.333333333333336</v>
      </c>
      <c r="U114" s="23">
        <f>'Model inputs'!U7-'Model inputs'!U120</f>
        <v>6.666666666666671</v>
      </c>
      <c r="V114" s="23">
        <f>'Model inputs'!V7-'Model inputs'!V120</f>
        <v>6.666666666666657</v>
      </c>
      <c r="W114" s="23">
        <f>'Model inputs'!W7-'Model inputs'!W120</f>
        <v>6.666666666666671</v>
      </c>
      <c r="X114" s="23">
        <f>'Model inputs'!X7-'Model inputs'!X120</f>
        <v>6.666666666666657</v>
      </c>
      <c r="Y114" s="23">
        <f>'Model inputs'!Y7-'Model inputs'!Y120</f>
        <v>6.666666666666671</v>
      </c>
      <c r="Z114" s="23">
        <f>'Model inputs'!Z7-'Model inputs'!Z120</f>
        <v>6.666666666666671</v>
      </c>
      <c r="AA114" s="23">
        <f>'Model inputs'!AA7-'Model inputs'!AA120</f>
        <v>5.833333333333329</v>
      </c>
      <c r="AB114" s="23">
        <f>'Model inputs'!AB7-'Model inputs'!AB120</f>
        <v>5.833333333333343</v>
      </c>
      <c r="AC114" s="23">
        <f>'Model inputs'!AC7-'Model inputs'!AC120</f>
        <v>5.833333333333329</v>
      </c>
      <c r="AD114" s="23">
        <f>'Model inputs'!AD7-'Model inputs'!AD120</f>
        <v>5.833333333333329</v>
      </c>
      <c r="AE114" s="23">
        <f>'Model inputs'!AE7-'Model inputs'!AE120</f>
        <v>5.833333333333329</v>
      </c>
      <c r="AF114" s="23">
        <f>'Model inputs'!AF7-'Model inputs'!AF120</f>
        <v>5.833333333333343</v>
      </c>
      <c r="AG114" s="23">
        <f>'Model inputs'!AG7-'Model inputs'!AG120</f>
        <v>4.166666666666657</v>
      </c>
      <c r="AH114" s="23">
        <f>'Model inputs'!AH7-'Model inputs'!AH120</f>
        <v>4.166666666666686</v>
      </c>
      <c r="AI114" s="23">
        <f>'Model inputs'!AI7-'Model inputs'!AI120</f>
        <v>4.166666666666657</v>
      </c>
      <c r="AJ114" s="23">
        <f>'Model inputs'!AJ7-'Model inputs'!AJ120</f>
        <v>4.166666666666657</v>
      </c>
      <c r="AK114" s="23">
        <f>'Model inputs'!AK7-'Model inputs'!AK120</f>
        <v>4.166666666666686</v>
      </c>
      <c r="AL114" s="23">
        <f>'Model inputs'!AL7-'Model inputs'!AL120</f>
        <v>4.166666666666657</v>
      </c>
    </row>
    <row r="115">
      <c r="A115" t="inlineStr" s="25">
        <is>
          <t xml:space="preserve">Other delivery cost provision · POA — Monthly financial forecast</t>
        </is>
      </c>
      <c r="B115" s="23">
        <v>0</v>
      </c>
      <c r="C115" s="23">
        <f>MAX('Model inputs'!C85*'Model inputs'!AM31-'Model inputs'!C113,0)</f>
        <v>0.8416666666666677</v>
      </c>
      <c r="D115" s="23">
        <f>MAX('Model inputs'!D85*'Model inputs'!AM31-'Model inputs'!D113,0)</f>
        <v>1.7666666666666675</v>
      </c>
      <c r="E115" s="23">
        <f>MAX('Model inputs'!E85*'Model inputs'!AM31-'Model inputs'!E113,0)</f>
        <v>2.7749999999999986</v>
      </c>
      <c r="F115" s="23">
        <f>MAX('Model inputs'!F85*'Model inputs'!AM31-'Model inputs'!F113,0)</f>
        <v>3.8666666666666707</v>
      </c>
      <c r="G115" s="23">
        <f>MAX('Model inputs'!G85*'Model inputs'!AM31-'Model inputs'!G113,0)</f>
        <v>5.041666666666664</v>
      </c>
      <c r="H115" s="23">
        <f>MAX('Model inputs'!H85*'Model inputs'!AM31-'Model inputs'!H113,0)</f>
        <v>6.299999999999997</v>
      </c>
      <c r="I115" s="23">
        <f>MAX('Model inputs'!I85*'Model inputs'!AM31-'Model inputs'!I113,0)</f>
        <v>10.883670033670029</v>
      </c>
      <c r="J115" s="23">
        <f>MAX('Model inputs'!J85*'Model inputs'!AM31-'Model inputs'!J113,0)</f>
        <v>16.564983164983175</v>
      </c>
      <c r="K115" s="23">
        <f>MAX('Model inputs'!K85*'Model inputs'!AM31-'Model inputs'!K113,0)</f>
        <v>23.343939393939394</v>
      </c>
      <c r="L115" s="23">
        <f>MAX('Model inputs'!L85*'Model inputs'!AM31-'Model inputs'!L113,0)</f>
        <v>31.220538720538713</v>
      </c>
      <c r="M115" s="23">
        <f>MAX('Model inputs'!M85*'Model inputs'!AM31-'Model inputs'!M113,0)</f>
        <v>40.194781144781146</v>
      </c>
      <c r="N115" s="23">
        <f>MAX('Model inputs'!N85*'Model inputs'!AM31-'Model inputs'!N113,0)</f>
        <v>50.26666666666668</v>
      </c>
      <c r="O115" s="23">
        <f>MAX('Model inputs'!O85*'Model inputs'!AM31-'Model inputs'!O113,0)</f>
        <v>69.53114478114477</v>
      </c>
      <c r="P115" s="23">
        <f>MAX('Model inputs'!P85*'Model inputs'!AM31-'Model inputs'!P113,0)</f>
        <v>90.93872053872047</v>
      </c>
      <c r="Q115" s="23">
        <f>MAX('Model inputs'!Q85*'Model inputs'!AM31-'Model inputs'!Q113,0)</f>
        <v>114.48939393939395</v>
      </c>
      <c r="R115" s="23">
        <f>MAX('Model inputs'!R85*'Model inputs'!AM31-'Model inputs'!R113,0)</f>
        <v>140.183164983165</v>
      </c>
      <c r="S115" s="23">
        <f>MAX('Model inputs'!S85*'Model inputs'!AM31-'Model inputs'!S113,0)</f>
        <v>168.02003367003368</v>
      </c>
      <c r="T115" s="23">
        <f>MAX('Model inputs'!T85*'Model inputs'!AM31-'Model inputs'!T113,0)</f>
        <v>198</v>
      </c>
      <c r="U115" s="23">
        <f>MAX('Model inputs'!U85*'Model inputs'!AM31-'Model inputs'!U113,0)</f>
        <v>225.55555555555566</v>
      </c>
      <c r="V115" s="23">
        <f>MAX('Model inputs'!V85*'Model inputs'!AM31-'Model inputs'!V113,0)</f>
        <v>254.22222222222217</v>
      </c>
      <c r="W115" s="23">
        <f>MAX('Model inputs'!W85*'Model inputs'!AM31-'Model inputs'!W113,0)</f>
        <v>284</v>
      </c>
      <c r="X115" s="23">
        <f>MAX('Model inputs'!X85*'Model inputs'!AM31-'Model inputs'!X113,0)</f>
        <v>314.8888888888889</v>
      </c>
      <c r="Y115" s="23">
        <f>MAX('Model inputs'!Y85*'Model inputs'!AM31-'Model inputs'!Y113,0)</f>
        <v>346.8888888888889</v>
      </c>
      <c r="Z115" s="23">
        <f>MAX('Model inputs'!Z85*'Model inputs'!AM31-'Model inputs'!Z113,0)</f>
        <v>380</v>
      </c>
      <c r="AA115" s="23">
        <f>MAX('Model inputs'!AA85*'Model inputs'!AM31-'Model inputs'!AA113,0)</f>
        <v>410.9861111111112</v>
      </c>
      <c r="AB115" s="23">
        <f>MAX('Model inputs'!AB85*'Model inputs'!AM31-'Model inputs'!AB113,0)</f>
        <v>442.9444444444447</v>
      </c>
      <c r="AC115" s="23">
        <f>MAX('Model inputs'!AC85*'Model inputs'!AM31-'Model inputs'!AC113,0)</f>
        <v>475.875</v>
      </c>
      <c r="AD115" s="23">
        <f>MAX('Model inputs'!AD85*'Model inputs'!AM31-'Model inputs'!AD113,0)</f>
        <v>509.77777777777794</v>
      </c>
      <c r="AE115" s="23">
        <f>MAX('Model inputs'!AE85*'Model inputs'!AM31-'Model inputs'!AE113,0)</f>
        <v>544.6527777777778</v>
      </c>
      <c r="AF115" s="23">
        <f>MAX('Model inputs'!AF85*'Model inputs'!AM31-'Model inputs'!AF113,0)</f>
        <v>580.5</v>
      </c>
      <c r="AG115" s="23">
        <f>MAX('Model inputs'!AG85*'Model inputs'!AM31-'Model inputs'!AG113,0)</f>
        <v>610.0138888888887</v>
      </c>
      <c r="AH115" s="23">
        <f>MAX('Model inputs'!AH85*'Model inputs'!AM31-'Model inputs'!AH113,0)</f>
        <v>640.2222222222223</v>
      </c>
      <c r="AI115" s="23">
        <f>MAX('Model inputs'!AI85*'Model inputs'!AM31-'Model inputs'!AI113,0)</f>
        <v>671.125</v>
      </c>
      <c r="AJ115" s="23">
        <f>MAX('Model inputs'!AJ85*'Model inputs'!AM31-'Model inputs'!AJ113,0)</f>
        <v>702.7222222222222</v>
      </c>
      <c r="AK115" s="23">
        <f>MAX('Model inputs'!AK85*'Model inputs'!AM31-'Model inputs'!AK113,0)</f>
        <v>735.0138888888893</v>
      </c>
      <c r="AL115" s="23">
        <f>MAX('Model inputs'!AL85*'Model inputs'!AM31-'Model inputs'!AL113,0)</f>
        <v>768</v>
      </c>
    </row>
    <row r="116">
      <c r="A116" t="inlineStr" s="25">
        <is>
          <t xml:space="preserve">Archive RPC delivery cost · POA — Monthly financial forecast</t>
        </is>
      </c>
      <c r="B116" s="23">
        <v>0</v>
      </c>
      <c r="C116" s="23">
        <f>'Model inputs'!C122*'Model inputs'!AM8</f>
        <v>0.3</v>
      </c>
      <c r="D116" s="23">
        <f>'Model inputs'!D122*'Model inputs'!AM8</f>
        <v>0.6</v>
      </c>
      <c r="E116" s="23">
        <f>'Model inputs'!E122*'Model inputs'!AM8</f>
        <v>0.9</v>
      </c>
      <c r="F116" s="23">
        <f>'Model inputs'!F122*'Model inputs'!AM8</f>
        <v>1.2</v>
      </c>
      <c r="G116" s="23">
        <f>'Model inputs'!G122*'Model inputs'!AM8</f>
        <v>1.5</v>
      </c>
      <c r="H116" s="23">
        <f>'Model inputs'!H122*'Model inputs'!AM8</f>
        <v>1.8</v>
      </c>
      <c r="I116" s="23">
        <f>'Model inputs'!I122*'Model inputs'!AM8</f>
        <v>2.6</v>
      </c>
      <c r="J116" s="23">
        <f>'Model inputs'!J122*'Model inputs'!AM8</f>
        <v>3.4</v>
      </c>
      <c r="K116" s="23">
        <f>'Model inputs'!K122*'Model inputs'!AM8</f>
        <v>4.2</v>
      </c>
      <c r="L116" s="23">
        <f>'Model inputs'!L122*'Model inputs'!AM8</f>
        <v>5</v>
      </c>
      <c r="M116" s="23">
        <f>'Model inputs'!M122*'Model inputs'!AM8</f>
        <v>5.8</v>
      </c>
      <c r="N116" s="23">
        <f>'Model inputs'!N122*'Model inputs'!AM8</f>
        <v>6.6000000000000005</v>
      </c>
      <c r="O116" s="23">
        <f>'Model inputs'!O122*'Model inputs'!AM8</f>
        <v>8.5</v>
      </c>
      <c r="P116" s="23">
        <f>'Model inputs'!P122*'Model inputs'!AM8</f>
        <v>10.4</v>
      </c>
      <c r="Q116" s="23">
        <f>'Model inputs'!Q122*'Model inputs'!AM8</f>
        <v>12.3</v>
      </c>
      <c r="R116" s="23">
        <f>'Model inputs'!R122*'Model inputs'!AM8</f>
        <v>14.2</v>
      </c>
      <c r="S116" s="23">
        <f>'Model inputs'!S122*'Model inputs'!AM8</f>
        <v>16.099999999999998</v>
      </c>
      <c r="T116" s="23">
        <f>'Model inputs'!T122*'Model inputs'!AM8</f>
        <v>18</v>
      </c>
      <c r="U116" s="23">
        <f>'Model inputs'!U122*'Model inputs'!AM8</f>
        <v>20</v>
      </c>
      <c r="V116" s="23">
        <f>'Model inputs'!V122*'Model inputs'!AM8</f>
        <v>22</v>
      </c>
      <c r="W116" s="23">
        <f>'Model inputs'!W122*'Model inputs'!AM8</f>
        <v>24</v>
      </c>
      <c r="X116" s="23">
        <f>'Model inputs'!X122*'Model inputs'!AM8</f>
        <v>26</v>
      </c>
      <c r="Y116" s="23">
        <f>'Model inputs'!Y122*'Model inputs'!AM8</f>
        <v>27.999999999999996</v>
      </c>
      <c r="Z116" s="23">
        <f>'Model inputs'!Z122*'Model inputs'!AM8</f>
        <v>30</v>
      </c>
      <c r="AA116" s="23">
        <f>'Model inputs'!AA122*'Model inputs'!AM8</f>
        <v>31.749999999999996</v>
      </c>
      <c r="AB116" s="23">
        <f>'Model inputs'!AB122*'Model inputs'!AM8</f>
        <v>33.50000000000001</v>
      </c>
      <c r="AC116" s="23">
        <f>'Model inputs'!AC122*'Model inputs'!AM8</f>
        <v>35.25</v>
      </c>
      <c r="AD116" s="23">
        <f>'Model inputs'!AD122*'Model inputs'!AM8</f>
        <v>37</v>
      </c>
      <c r="AE116" s="23">
        <f>'Model inputs'!AE122*'Model inputs'!AM8</f>
        <v>38.75</v>
      </c>
      <c r="AF116" s="23">
        <f>'Model inputs'!AF122*'Model inputs'!AM8</f>
        <v>40.5</v>
      </c>
      <c r="AG116" s="23">
        <f>'Model inputs'!AG122*'Model inputs'!AM8</f>
        <v>41.75</v>
      </c>
      <c r="AH116" s="23">
        <f>'Model inputs'!AH122*'Model inputs'!AM8</f>
        <v>43</v>
      </c>
      <c r="AI116" s="23">
        <f>'Model inputs'!AI122*'Model inputs'!AM8</f>
        <v>44.25</v>
      </c>
      <c r="AJ116" s="23">
        <f>'Model inputs'!AJ122*'Model inputs'!AM8</f>
        <v>45.5</v>
      </c>
      <c r="AK116" s="23">
        <f>'Model inputs'!AK122*'Model inputs'!AM8</f>
        <v>46.75</v>
      </c>
      <c r="AL116" s="23">
        <f>'Model inputs'!AL122*'Model inputs'!AM8</f>
        <v>48</v>
      </c>
    </row>
    <row r="117">
      <c r="A117" t="inlineStr" s="25">
        <is>
          <t xml:space="preserve">Contract registration gas cost · POA — Monthly financial forecast</t>
        </is>
      </c>
      <c r="B117" s="23">
        <v>0</v>
      </c>
      <c r="C117" s="23">
        <f>'Model inputs'!C122*'Model inputs'!AM35</f>
        <v>2</v>
      </c>
      <c r="D117" s="23">
        <f>'Model inputs'!D122*'Model inputs'!AM35</f>
        <v>4</v>
      </c>
      <c r="E117" s="23">
        <f>'Model inputs'!E122*'Model inputs'!AM35</f>
        <v>6</v>
      </c>
      <c r="F117" s="23">
        <f>'Model inputs'!F122*'Model inputs'!AM35</f>
        <v>8</v>
      </c>
      <c r="G117" s="23">
        <f>'Model inputs'!G122*'Model inputs'!AM35</f>
        <v>10</v>
      </c>
      <c r="H117" s="23">
        <f>'Model inputs'!H122*'Model inputs'!AM35</f>
        <v>12</v>
      </c>
      <c r="I117" s="23">
        <f>'Model inputs'!I122*'Model inputs'!AM35</f>
        <v>17.333333333333332</v>
      </c>
      <c r="J117" s="23">
        <f>'Model inputs'!J122*'Model inputs'!AM35</f>
        <v>22.666666666666664</v>
      </c>
      <c r="K117" s="23">
        <f>'Model inputs'!K122*'Model inputs'!AM35</f>
        <v>28</v>
      </c>
      <c r="L117" s="23">
        <f>'Model inputs'!L122*'Model inputs'!AM35</f>
        <v>33.33333333333333</v>
      </c>
      <c r="M117" s="23">
        <f>'Model inputs'!M122*'Model inputs'!AM35</f>
        <v>38.666666666666664</v>
      </c>
      <c r="N117" s="23">
        <f>'Model inputs'!N122*'Model inputs'!AM35</f>
        <v>44</v>
      </c>
      <c r="O117" s="23">
        <f>'Model inputs'!O122*'Model inputs'!AM35</f>
        <v>56.666666666666664</v>
      </c>
      <c r="P117" s="23">
        <f>'Model inputs'!P122*'Model inputs'!AM35</f>
        <v>69.33333333333333</v>
      </c>
      <c r="Q117" s="23">
        <f>'Model inputs'!Q122*'Model inputs'!AM35</f>
        <v>82</v>
      </c>
      <c r="R117" s="23">
        <f>'Model inputs'!R122*'Model inputs'!AM35</f>
        <v>94.66666666666666</v>
      </c>
      <c r="S117" s="23">
        <f>'Model inputs'!S122*'Model inputs'!AM35</f>
        <v>107.33333333333333</v>
      </c>
      <c r="T117" s="23">
        <f>'Model inputs'!T122*'Model inputs'!AM35</f>
        <v>120</v>
      </c>
      <c r="U117" s="23">
        <f>'Model inputs'!U122*'Model inputs'!AM35</f>
        <v>133.33333333333334</v>
      </c>
      <c r="V117" s="23">
        <f>'Model inputs'!V122*'Model inputs'!AM35</f>
        <v>146.66666666666666</v>
      </c>
      <c r="W117" s="23">
        <f>'Model inputs'!W122*'Model inputs'!AM35</f>
        <v>160</v>
      </c>
      <c r="X117" s="23">
        <f>'Model inputs'!X122*'Model inputs'!AM35</f>
        <v>173.33333333333331</v>
      </c>
      <c r="Y117" s="23">
        <f>'Model inputs'!Y122*'Model inputs'!AM35</f>
        <v>186.66666666666666</v>
      </c>
      <c r="Z117" s="23">
        <f>'Model inputs'!Z122*'Model inputs'!AM35</f>
        <v>200</v>
      </c>
      <c r="AA117" s="23">
        <f>'Model inputs'!AA122*'Model inputs'!AM35</f>
        <v>211.66666666666666</v>
      </c>
      <c r="AB117" s="23">
        <f>'Model inputs'!AB122*'Model inputs'!AM35</f>
        <v>223.33333333333337</v>
      </c>
      <c r="AC117" s="23">
        <f>'Model inputs'!AC122*'Model inputs'!AM35</f>
        <v>235</v>
      </c>
      <c r="AD117" s="23">
        <f>'Model inputs'!AD122*'Model inputs'!AM35</f>
        <v>246.66666666666666</v>
      </c>
      <c r="AE117" s="23">
        <f>'Model inputs'!AE122*'Model inputs'!AM35</f>
        <v>258.3333333333333</v>
      </c>
      <c r="AF117" s="23">
        <f>'Model inputs'!AF122*'Model inputs'!AM35</f>
        <v>270</v>
      </c>
      <c r="AG117" s="23">
        <f>'Model inputs'!AG122*'Model inputs'!AM35</f>
        <v>278.3333333333333</v>
      </c>
      <c r="AH117" s="23">
        <f>'Model inputs'!AH122*'Model inputs'!AM35</f>
        <v>286.6666666666667</v>
      </c>
      <c r="AI117" s="23">
        <f>'Model inputs'!AI122*'Model inputs'!AM35</f>
        <v>295</v>
      </c>
      <c r="AJ117" s="23">
        <f>'Model inputs'!AJ122*'Model inputs'!AM35</f>
        <v>303.3333333333333</v>
      </c>
      <c r="AK117" s="23">
        <f>'Model inputs'!AK122*'Model inputs'!AM35</f>
        <v>311.6666666666667</v>
      </c>
      <c r="AL117" s="23">
        <f>'Model inputs'!AL122*'Model inputs'!AM35</f>
        <v>320</v>
      </c>
    </row>
    <row r="118">
      <c r="A118" t="inlineStr" s="25">
        <is>
          <t xml:space="preserve">LLM inference delivery cost · POA — Monthly financial forecast</t>
        </is>
      </c>
      <c r="B118" s="23">
        <v>0</v>
      </c>
      <c r="C118" s="23">
        <f>'Model inputs'!C122*'Model inputs'!AM39</f>
        <v>3.8</v>
      </c>
      <c r="D118" s="23">
        <f>'Model inputs'!D122*'Model inputs'!AM39</f>
        <v>7.6</v>
      </c>
      <c r="E118" s="23">
        <f>'Model inputs'!E122*'Model inputs'!AM39</f>
        <v>11.4</v>
      </c>
      <c r="F118" s="23">
        <f>'Model inputs'!F122*'Model inputs'!AM39</f>
        <v>15.2</v>
      </c>
      <c r="G118" s="23">
        <f>'Model inputs'!G122*'Model inputs'!AM39</f>
        <v>19</v>
      </c>
      <c r="H118" s="23">
        <f>'Model inputs'!H122*'Model inputs'!AM39</f>
        <v>22.8</v>
      </c>
      <c r="I118" s="23">
        <f>'Model inputs'!I122*'Model inputs'!AM39</f>
        <v>32.93333333333333</v>
      </c>
      <c r="J118" s="23">
        <f>'Model inputs'!J122*'Model inputs'!AM39</f>
        <v>43.06666666666666</v>
      </c>
      <c r="K118" s="23">
        <f>'Model inputs'!K122*'Model inputs'!AM39</f>
        <v>53.199999999999996</v>
      </c>
      <c r="L118" s="23">
        <f>'Model inputs'!L122*'Model inputs'!AM39</f>
        <v>63.33333333333333</v>
      </c>
      <c r="M118" s="23">
        <f>'Model inputs'!M122*'Model inputs'!AM39</f>
        <v>73.46666666666667</v>
      </c>
      <c r="N118" s="23">
        <f>'Model inputs'!N122*'Model inputs'!AM39</f>
        <v>83.6</v>
      </c>
      <c r="O118" s="23">
        <f>'Model inputs'!O122*'Model inputs'!AM39</f>
        <v>107.66666666666666</v>
      </c>
      <c r="P118" s="23">
        <f>'Model inputs'!P122*'Model inputs'!AM39</f>
        <v>131.73333333333332</v>
      </c>
      <c r="Q118" s="23">
        <f>'Model inputs'!Q122*'Model inputs'!AM39</f>
        <v>155.79999999999998</v>
      </c>
      <c r="R118" s="23">
        <f>'Model inputs'!R122*'Model inputs'!AM39</f>
        <v>179.86666666666665</v>
      </c>
      <c r="S118" s="23">
        <f>'Model inputs'!S122*'Model inputs'!AM39</f>
        <v>203.9333333333333</v>
      </c>
      <c r="T118" s="23">
        <f>'Model inputs'!T122*'Model inputs'!AM39</f>
        <v>228</v>
      </c>
      <c r="U118" s="23">
        <f>'Model inputs'!U122*'Model inputs'!AM39</f>
        <v>253.33333333333334</v>
      </c>
      <c r="V118" s="23">
        <f>'Model inputs'!V122*'Model inputs'!AM39</f>
        <v>278.66666666666663</v>
      </c>
      <c r="W118" s="23">
        <f>'Model inputs'!W122*'Model inputs'!AM39</f>
        <v>304</v>
      </c>
      <c r="X118" s="23">
        <f>'Model inputs'!X122*'Model inputs'!AM39</f>
        <v>329.3333333333333</v>
      </c>
      <c r="Y118" s="23">
        <f>'Model inputs'!Y122*'Model inputs'!AM39</f>
        <v>354.66666666666663</v>
      </c>
      <c r="Z118" s="23">
        <f>'Model inputs'!Z122*'Model inputs'!AM39</f>
        <v>380</v>
      </c>
      <c r="AA118" s="23">
        <f>'Model inputs'!AA122*'Model inputs'!AM39</f>
        <v>402.16666666666663</v>
      </c>
      <c r="AB118" s="23">
        <f>'Model inputs'!AB122*'Model inputs'!AM39</f>
        <v>424.33333333333337</v>
      </c>
      <c r="AC118" s="23">
        <f>'Model inputs'!AC122*'Model inputs'!AM39</f>
        <v>446.5</v>
      </c>
      <c r="AD118" s="23">
        <f>'Model inputs'!AD122*'Model inputs'!AM39</f>
        <v>468.66666666666663</v>
      </c>
      <c r="AE118" s="23">
        <f>'Model inputs'!AE122*'Model inputs'!AM39</f>
        <v>490.8333333333333</v>
      </c>
      <c r="AF118" s="23">
        <f>'Model inputs'!AF122*'Model inputs'!AM39</f>
        <v>513</v>
      </c>
      <c r="AG118" s="23">
        <f>'Model inputs'!AG122*'Model inputs'!AM39</f>
        <v>528.8333333333333</v>
      </c>
      <c r="AH118" s="23">
        <f>'Model inputs'!AH122*'Model inputs'!AM39</f>
        <v>544.6666666666666</v>
      </c>
      <c r="AI118" s="23">
        <f>'Model inputs'!AI122*'Model inputs'!AM39</f>
        <v>560.5</v>
      </c>
      <c r="AJ118" s="23">
        <f>'Model inputs'!AJ122*'Model inputs'!AM39</f>
        <v>576.3333333333333</v>
      </c>
      <c r="AK118" s="23">
        <f>'Model inputs'!AK122*'Model inputs'!AM39</f>
        <v>592.1666666666666</v>
      </c>
      <c r="AL118" s="23">
        <f>'Model inputs'!AL122*'Model inputs'!AM39</f>
        <v>608</v>
      </c>
    </row>
    <row r="119">
      <c r="A119" t="inlineStr" s="25">
        <is>
          <t xml:space="preserve">Monthly churn rate · POA — Monthly financial forecast</t>
        </is>
      </c>
      <c r="B119" s="23">
        <v>0</v>
      </c>
      <c r="C119" s="23">
        <f>1/('Model inputs'!AM30*12)</f>
        <v>0.023809523809523808</v>
      </c>
      <c r="D119" s="23">
        <f>1/('Model inputs'!AM30*12)</f>
        <v>0.023809523809523808</v>
      </c>
      <c r="E119" s="23">
        <f>1/('Model inputs'!AM30*12)</f>
        <v>0.023809523809523808</v>
      </c>
      <c r="F119" s="23">
        <f>1/('Model inputs'!AM30*12)</f>
        <v>0.023809523809523808</v>
      </c>
      <c r="G119" s="23">
        <f>1/('Model inputs'!AM30*12)</f>
        <v>0.023809523809523808</v>
      </c>
      <c r="H119" s="23">
        <f>1/('Model inputs'!AM30*12)</f>
        <v>0.023809523809523808</v>
      </c>
      <c r="I119" s="23">
        <f>1/('Model inputs'!AM30*12)</f>
        <v>0.023809523809523808</v>
      </c>
      <c r="J119" s="23">
        <f>1/('Model inputs'!AM30*12)</f>
        <v>0.023809523809523808</v>
      </c>
      <c r="K119" s="23">
        <f>1/('Model inputs'!AM30*12)</f>
        <v>0.023809523809523808</v>
      </c>
      <c r="L119" s="23">
        <f>1/('Model inputs'!AM30*12)</f>
        <v>0.023809523809523808</v>
      </c>
      <c r="M119" s="23">
        <f>1/('Model inputs'!AM30*12)</f>
        <v>0.023809523809523808</v>
      </c>
      <c r="N119" s="23">
        <f>1/('Model inputs'!AM30*12)</f>
        <v>0.023809523809523808</v>
      </c>
      <c r="O119" s="23">
        <f>1/('Model inputs'!AM30*12)</f>
        <v>0.023809523809523808</v>
      </c>
      <c r="P119" s="23">
        <f>1/('Model inputs'!AM30*12)</f>
        <v>0.023809523809523808</v>
      </c>
      <c r="Q119" s="23">
        <f>1/('Model inputs'!AM30*12)</f>
        <v>0.023809523809523808</v>
      </c>
      <c r="R119" s="23">
        <f>1/('Model inputs'!AM30*12)</f>
        <v>0.023809523809523808</v>
      </c>
      <c r="S119" s="23">
        <f>1/('Model inputs'!AM30*12)</f>
        <v>0.023809523809523808</v>
      </c>
      <c r="T119" s="23">
        <f>1/('Model inputs'!AM30*12)</f>
        <v>0.023809523809523808</v>
      </c>
      <c r="U119" s="23">
        <f>1/('Model inputs'!AM30*12)</f>
        <v>0.023809523809523808</v>
      </c>
      <c r="V119" s="23">
        <f>1/('Model inputs'!AM30*12)</f>
        <v>0.023809523809523808</v>
      </c>
      <c r="W119" s="23">
        <f>1/('Model inputs'!AM30*12)</f>
        <v>0.023809523809523808</v>
      </c>
      <c r="X119" s="23">
        <f>1/('Model inputs'!AM30*12)</f>
        <v>0.023809523809523808</v>
      </c>
      <c r="Y119" s="23">
        <f>1/('Model inputs'!AM30*12)</f>
        <v>0.023809523809523808</v>
      </c>
      <c r="Z119" s="23">
        <f>1/('Model inputs'!AM30*12)</f>
        <v>0.023809523809523808</v>
      </c>
      <c r="AA119" s="23">
        <f>1/('Model inputs'!AM30*12)</f>
        <v>0.023809523809523808</v>
      </c>
      <c r="AB119" s="23">
        <f>1/('Model inputs'!AM30*12)</f>
        <v>0.023809523809523808</v>
      </c>
      <c r="AC119" s="23">
        <f>1/('Model inputs'!AM30*12)</f>
        <v>0.023809523809523808</v>
      </c>
      <c r="AD119" s="23">
        <f>1/('Model inputs'!AM30*12)</f>
        <v>0.023809523809523808</v>
      </c>
      <c r="AE119" s="23">
        <f>1/('Model inputs'!AM30*12)</f>
        <v>0.023809523809523808</v>
      </c>
      <c r="AF119" s="23">
        <f>1/('Model inputs'!AM30*12)</f>
        <v>0.023809523809523808</v>
      </c>
      <c r="AG119" s="23">
        <f>1/('Model inputs'!AM30*12)</f>
        <v>0.023809523809523808</v>
      </c>
      <c r="AH119" s="23">
        <f>1/('Model inputs'!AM30*12)</f>
        <v>0.023809523809523808</v>
      </c>
      <c r="AI119" s="23">
        <f>1/('Model inputs'!AM30*12)</f>
        <v>0.023809523809523808</v>
      </c>
      <c r="AJ119" s="23">
        <f>1/('Model inputs'!AM30*12)</f>
        <v>0.023809523809523808</v>
      </c>
      <c r="AK119" s="23">
        <f>1/('Model inputs'!AM30*12)</f>
        <v>0.023809523809523808</v>
      </c>
      <c r="AL119" s="23">
        <f>1/('Model inputs'!AM30*12)</f>
        <v>0.023809523809523808</v>
      </c>
    </row>
    <row r="120">
      <c r="A120" t="inlineStr" s="25">
        <is>
          <t xml:space="preserve">Opening active protocols · POA — Monthly financial forecast</t>
        </is>
      </c>
      <c r="B120" s="23">
        <v>0</v>
      </c>
      <c r="C120" s="23">
        <f>IF('Model inputs'!B7="","",'Model inputs'!B7)</f>
        <v>0</v>
      </c>
      <c r="D120" s="23">
        <f>IF('Model inputs'!C7="","",'Model inputs'!C7)</f>
        <v>1</v>
      </c>
      <c r="E120" s="23">
        <f>IF('Model inputs'!D7="","",'Model inputs'!D7)</f>
        <v>2</v>
      </c>
      <c r="F120" s="23">
        <f>IF('Model inputs'!E7="","",'Model inputs'!E7)</f>
        <v>3</v>
      </c>
      <c r="G120" s="23">
        <f>IF('Model inputs'!F7="","",'Model inputs'!F7)</f>
        <v>4</v>
      </c>
      <c r="H120" s="23">
        <f>IF('Model inputs'!G7="","",'Model inputs'!G7)</f>
        <v>5</v>
      </c>
      <c r="I120" s="23">
        <f>IF('Model inputs'!H7="","",'Model inputs'!H7)</f>
        <v>6</v>
      </c>
      <c r="J120" s="23">
        <f>IF('Model inputs'!I7="","",'Model inputs'!I7)</f>
        <v>8.666666666666666</v>
      </c>
      <c r="K120" s="23">
        <f>IF('Model inputs'!J7="","",'Model inputs'!J7)</f>
        <v>11.333333333333332</v>
      </c>
      <c r="L120" s="23">
        <f>IF('Model inputs'!K7="","",'Model inputs'!K7)</f>
        <v>14</v>
      </c>
      <c r="M120" s="23">
        <f>IF('Model inputs'!L7="","",'Model inputs'!L7)</f>
        <v>16.666666666666664</v>
      </c>
      <c r="N120" s="23">
        <f>IF('Model inputs'!M7="","",'Model inputs'!M7)</f>
        <v>19.333333333333332</v>
      </c>
      <c r="O120" s="23">
        <f>IF('Model inputs'!N7="","",'Model inputs'!N7)</f>
        <v>22</v>
      </c>
      <c r="P120" s="23">
        <f>IF('Model inputs'!O7="","",'Model inputs'!O7)</f>
        <v>28.333333333333332</v>
      </c>
      <c r="Q120" s="23">
        <f>IF('Model inputs'!P7="","",'Model inputs'!P7)</f>
        <v>34.666666666666664</v>
      </c>
      <c r="R120" s="23">
        <f>IF('Model inputs'!Q7="","",'Model inputs'!Q7)</f>
        <v>41</v>
      </c>
      <c r="S120" s="23">
        <f>IF('Model inputs'!R7="","",'Model inputs'!R7)</f>
        <v>47.33333333333333</v>
      </c>
      <c r="T120" s="23">
        <f>IF('Model inputs'!S7="","",'Model inputs'!S7)</f>
        <v>53.666666666666664</v>
      </c>
      <c r="U120" s="23">
        <f>IF('Model inputs'!T7="","",'Model inputs'!T7)</f>
        <v>60</v>
      </c>
      <c r="V120" s="23">
        <f>IF('Model inputs'!U7="","",'Model inputs'!U7)</f>
        <v>66.66666666666667</v>
      </c>
      <c r="W120" s="23">
        <f>IF('Model inputs'!V7="","",'Model inputs'!V7)</f>
        <v>73.33333333333333</v>
      </c>
      <c r="X120" s="23">
        <f>IF('Model inputs'!W7="","",'Model inputs'!W7)</f>
        <v>80</v>
      </c>
      <c r="Y120" s="23">
        <f>IF('Model inputs'!X7="","",'Model inputs'!X7)</f>
        <v>86.66666666666666</v>
      </c>
      <c r="Z120" s="23">
        <f>IF('Model inputs'!Y7="","",'Model inputs'!Y7)</f>
        <v>93.33333333333333</v>
      </c>
      <c r="AA120" s="23">
        <f>IF('Model inputs'!Z7="","",'Model inputs'!Z7)</f>
        <v>100</v>
      </c>
      <c r="AB120" s="23">
        <f>IF('Model inputs'!AA7="","",'Model inputs'!AA7)</f>
        <v>105.83333333333333</v>
      </c>
      <c r="AC120" s="23">
        <f>IF('Model inputs'!AB7="","",'Model inputs'!AB7)</f>
        <v>111.66666666666667</v>
      </c>
      <c r="AD120" s="23">
        <f>IF('Model inputs'!AC7="","",'Model inputs'!AC7)</f>
        <v>117.5</v>
      </c>
      <c r="AE120" s="23">
        <f>IF('Model inputs'!AD7="","",'Model inputs'!AD7)</f>
        <v>123.33333333333333</v>
      </c>
      <c r="AF120" s="23">
        <f>IF('Model inputs'!AE7="","",'Model inputs'!AE7)</f>
        <v>129.16666666666666</v>
      </c>
      <c r="AG120" s="23">
        <f>IF('Model inputs'!AF7="","",'Model inputs'!AF7)</f>
        <v>135</v>
      </c>
      <c r="AH120" s="23">
        <f>IF('Model inputs'!AG7="","",'Model inputs'!AG7)</f>
        <v>139.16666666666666</v>
      </c>
      <c r="AI120" s="23">
        <f>IF('Model inputs'!AH7="","",'Model inputs'!AH7)</f>
        <v>143.33333333333334</v>
      </c>
      <c r="AJ120" s="23">
        <f>IF('Model inputs'!AI7="","",'Model inputs'!AI7)</f>
        <v>147.5</v>
      </c>
      <c r="AK120" s="23">
        <f>IF('Model inputs'!AJ7="","",'Model inputs'!AJ7)</f>
        <v>151.66666666666666</v>
      </c>
      <c r="AL120" s="23">
        <f>IF('Model inputs'!AK7="","",'Model inputs'!AK7)</f>
        <v>155.83333333333334</v>
      </c>
    </row>
    <row r="121">
      <c r="A121" t="inlineStr" s="25">
        <is>
          <t xml:space="preserve">Telemetry delivery cost · POA — Monthly financial forecast</t>
        </is>
      </c>
      <c r="B121" s="23">
        <v>0</v>
      </c>
      <c r="C121" s="23">
        <f>'Model inputs'!C122*'Model inputs'!AM84</f>
        <v>0.1</v>
      </c>
      <c r="D121" s="23">
        <f>'Model inputs'!D122*'Model inputs'!AM84</f>
        <v>0.2</v>
      </c>
      <c r="E121" s="23">
        <f>'Model inputs'!E122*'Model inputs'!AM84</f>
        <v>0.3</v>
      </c>
      <c r="F121" s="23">
        <f>'Model inputs'!F122*'Model inputs'!AM84</f>
        <v>0.4</v>
      </c>
      <c r="G121" s="23">
        <f>'Model inputs'!G122*'Model inputs'!AM84</f>
        <v>0.5</v>
      </c>
      <c r="H121" s="23">
        <f>'Model inputs'!H122*'Model inputs'!AM84</f>
        <v>0.6</v>
      </c>
      <c r="I121" s="23">
        <f>'Model inputs'!I122*'Model inputs'!AM84</f>
        <v>0.8666666666666667</v>
      </c>
      <c r="J121" s="23">
        <f>'Model inputs'!J122*'Model inputs'!AM84</f>
        <v>1.1333333333333333</v>
      </c>
      <c r="K121" s="23">
        <f>'Model inputs'!K122*'Model inputs'!AM84</f>
        <v>1.4000000000000001</v>
      </c>
      <c r="L121" s="23">
        <f>'Model inputs'!L122*'Model inputs'!AM84</f>
        <v>1.6666666666666665</v>
      </c>
      <c r="M121" s="23">
        <f>'Model inputs'!M122*'Model inputs'!AM84</f>
        <v>1.9333333333333333</v>
      </c>
      <c r="N121" s="23">
        <f>'Model inputs'!N122*'Model inputs'!AM84</f>
        <v>2.2</v>
      </c>
      <c r="O121" s="23">
        <f>'Model inputs'!O122*'Model inputs'!AM84</f>
        <v>2.833333333333333</v>
      </c>
      <c r="P121" s="23">
        <f>'Model inputs'!P122*'Model inputs'!AM84</f>
        <v>3.466666666666667</v>
      </c>
      <c r="Q121" s="23">
        <f>'Model inputs'!Q122*'Model inputs'!AM84</f>
        <v>4.1</v>
      </c>
      <c r="R121" s="23">
        <f>'Model inputs'!R122*'Model inputs'!AM84</f>
        <v>4.733333333333333</v>
      </c>
      <c r="S121" s="23">
        <f>'Model inputs'!S122*'Model inputs'!AM84</f>
        <v>5.366666666666666</v>
      </c>
      <c r="T121" s="23">
        <f>'Model inputs'!T122*'Model inputs'!AM84</f>
        <v>6</v>
      </c>
      <c r="U121" s="23">
        <f>'Model inputs'!U122*'Model inputs'!AM84</f>
        <v>6.666666666666667</v>
      </c>
      <c r="V121" s="23">
        <f>'Model inputs'!V122*'Model inputs'!AM84</f>
        <v>7.333333333333333</v>
      </c>
      <c r="W121" s="23">
        <f>'Model inputs'!W122*'Model inputs'!AM84</f>
        <v>8</v>
      </c>
      <c r="X121" s="23">
        <f>'Model inputs'!X122*'Model inputs'!AM84</f>
        <v>8.666666666666666</v>
      </c>
      <c r="Y121" s="23">
        <f>'Model inputs'!Y122*'Model inputs'!AM84</f>
        <v>9.333333333333332</v>
      </c>
      <c r="Z121" s="23">
        <f>'Model inputs'!Z122*'Model inputs'!AM84</f>
        <v>10</v>
      </c>
      <c r="AA121" s="23">
        <f>'Model inputs'!AA122*'Model inputs'!AM84</f>
        <v>10.583333333333332</v>
      </c>
      <c r="AB121" s="23">
        <f>'Model inputs'!AB122*'Model inputs'!AM84</f>
        <v>11.166666666666668</v>
      </c>
      <c r="AC121" s="23">
        <f>'Model inputs'!AC122*'Model inputs'!AM84</f>
        <v>11.75</v>
      </c>
      <c r="AD121" s="23">
        <f>'Model inputs'!AD122*'Model inputs'!AM84</f>
        <v>12.333333333333332</v>
      </c>
      <c r="AE121" s="23">
        <f>'Model inputs'!AE122*'Model inputs'!AM84</f>
        <v>12.916666666666666</v>
      </c>
      <c r="AF121" s="23">
        <f>'Model inputs'!AF122*'Model inputs'!AM84</f>
        <v>13.5</v>
      </c>
      <c r="AG121" s="23">
        <f>'Model inputs'!AG122*'Model inputs'!AM84</f>
        <v>13.916666666666666</v>
      </c>
      <c r="AH121" s="23">
        <f>'Model inputs'!AH122*'Model inputs'!AM84</f>
        <v>14.333333333333334</v>
      </c>
      <c r="AI121" s="23">
        <f>'Model inputs'!AI122*'Model inputs'!AM84</f>
        <v>14.75</v>
      </c>
      <c r="AJ121" s="23">
        <f>'Model inputs'!AJ122*'Model inputs'!AM84</f>
        <v>15.166666666666666</v>
      </c>
      <c r="AK121" s="23">
        <f>'Model inputs'!AK122*'Model inputs'!AM84</f>
        <v>15.583333333333334</v>
      </c>
      <c r="AL121" s="23">
        <f>'Model inputs'!AL122*'Model inputs'!AM84</f>
        <v>16</v>
      </c>
    </row>
    <row r="122">
      <c r="A122" t="inlineStr" s="25">
        <is>
          <t xml:space="preserve">Investigated incidents · POA — Monthly financial forecast</t>
        </is>
      </c>
      <c r="B122" s="23">
        <v>0</v>
      </c>
      <c r="C122" s="23">
        <f>'Model inputs'!C7*'Model inputs'!AM38</f>
        <v>100</v>
      </c>
      <c r="D122" s="23">
        <f>'Model inputs'!D7*'Model inputs'!AM38</f>
        <v>200</v>
      </c>
      <c r="E122" s="23">
        <f>'Model inputs'!E7*'Model inputs'!AM38</f>
        <v>300</v>
      </c>
      <c r="F122" s="23">
        <f>'Model inputs'!F7*'Model inputs'!AM38</f>
        <v>400</v>
      </c>
      <c r="G122" s="23">
        <f>'Model inputs'!G7*'Model inputs'!AM38</f>
        <v>500</v>
      </c>
      <c r="H122" s="23">
        <f>'Model inputs'!H7*'Model inputs'!AM38</f>
        <v>600</v>
      </c>
      <c r="I122" s="23">
        <f>'Model inputs'!I7*'Model inputs'!AM38</f>
        <v>866.6666666666666</v>
      </c>
      <c r="J122" s="23">
        <f>'Model inputs'!J7*'Model inputs'!AM38</f>
        <v>1133.3333333333333</v>
      </c>
      <c r="K122" s="23">
        <f>'Model inputs'!K7*'Model inputs'!AM38</f>
        <v>1400</v>
      </c>
      <c r="L122" s="23">
        <f>'Model inputs'!L7*'Model inputs'!AM38</f>
        <v>1666.6666666666665</v>
      </c>
      <c r="M122" s="23">
        <f>'Model inputs'!M7*'Model inputs'!AM38</f>
        <v>1933.3333333333333</v>
      </c>
      <c r="N122" s="23">
        <f>'Model inputs'!N7*'Model inputs'!AM38</f>
        <v>2200</v>
      </c>
      <c r="O122" s="23">
        <f>'Model inputs'!O7*'Model inputs'!AM38</f>
        <v>2833.333333333333</v>
      </c>
      <c r="P122" s="23">
        <f>'Model inputs'!P7*'Model inputs'!AM38</f>
        <v>3466.6666666666665</v>
      </c>
      <c r="Q122" s="23">
        <f>'Model inputs'!Q7*'Model inputs'!AM38</f>
        <v>4100</v>
      </c>
      <c r="R122" s="23">
        <f>'Model inputs'!R7*'Model inputs'!AM38</f>
        <v>4733.333333333333</v>
      </c>
      <c r="S122" s="23">
        <f>'Model inputs'!S7*'Model inputs'!AM38</f>
        <v>5366.666666666666</v>
      </c>
      <c r="T122" s="23">
        <f>'Model inputs'!T7*'Model inputs'!AM38</f>
        <v>6000</v>
      </c>
      <c r="U122" s="23">
        <f>'Model inputs'!U7*'Model inputs'!AM38</f>
        <v>6666.666666666667</v>
      </c>
      <c r="V122" s="23">
        <f>'Model inputs'!V7*'Model inputs'!AM38</f>
        <v>7333.333333333333</v>
      </c>
      <c r="W122" s="23">
        <f>'Model inputs'!W7*'Model inputs'!AM38</f>
        <v>8000</v>
      </c>
      <c r="X122" s="23">
        <f>'Model inputs'!X7*'Model inputs'!AM38</f>
        <v>8666.666666666666</v>
      </c>
      <c r="Y122" s="23">
        <f>'Model inputs'!Y7*'Model inputs'!AM38</f>
        <v>9333.333333333332</v>
      </c>
      <c r="Z122" s="23">
        <f>'Model inputs'!Z7*'Model inputs'!AM38</f>
        <v>10000</v>
      </c>
      <c r="AA122" s="23">
        <f>'Model inputs'!AA7*'Model inputs'!AM38</f>
        <v>10583.333333333332</v>
      </c>
      <c r="AB122" s="23">
        <f>'Model inputs'!AB7*'Model inputs'!AM38</f>
        <v>11166.666666666668</v>
      </c>
      <c r="AC122" s="23">
        <f>'Model inputs'!AC7*'Model inputs'!AM38</f>
        <v>11750</v>
      </c>
      <c r="AD122" s="23">
        <f>'Model inputs'!AD7*'Model inputs'!AM38</f>
        <v>12333.333333333332</v>
      </c>
      <c r="AE122" s="23">
        <f>'Model inputs'!AE7*'Model inputs'!AM38</f>
        <v>12916.666666666666</v>
      </c>
      <c r="AF122" s="23">
        <f>'Model inputs'!AF7*'Model inputs'!AM38</f>
        <v>13500</v>
      </c>
      <c r="AG122" s="23">
        <f>'Model inputs'!AG7*'Model inputs'!AM38</f>
        <v>13916.666666666666</v>
      </c>
      <c r="AH122" s="23">
        <f>'Model inputs'!AH7*'Model inputs'!AM38</f>
        <v>14333.333333333334</v>
      </c>
      <c r="AI122" s="23">
        <f>'Model inputs'!AI7*'Model inputs'!AM38</f>
        <v>14750</v>
      </c>
      <c r="AJ122" s="23">
        <f>'Model inputs'!AJ7*'Model inputs'!AM38</f>
        <v>15166.666666666666</v>
      </c>
      <c r="AK122" s="23">
        <f>'Model inputs'!AK7*'Model inputs'!AM38</f>
        <v>15583.333333333334</v>
      </c>
      <c r="AL122" s="23">
        <f>'Model inputs'!AL7*'Model inputs'!AM38</f>
        <v>16000</v>
      </c>
    </row>
    <row r="124">
      <c r="A124" t="inlineStr" s="24">
        <is>
          <t xml:space="preserve">Dimensions</t>
        </is>
      </c>
    </row>
    <row r="125">
      <c r="A125" t="inlineStr" s="25">
        <is>
          <t xml:space="preserve">Operating category</t>
        </is>
      </c>
      <c r="B125" t="inlineStr" s="27">
        <is>
          <t xml:space="preserve">General and administrative</t>
        </is>
      </c>
      <c r="C125" t="inlineStr" s="27">
        <is>
          <t xml:space="preserve">Legal security and insurance</t>
        </is>
      </c>
      <c r="D125" t="inlineStr" s="27">
        <is>
          <t xml:space="preserve">Payroll and benefits</t>
        </is>
      </c>
      <c r="E125" t="inlineStr" s="27">
        <is>
          <t xml:space="preserve">Product and infrastructure overhead</t>
        </is>
      </c>
      <c r="F125" t="inlineStr" s="27">
        <is>
          <t xml:space="preserve">Sales and marketing overhead</t>
        </is>
      </c>
    </row>
    <row r="126">
      <c r="A126" t="inlineStr" s="25">
        <is>
          <t xml:space="preserve">Protocol segment</t>
        </is>
      </c>
      <c r="B126" t="inlineStr" s="27">
        <is>
          <t xml:space="preserve">DEX</t>
        </is>
      </c>
      <c r="C126" t="inlineStr" s="27">
        <is>
          <t xml:space="preserve">Lending</t>
        </is>
      </c>
      <c r="D126" t="inlineStr" s="27">
        <is>
          <t xml:space="preserve">Liquid staking</t>
        </is>
      </c>
    </row>
    <row r="128">
      <c r="A128" t="inlineStr" s="24">
        <is>
          <t xml:space="preserve">Supporting calculations</t>
        </is>
      </c>
    </row>
    <row r="129">
      <c r="A129" t="inlineStr" s="25">
        <is>
          <t xml:space="preserve">Calculation</t>
        </is>
      </c>
      <c r="B129" s="7">
        <f>SUM(IF(IF(IF(AND('POA — Three year summary'!B5&lt;=DATE(2026,10,1),DATE(2026,10,1)&lt;='POA — Three year summary'!C5)="",FALSE,AND('POA — Three year summary'!B5&lt;=DATE(2026,10,1),DATE(2026,10,1)&lt;='POA — Three year summary'!C5)),'POA — Monthly financial forecas'!B18,"")="",0,IF(IF(AND('POA — Three year summary'!B5&lt;=DATE(2026,10,1),DATE(2026,10,1)&lt;='POA — Three year summary'!C5)="",FALSE,AND('POA — Three year summary'!B5&lt;=DATE(2026,10,1),DATE(2026,10,1)&lt;='POA — Three year summary'!C5)),'POA — Monthly financial forecas'!B18,"")),IF(IF(IF(AND('POA — Three year summary'!B5&lt;=DATE(2026,11,1),DATE(2026,11,1)&lt;='POA — Three year summary'!C5)="",FALSE,AND('POA — Three year summary'!B5&lt;=DATE(2026,11,1),DATE(2026,11,1)&lt;='POA — Three year summary'!C5)),'POA — Monthly financial forecas'!C18,"")="",0,IF(IF(AND('POA — Three year summary'!B5&lt;=DATE(2026,11,1),DATE(2026,11,1)&lt;='POA — Three year summary'!C5)="",FALSE,AND('POA — Three year summary'!B5&lt;=DATE(2026,11,1),DATE(2026,11,1)&lt;='POA — Three year summary'!C5)),'POA — Monthly financial forecas'!C18,"")),IF(IF(IF(AND('POA — Three year summary'!B5&lt;=DATE(2026,12,1),DATE(2026,12,1)&lt;='POA — Three year summary'!C5)="",FALSE,AND('POA — Three year summary'!B5&lt;=DATE(2026,12,1),DATE(2026,12,1)&lt;='POA — Three year summary'!C5)),'POA — Monthly financial forecas'!D18,"")="",0,IF(IF(AND('POA — Three year summary'!B5&lt;=DATE(2026,12,1),DATE(2026,12,1)&lt;='POA — Three year summary'!C5)="",FALSE,AND('POA — Three year summary'!B5&lt;=DATE(2026,12,1),DATE(2026,12,1)&lt;='POA — Three year summary'!C5)),'POA — Monthly financial forecas'!D18,"")),IF(IF(IF(AND('POA — Three year summary'!B5&lt;=DATE(2027,1,1),DATE(2027,1,1)&lt;='POA — Three year summary'!C5)="",FALSE,AND('POA — Three year summary'!B5&lt;=DATE(2027,1,1),DATE(2027,1,1)&lt;='POA — Three year summary'!C5)),'POA — Monthly financial forecas'!E18,"")="",0,IF(IF(AND('POA — Three year summary'!B5&lt;=DATE(2027,1,1),DATE(2027,1,1)&lt;='POA — Three year summary'!C5)="",FALSE,AND('POA — Three year summary'!B5&lt;=DATE(2027,1,1),DATE(2027,1,1)&lt;='POA — Three year summary'!C5)),'POA — Monthly financial forecas'!E18,"")),IF(IF(IF(AND('POA — Three year summary'!B5&lt;=DATE(2027,2,1),DATE(2027,2,1)&lt;='POA — Three year summary'!C5)="",FALSE,AND('POA — Three year summary'!B5&lt;=DATE(2027,2,1),DATE(2027,2,1)&lt;='POA — Three year summary'!C5)),'POA — Monthly financial forecas'!F18,"")="",0,IF(IF(AND('POA — Three year summary'!B5&lt;=DATE(2027,2,1),DATE(2027,2,1)&lt;='POA — Three year summary'!C5)="",FALSE,AND('POA — Three year summary'!B5&lt;=DATE(2027,2,1),DATE(2027,2,1)&lt;='POA — Three year summary'!C5)),'POA — Monthly financial forecas'!F18,"")),IF(IF(IF(AND('POA — Three year summary'!B5&lt;=DATE(2027,3,1),DATE(2027,3,1)&lt;='POA — Three year summary'!C5)="",FALSE,AND('POA — Three year summary'!B5&lt;=DATE(2027,3,1),DATE(2027,3,1)&lt;='POA — Three year summary'!C5)),'POA — Monthly financial forecas'!G18,"")="",0,IF(IF(AND('POA — Three year summary'!B5&lt;=DATE(2027,3,1),DATE(2027,3,1)&lt;='POA — Three year summary'!C5)="",FALSE,AND('POA — Three year summary'!B5&lt;=DATE(2027,3,1),DATE(2027,3,1)&lt;='POA — Three year summary'!C5)),'POA — Monthly financial forecas'!G18,"")),IF(IF(IF(AND('POA — Three year summary'!B5&lt;=DATE(2027,4,1),DATE(2027,4,1)&lt;='POA — Three year summary'!C5)="",FALSE,AND('POA — Three year summary'!B5&lt;=DATE(2027,4,1),DATE(2027,4,1)&lt;='POA — Three year summary'!C5)),'POA — Monthly financial forecas'!H18,"")="",0,IF(IF(AND('POA — Three year summary'!B5&lt;=DATE(2027,4,1),DATE(2027,4,1)&lt;='POA — Three year summary'!C5)="",FALSE,AND('POA — Three year summary'!B5&lt;=DATE(2027,4,1),DATE(2027,4,1)&lt;='POA — Three year summary'!C5)),'POA — Monthly financial forecas'!H18,"")),IF(IF(IF(AND('POA — Three year summary'!B5&lt;=DATE(2027,5,1),DATE(2027,5,1)&lt;='POA — Three year summary'!C5)="",FALSE,AND('POA — Three year summary'!B5&lt;=DATE(2027,5,1),DATE(2027,5,1)&lt;='POA — Three year summary'!C5)),'POA — Monthly financial forecas'!I18,"")="",0,IF(IF(AND('POA — Three year summary'!B5&lt;=DATE(2027,5,1),DATE(2027,5,1)&lt;='POA — Three year summary'!C5)="",FALSE,AND('POA — Three year summary'!B5&lt;=DATE(2027,5,1),DATE(2027,5,1)&lt;='POA — Three year summary'!C5)),'POA — Monthly financial forecas'!I18,"")),IF(IF(IF(AND('POA — Three year summary'!B5&lt;=DATE(2027,6,1),DATE(2027,6,1)&lt;='POA — Three year summary'!C5)="",FALSE,AND('POA — Three year summary'!B5&lt;=DATE(2027,6,1),DATE(2027,6,1)&lt;='POA — Three year summary'!C5)),'POA — Monthly financial forecas'!J18,"")="",0,IF(IF(AND('POA — Three year summary'!B5&lt;=DATE(2027,6,1),DATE(2027,6,1)&lt;='POA — Three year summary'!C5)="",FALSE,AND('POA — Three year summary'!B5&lt;=DATE(2027,6,1),DATE(2027,6,1)&lt;='POA — Three year summary'!C5)),'POA — Monthly financial forecas'!J18,"")),IF(IF(IF(AND('POA — Three year summary'!B5&lt;=DATE(2027,7,1),DATE(2027,7,1)&lt;='POA — Three year summary'!C5)="",FALSE,AND('POA — Three year summary'!B5&lt;=DATE(2027,7,1),DATE(2027,7,1)&lt;='POA — Three year summary'!C5)),'POA — Monthly financial forecas'!K18,"")="",0,IF(IF(AND('POA — Three year summary'!B5&lt;=DATE(2027,7,1),DATE(2027,7,1)&lt;='POA — Three year summary'!C5)="",FALSE,AND('POA — Three year summary'!B5&lt;=DATE(2027,7,1),DATE(2027,7,1)&lt;='POA — Three year summary'!C5)),'POA — Monthly financial forecas'!K18,"")),IF(IF(IF(AND('POA — Three year summary'!B5&lt;=DATE(2027,8,1),DATE(2027,8,1)&lt;='POA — Three year summary'!C5)="",FALSE,AND('POA — Three year summary'!B5&lt;=DATE(2027,8,1),DATE(2027,8,1)&lt;='POA — Three year summary'!C5)),'POA — Monthly financial forecas'!L18,"")="",0,IF(IF(AND('POA — Three year summary'!B5&lt;=DATE(2027,8,1),DATE(2027,8,1)&lt;='POA — Three year summary'!C5)="",FALSE,AND('POA — Three year summary'!B5&lt;=DATE(2027,8,1),DATE(2027,8,1)&lt;='POA — Three year summary'!C5)),'POA — Monthly financial forecas'!L18,"")),IF(IF(IF(AND('POA — Three year summary'!B5&lt;=DATE(2027,9,1),DATE(2027,9,1)&lt;='POA — Three year summary'!C5)="",FALSE,AND('POA — Three year summary'!B5&lt;=DATE(2027,9,1),DATE(2027,9,1)&lt;='POA — Three year summary'!C5)),'POA — Monthly financial forecas'!M18,"")="",0,IF(IF(AND('POA — Three year summary'!B5&lt;=DATE(2027,9,1),DATE(2027,9,1)&lt;='POA — Three year summary'!C5)="",FALSE,AND('POA — Three year summary'!B5&lt;=DATE(2027,9,1),DATE(2027,9,1)&lt;='POA — Three year summary'!C5)),'POA — Monthly financial forecas'!M18,"")),IF(IF(IF(AND('POA — Three year summary'!B5&lt;=DATE(2027,10,1),DATE(2027,10,1)&lt;='POA — Three year summary'!C5)="",FALSE,AND('POA — Three year summary'!B5&lt;=DATE(2027,10,1),DATE(2027,10,1)&lt;='POA — Three year summary'!C5)),'POA — Monthly financial forecas'!N18,"")="",0,IF(IF(AND('POA — Three year summary'!B5&lt;=DATE(2027,10,1),DATE(2027,10,1)&lt;='POA — Three year summary'!C5)="",FALSE,AND('POA — Three year summary'!B5&lt;=DATE(2027,10,1),DATE(2027,10,1)&lt;='POA — Three year summary'!C5)),'POA — Monthly financial forecas'!N18,"")),IF(IF(IF(AND('POA — Three year summary'!B5&lt;=DATE(2027,11,1),DATE(2027,11,1)&lt;='POA — Three year summary'!C5)="",FALSE,AND('POA — Three year summary'!B5&lt;=DATE(2027,11,1),DATE(2027,11,1)&lt;='POA — Three year summary'!C5)),'POA — Monthly financial forecas'!O18,"")="",0,IF(IF(AND('POA — Three year summary'!B5&lt;=DATE(2027,11,1),DATE(2027,11,1)&lt;='POA — Three year summary'!C5)="",FALSE,AND('POA — Three year summary'!B5&lt;=DATE(2027,11,1),DATE(2027,11,1)&lt;='POA — Three year summary'!C5)),'POA — Monthly financial forecas'!O18,"")),IF(IF(IF(AND('POA — Three year summary'!B5&lt;=DATE(2027,12,1),DATE(2027,12,1)&lt;='POA — Three year summary'!C5)="",FALSE,AND('POA — Three year summary'!B5&lt;=DATE(2027,12,1),DATE(2027,12,1)&lt;='POA — Three year summary'!C5)),'POA — Monthly financial forecas'!P18,"")="",0,IF(IF(AND('POA — Three year summary'!B5&lt;=DATE(2027,12,1),DATE(2027,12,1)&lt;='POA — Three year summary'!C5)="",FALSE,AND('POA — Three year summary'!B5&lt;=DATE(2027,12,1),DATE(2027,12,1)&lt;='POA — Three year summary'!C5)),'POA — Monthly financial forecas'!P18,"")))</f>
      </c>
    </row>
    <row r="130">
      <c r="A130" t="inlineStr" s="25">
        <is>
          <t xml:space="preserve">Calculation</t>
        </is>
      </c>
      <c r="B130" s="7">
        <f>SUM(IF(IF(IF(AND('POA — Three year summary'!B5&lt;=DATE(2028,1,1),DATE(2028,1,1)&lt;='POA — Three year summary'!C5)="",FALSE,AND('POA — Three year summary'!B5&lt;=DATE(2028,1,1),DATE(2028,1,1)&lt;='POA — Three year summary'!C5)),'POA — Monthly financial forecas'!Q18,"")="",0,IF(IF(AND('POA — Three year summary'!B5&lt;=DATE(2028,1,1),DATE(2028,1,1)&lt;='POA — Three year summary'!C5)="",FALSE,AND('POA — Three year summary'!B5&lt;=DATE(2028,1,1),DATE(2028,1,1)&lt;='POA — Three year summary'!C5)),'POA — Monthly financial forecas'!Q18,"")),IF(IF(IF(AND('POA — Three year summary'!B5&lt;=DATE(2028,2,1),DATE(2028,2,1)&lt;='POA — Three year summary'!C5)="",FALSE,AND('POA — Three year summary'!B5&lt;=DATE(2028,2,1),DATE(2028,2,1)&lt;='POA — Three year summary'!C5)),'POA — Monthly financial forecas'!R18,"")="",0,IF(IF(AND('POA — Three year summary'!B5&lt;=DATE(2028,2,1),DATE(2028,2,1)&lt;='POA — Three year summary'!C5)="",FALSE,AND('POA — Three year summary'!B5&lt;=DATE(2028,2,1),DATE(2028,2,1)&lt;='POA — Three year summary'!C5)),'POA — Monthly financial forecas'!R18,"")),IF(IF(IF(AND('POA — Three year summary'!B5&lt;=DATE(2028,3,1),DATE(2028,3,1)&lt;='POA — Three year summary'!C5)="",FALSE,AND('POA — Three year summary'!B5&lt;=DATE(2028,3,1),DATE(2028,3,1)&lt;='POA — Three year summary'!C5)),'POA — Monthly financial forecas'!S18,"")="",0,IF(IF(AND('POA — Three year summary'!B5&lt;=DATE(2028,3,1),DATE(2028,3,1)&lt;='POA — Three year summary'!C5)="",FALSE,AND('POA — Three year summary'!B5&lt;=DATE(2028,3,1),DATE(2028,3,1)&lt;='POA — Three year summary'!C5)),'POA — Monthly financial forecas'!S18,"")),IF(IF(IF(AND('POA — Three year summary'!B5&lt;=DATE(2028,4,1),DATE(2028,4,1)&lt;='POA — Three year summary'!C5)="",FALSE,AND('POA — Three year summary'!B5&lt;=DATE(2028,4,1),DATE(2028,4,1)&lt;='POA — Three year summary'!C5)),'POA — Monthly financial forecas'!T18,"")="",0,IF(IF(AND('POA — Three year summary'!B5&lt;=DATE(2028,4,1),DATE(2028,4,1)&lt;='POA — Three year summary'!C5)="",FALSE,AND('POA — Three year summary'!B5&lt;=DATE(2028,4,1),DATE(2028,4,1)&lt;='POA — Three year summary'!C5)),'POA — Monthly financial forecas'!T18,"")),IF(IF(IF(AND('POA — Three year summary'!B5&lt;=DATE(2028,5,1),DATE(2028,5,1)&lt;='POA — Three year summary'!C5)="",FALSE,AND('POA — Three year summary'!B5&lt;=DATE(2028,5,1),DATE(2028,5,1)&lt;='POA — Three year summary'!C5)),'POA — Monthly financial forecas'!U18,"")="",0,IF(IF(AND('POA — Three year summary'!B5&lt;=DATE(2028,5,1),DATE(2028,5,1)&lt;='POA — Three year summary'!C5)="",FALSE,AND('POA — Three year summary'!B5&lt;=DATE(2028,5,1),DATE(2028,5,1)&lt;='POA — Three year summary'!C5)),'POA — Monthly financial forecas'!U18,"")),IF(IF(IF(AND('POA — Three year summary'!B5&lt;=DATE(2028,6,1),DATE(2028,6,1)&lt;='POA — Three year summary'!C5)="",FALSE,AND('POA — Three year summary'!B5&lt;=DATE(2028,6,1),DATE(2028,6,1)&lt;='POA — Three year summary'!C5)),'POA — Monthly financial forecas'!V18,"")="",0,IF(IF(AND('POA — Three year summary'!B5&lt;=DATE(2028,6,1),DATE(2028,6,1)&lt;='POA — Three year summary'!C5)="",FALSE,AND('POA — Three year summary'!B5&lt;=DATE(2028,6,1),DATE(2028,6,1)&lt;='POA — Three year summary'!C5)),'POA — Monthly financial forecas'!V18,"")),IF(IF(IF(AND('POA — Three year summary'!B5&lt;=DATE(2028,7,1),DATE(2028,7,1)&lt;='POA — Three year summary'!C5)="",FALSE,AND('POA — Three year summary'!B5&lt;=DATE(2028,7,1),DATE(2028,7,1)&lt;='POA — Three year summary'!C5)),'POA — Monthly financial forecas'!W18,"")="",0,IF(IF(AND('POA — Three year summary'!B5&lt;=DATE(2028,7,1),DATE(2028,7,1)&lt;='POA — Three year summary'!C5)="",FALSE,AND('POA — Three year summary'!B5&lt;=DATE(2028,7,1),DATE(2028,7,1)&lt;='POA — Three year summary'!C5)),'POA — Monthly financial forecas'!W18,"")),IF(IF(IF(AND('POA — Three year summary'!B5&lt;=DATE(2028,8,1),DATE(2028,8,1)&lt;='POA — Three year summary'!C5)="",FALSE,AND('POA — Three year summary'!B5&lt;=DATE(2028,8,1),DATE(2028,8,1)&lt;='POA — Three year summary'!C5)),'POA — Monthly financial forecas'!X18,"")="",0,IF(IF(AND('POA — Three year summary'!B5&lt;=DATE(2028,8,1),DATE(2028,8,1)&lt;='POA — Three year summary'!C5)="",FALSE,AND('POA — Three year summary'!B5&lt;=DATE(2028,8,1),DATE(2028,8,1)&lt;='POA — Three year summary'!C5)),'POA — Monthly financial forecas'!X18,"")),IF(IF(IF(AND('POA — Three year summary'!B5&lt;=DATE(2028,9,1),DATE(2028,9,1)&lt;='POA — Three year summary'!C5)="",FALSE,AND('POA — Three year summary'!B5&lt;=DATE(2028,9,1),DATE(2028,9,1)&lt;='POA — Three year summary'!C5)),'POA — Monthly financial forecas'!Y18,"")="",0,IF(IF(AND('POA — Three year summary'!B5&lt;=DATE(2028,9,1),DATE(2028,9,1)&lt;='POA — Three year summary'!C5)="",FALSE,AND('POA — Three year summary'!B5&lt;=DATE(2028,9,1),DATE(2028,9,1)&lt;='POA — Three year summary'!C5)),'POA — Monthly financial forecas'!Y18,"")),IF(IF(IF(AND('POA — Three year summary'!B5&lt;=DATE(2028,10,1),DATE(2028,10,1)&lt;='POA — Three year summary'!C5)="",FALSE,AND('POA — Three year summary'!B5&lt;=DATE(2028,10,1),DATE(2028,10,1)&lt;='POA — Three year summary'!C5)),'POA — Monthly financial forecas'!Z18,"")="",0,IF(IF(AND('POA — Three year summary'!B5&lt;=DATE(2028,10,1),DATE(2028,10,1)&lt;='POA — Three year summary'!C5)="",FALSE,AND('POA — Three year summary'!B5&lt;=DATE(2028,10,1),DATE(2028,10,1)&lt;='POA — Three year summary'!C5)),'POA — Monthly financial forecas'!Z18,"")),IF(IF(IF(AND('POA — Three year summary'!B5&lt;=DATE(2028,11,1),DATE(2028,11,1)&lt;='POA — Three year summary'!C5)="",FALSE,AND('POA — Three year summary'!B5&lt;=DATE(2028,11,1),DATE(2028,11,1)&lt;='POA — Three year summary'!C5)),'POA — Monthly financial forecas'!AA18,"")="",0,IF(IF(AND('POA — Three year summary'!B5&lt;=DATE(2028,11,1),DATE(2028,11,1)&lt;='POA — Three year summary'!C5)="",FALSE,AND('POA — Three year summary'!B5&lt;=DATE(2028,11,1),DATE(2028,11,1)&lt;='POA — Three year summary'!C5)),'POA — Monthly financial forecas'!AA18,"")),IF(IF(IF(AND('POA — Three year summary'!B5&lt;=DATE(2028,12,1),DATE(2028,12,1)&lt;='POA — Three year summary'!C5)="",FALSE,AND('POA — Three year summary'!B5&lt;=DATE(2028,12,1),DATE(2028,12,1)&lt;='POA — Three year summary'!C5)),'POA — Monthly financial forecas'!AB18,"")="",0,IF(IF(AND('POA — Three year summary'!B5&lt;=DATE(2028,12,1),DATE(2028,12,1)&lt;='POA — Three year summary'!C5)="",FALSE,AND('POA — Three year summary'!B5&lt;=DATE(2028,12,1),DATE(2028,12,1)&lt;='POA — Three year summary'!C5)),'POA — Monthly financial forecas'!AB18,"")),IF(IF(IF(AND('POA — Three year summary'!B5&lt;=DATE(2029,1,1),DATE(2029,1,1)&lt;='POA — Three year summary'!C5)="",FALSE,AND('POA — Three year summary'!B5&lt;=DATE(2029,1,1),DATE(2029,1,1)&lt;='POA — Three year summary'!C5)),'POA — Monthly financial forecas'!AC18,"")="",0,IF(IF(AND('POA — Three year summary'!B5&lt;=DATE(2029,1,1),DATE(2029,1,1)&lt;='POA — Three year summary'!C5)="",FALSE,AND('POA — Three year summary'!B5&lt;=DATE(2029,1,1),DATE(2029,1,1)&lt;='POA — Three year summary'!C5)),'POA — Monthly financial forecas'!AC18,"")),IF(IF(IF(AND('POA — Three year summary'!B5&lt;=DATE(2029,2,1),DATE(2029,2,1)&lt;='POA — Three year summary'!C5)="",FALSE,AND('POA — Three year summary'!B5&lt;=DATE(2029,2,1),DATE(2029,2,1)&lt;='POA — Three year summary'!C5)),'POA — Monthly financial forecas'!AD18,"")="",0,IF(IF(AND('POA — Three year summary'!B5&lt;=DATE(2029,2,1),DATE(2029,2,1)&lt;='POA — Three year summary'!C5)="",FALSE,AND('POA — Three year summary'!B5&lt;=DATE(2029,2,1),DATE(2029,2,1)&lt;='POA — Three year summary'!C5)),'POA — Monthly financial forecas'!AD18,"")),IF(IF(IF(AND('POA — Three year summary'!B5&lt;=DATE(2029,3,1),DATE(2029,3,1)&lt;='POA — Three year summary'!C5)="",FALSE,AND('POA — Three year summary'!B5&lt;=DATE(2029,3,1),DATE(2029,3,1)&lt;='POA — Three year summary'!C5)),'POA — Monthly financial forecas'!AE18,"")="",0,IF(IF(AND('POA — Three year summary'!B5&lt;=DATE(2029,3,1),DATE(2029,3,1)&lt;='POA — Three year summary'!C5)="",FALSE,AND('POA — Three year summary'!B5&lt;=DATE(2029,3,1),DATE(2029,3,1)&lt;='POA — Three year summary'!C5)),'POA — Monthly financial forecas'!AE18,"")))</f>
      </c>
    </row>
    <row r="131">
      <c r="A131" t="inlineStr" s="25">
        <is>
          <t xml:space="preserve">Calculation</t>
        </is>
      </c>
      <c r="B131" s="7">
        <f>SUM(IF(IF(IF(AND('POA — Three year summary'!B5&lt;=DATE(2029,4,1),DATE(2029,4,1)&lt;='POA — Three year summary'!C5)="",FALSE,AND('POA — Three year summary'!B5&lt;=DATE(2029,4,1),DATE(2029,4,1)&lt;='POA — Three year summary'!C5)),'POA — Monthly financial forecas'!AF18,"")="",0,IF(IF(AND('POA — Three year summary'!B5&lt;=DATE(2029,4,1),DATE(2029,4,1)&lt;='POA — Three year summary'!C5)="",FALSE,AND('POA — Three year summary'!B5&lt;=DATE(2029,4,1),DATE(2029,4,1)&lt;='POA — Three year summary'!C5)),'POA — Monthly financial forecas'!AF18,"")),IF(IF(IF(AND('POA — Three year summary'!B5&lt;=DATE(2029,5,1),DATE(2029,5,1)&lt;='POA — Three year summary'!C5)="",FALSE,AND('POA — Three year summary'!B5&lt;=DATE(2029,5,1),DATE(2029,5,1)&lt;='POA — Three year summary'!C5)),'POA — Monthly financial forecas'!AG18,"")="",0,IF(IF(AND('POA — Three year summary'!B5&lt;=DATE(2029,5,1),DATE(2029,5,1)&lt;='POA — Three year summary'!C5)="",FALSE,AND('POA — Three year summary'!B5&lt;=DATE(2029,5,1),DATE(2029,5,1)&lt;='POA — Three year summary'!C5)),'POA — Monthly financial forecas'!AG18,"")),IF(IF(IF(AND('POA — Three year summary'!B5&lt;=DATE(2029,6,1),DATE(2029,6,1)&lt;='POA — Three year summary'!C5)="",FALSE,AND('POA — Three year summary'!B5&lt;=DATE(2029,6,1),DATE(2029,6,1)&lt;='POA — Three year summary'!C5)),'POA — Monthly financial forecas'!AH18,"")="",0,IF(IF(AND('POA — Three year summary'!B5&lt;=DATE(2029,6,1),DATE(2029,6,1)&lt;='POA — Three year summary'!C5)="",FALSE,AND('POA — Three year summary'!B5&lt;=DATE(2029,6,1),DATE(2029,6,1)&lt;='POA — Three year summary'!C5)),'POA — Monthly financial forecas'!AH18,"")),IF(IF(IF(AND('POA — Three year summary'!B5&lt;=DATE(2029,7,1),DATE(2029,7,1)&lt;='POA — Three year summary'!C5)="",FALSE,AND('POA — Three year summary'!B5&lt;=DATE(2029,7,1),DATE(2029,7,1)&lt;='POA — Three year summary'!C5)),'POA — Monthly financial forecas'!AI18,"")="",0,IF(IF(AND('POA — Three year summary'!B5&lt;=DATE(2029,7,1),DATE(2029,7,1)&lt;='POA — Three year summary'!C5)="",FALSE,AND('POA — Three year summary'!B5&lt;=DATE(2029,7,1),DATE(2029,7,1)&lt;='POA — Three year summary'!C5)),'POA — Monthly financial forecas'!AI18,"")),IF(IF(IF(AND('POA — Three year summary'!B5&lt;=DATE(2029,8,1),DATE(2029,8,1)&lt;='POA — Three year summary'!C5)="",FALSE,AND('POA — Three year summary'!B5&lt;=DATE(2029,8,1),DATE(2029,8,1)&lt;='POA — Three year summary'!C5)),'POA — Monthly financial forecas'!AJ18,"")="",0,IF(IF(AND('POA — Three year summary'!B5&lt;=DATE(2029,8,1),DATE(2029,8,1)&lt;='POA — Three year summary'!C5)="",FALSE,AND('POA — Three year summary'!B5&lt;=DATE(2029,8,1),DATE(2029,8,1)&lt;='POA — Three year summary'!C5)),'POA — Monthly financial forecas'!AJ18,"")),IF(IF(IF(AND('POA — Three year summary'!B5&lt;=DATE(2029,9,1),DATE(2029,9,1)&lt;='POA — Three year summary'!C5)="",FALSE,AND('POA — Three year summary'!B5&lt;=DATE(2029,9,1),DATE(2029,9,1)&lt;='POA — Three year summary'!C5)),'POA — Monthly financial forecas'!AK18,"")="",0,IF(IF(AND('POA — Three year summary'!B5&lt;=DATE(2029,9,1),DATE(2029,9,1)&lt;='POA — Three year summary'!C5)="",FALSE,AND('POA — Three year summary'!B5&lt;=DATE(2029,9,1),DATE(2029,9,1)&lt;='POA — Three year summary'!C5)),'POA — Monthly financial forecas'!AK18,"")),IF(IF(IF(AND('POA — Three year summary'!B5&lt;=DATE(2026,9,1),DATE(2026,9,1)&lt;='POA — Three year summary'!C5)="",FALSE,AND('POA — Three year summary'!B5&lt;=DATE(2026,9,1),DATE(2026,9,1)&lt;='POA — Three year summary'!C5)),'Model inputs'!B79,"")="",0,IF(IF(AND('POA — Three year summary'!B5&lt;=DATE(2026,9,1),DATE(2026,9,1)&lt;='POA — Three year summary'!C5)="",FALSE,AND('POA — Three year summary'!B5&lt;=DATE(2026,9,1),DATE(2026,9,1)&lt;='POA — Three year summary'!C5)),'Model inputs'!B79,"")))</f>
      </c>
    </row>
    <row r="132">
      <c r="A132" t="inlineStr" s="25">
        <is>
          <t xml:space="preserve">Calculation</t>
        </is>
      </c>
      <c r="B132" s="7">
        <f>SUM(IF(IF(IF(AND('POA — Three year summary'!B5&lt;=DATE(2026,10,1),DATE(2026,10,1)&lt;='POA — Three year summary'!C5)="",FALSE,AND('POA — Three year summary'!B5&lt;=DATE(2026,10,1),DATE(2026,10,1)&lt;='POA — Three year summary'!C5)),'POA — Monthly financial forecas'!B22,"")="",0,IF(IF(AND('POA — Three year summary'!B5&lt;=DATE(2026,10,1),DATE(2026,10,1)&lt;='POA — Three year summary'!C5)="",FALSE,AND('POA — Three year summary'!B5&lt;=DATE(2026,10,1),DATE(2026,10,1)&lt;='POA — Three year summary'!C5)),'POA — Monthly financial forecas'!B22,"")),IF(IF(IF(AND('POA — Three year summary'!B5&lt;=DATE(2026,11,1),DATE(2026,11,1)&lt;='POA — Three year summary'!C5)="",FALSE,AND('POA — Three year summary'!B5&lt;=DATE(2026,11,1),DATE(2026,11,1)&lt;='POA — Three year summary'!C5)),'POA — Monthly financial forecas'!C22,"")="",0,IF(IF(AND('POA — Three year summary'!B5&lt;=DATE(2026,11,1),DATE(2026,11,1)&lt;='POA — Three year summary'!C5)="",FALSE,AND('POA — Three year summary'!B5&lt;=DATE(2026,11,1),DATE(2026,11,1)&lt;='POA — Three year summary'!C5)),'POA — Monthly financial forecas'!C22,"")),IF(IF(IF(AND('POA — Three year summary'!B5&lt;=DATE(2026,12,1),DATE(2026,12,1)&lt;='POA — Three year summary'!C5)="",FALSE,AND('POA — Three year summary'!B5&lt;=DATE(2026,12,1),DATE(2026,12,1)&lt;='POA — Three year summary'!C5)),'POA — Monthly financial forecas'!D22,"")="",0,IF(IF(AND('POA — Three year summary'!B5&lt;=DATE(2026,12,1),DATE(2026,12,1)&lt;='POA — Three year summary'!C5)="",FALSE,AND('POA — Three year summary'!B5&lt;=DATE(2026,12,1),DATE(2026,12,1)&lt;='POA — Three year summary'!C5)),'POA — Monthly financial forecas'!D22,"")),IF(IF(IF(AND('POA — Three year summary'!B5&lt;=DATE(2027,1,1),DATE(2027,1,1)&lt;='POA — Three year summary'!C5)="",FALSE,AND('POA — Three year summary'!B5&lt;=DATE(2027,1,1),DATE(2027,1,1)&lt;='POA — Three year summary'!C5)),'POA — Monthly financial forecas'!E22,"")="",0,IF(IF(AND('POA — Three year summary'!B5&lt;=DATE(2027,1,1),DATE(2027,1,1)&lt;='POA — Three year summary'!C5)="",FALSE,AND('POA — Three year summary'!B5&lt;=DATE(2027,1,1),DATE(2027,1,1)&lt;='POA — Three year summary'!C5)),'POA — Monthly financial forecas'!E22,"")),IF(IF(IF(AND('POA — Three year summary'!B5&lt;=DATE(2027,2,1),DATE(2027,2,1)&lt;='POA — Three year summary'!C5)="",FALSE,AND('POA — Three year summary'!B5&lt;=DATE(2027,2,1),DATE(2027,2,1)&lt;='POA — Three year summary'!C5)),'POA — Monthly financial forecas'!F22,"")="",0,IF(IF(AND('POA — Three year summary'!B5&lt;=DATE(2027,2,1),DATE(2027,2,1)&lt;='POA — Three year summary'!C5)="",FALSE,AND('POA — Three year summary'!B5&lt;=DATE(2027,2,1),DATE(2027,2,1)&lt;='POA — Three year summary'!C5)),'POA — Monthly financial forecas'!F22,"")),IF(IF(IF(AND('POA — Three year summary'!B5&lt;=DATE(2027,3,1),DATE(2027,3,1)&lt;='POA — Three year summary'!C5)="",FALSE,AND('POA — Three year summary'!B5&lt;=DATE(2027,3,1),DATE(2027,3,1)&lt;='POA — Three year summary'!C5)),'POA — Monthly financial forecas'!G22,"")="",0,IF(IF(AND('POA — Three year summary'!B5&lt;=DATE(2027,3,1),DATE(2027,3,1)&lt;='POA — Three year summary'!C5)="",FALSE,AND('POA — Three year summary'!B5&lt;=DATE(2027,3,1),DATE(2027,3,1)&lt;='POA — Three year summary'!C5)),'POA — Monthly financial forecas'!G22,"")),IF(IF(IF(AND('POA — Three year summary'!B5&lt;=DATE(2027,4,1),DATE(2027,4,1)&lt;='POA — Three year summary'!C5)="",FALSE,AND('POA — Three year summary'!B5&lt;=DATE(2027,4,1),DATE(2027,4,1)&lt;='POA — Three year summary'!C5)),'POA — Monthly financial forecas'!H22,"")="",0,IF(IF(AND('POA — Three year summary'!B5&lt;=DATE(2027,4,1),DATE(2027,4,1)&lt;='POA — Three year summary'!C5)="",FALSE,AND('POA — Three year summary'!B5&lt;=DATE(2027,4,1),DATE(2027,4,1)&lt;='POA — Three year summary'!C5)),'POA — Monthly financial forecas'!H22,"")),IF(IF(IF(AND('POA — Three year summary'!B5&lt;=DATE(2027,5,1),DATE(2027,5,1)&lt;='POA — Three year summary'!C5)="",FALSE,AND('POA — Three year summary'!B5&lt;=DATE(2027,5,1),DATE(2027,5,1)&lt;='POA — Three year summary'!C5)),'POA — Monthly financial forecas'!I22,"")="",0,IF(IF(AND('POA — Three year summary'!B5&lt;=DATE(2027,5,1),DATE(2027,5,1)&lt;='POA — Three year summary'!C5)="",FALSE,AND('POA — Three year summary'!B5&lt;=DATE(2027,5,1),DATE(2027,5,1)&lt;='POA — Three year summary'!C5)),'POA — Monthly financial forecas'!I22,"")),IF(IF(IF(AND('POA — Three year summary'!B5&lt;=DATE(2027,6,1),DATE(2027,6,1)&lt;='POA — Three year summary'!C5)="",FALSE,AND('POA — Three year summary'!B5&lt;=DATE(2027,6,1),DATE(2027,6,1)&lt;='POA — Three year summary'!C5)),'POA — Monthly financial forecas'!J22,"")="",0,IF(IF(AND('POA — Three year summary'!B5&lt;=DATE(2027,6,1),DATE(2027,6,1)&lt;='POA — Three year summary'!C5)="",FALSE,AND('POA — Three year summary'!B5&lt;=DATE(2027,6,1),DATE(2027,6,1)&lt;='POA — Three year summary'!C5)),'POA — Monthly financial forecas'!J22,"")),IF(IF(IF(AND('POA — Three year summary'!B5&lt;=DATE(2027,7,1),DATE(2027,7,1)&lt;='POA — Three year summary'!C5)="",FALSE,AND('POA — Three year summary'!B5&lt;=DATE(2027,7,1),DATE(2027,7,1)&lt;='POA — Three year summary'!C5)),'POA — Monthly financial forecas'!K22,"")="",0,IF(IF(AND('POA — Three year summary'!B5&lt;=DATE(2027,7,1),DATE(2027,7,1)&lt;='POA — Three year summary'!C5)="",FALSE,AND('POA — Three year summary'!B5&lt;=DATE(2027,7,1),DATE(2027,7,1)&lt;='POA — Three year summary'!C5)),'POA — Monthly financial forecas'!K22,"")),IF(IF(IF(AND('POA — Three year summary'!B5&lt;=DATE(2027,8,1),DATE(2027,8,1)&lt;='POA — Three year summary'!C5)="",FALSE,AND('POA — Three year summary'!B5&lt;=DATE(2027,8,1),DATE(2027,8,1)&lt;='POA — Three year summary'!C5)),'POA — Monthly financial forecas'!L22,"")="",0,IF(IF(AND('POA — Three year summary'!B5&lt;=DATE(2027,8,1),DATE(2027,8,1)&lt;='POA — Three year summary'!C5)="",FALSE,AND('POA — Three year summary'!B5&lt;=DATE(2027,8,1),DATE(2027,8,1)&lt;='POA — Three year summary'!C5)),'POA — Monthly financial forecas'!L22,"")),IF(IF(IF(AND('POA — Three year summary'!B5&lt;=DATE(2027,9,1),DATE(2027,9,1)&lt;='POA — Three year summary'!C5)="",FALSE,AND('POA — Three year summary'!B5&lt;=DATE(2027,9,1),DATE(2027,9,1)&lt;='POA — Three year summary'!C5)),'POA — Monthly financial forecas'!M22,"")="",0,IF(IF(AND('POA — Three year summary'!B5&lt;=DATE(2027,9,1),DATE(2027,9,1)&lt;='POA — Three year summary'!C5)="",FALSE,AND('POA — Three year summary'!B5&lt;=DATE(2027,9,1),DATE(2027,9,1)&lt;='POA — Three year summary'!C5)),'POA — Monthly financial forecas'!M22,"")),IF(IF(IF(AND('POA — Three year summary'!B5&lt;=DATE(2027,10,1),DATE(2027,10,1)&lt;='POA — Three year summary'!C5)="",FALSE,AND('POA — Three year summary'!B5&lt;=DATE(2027,10,1),DATE(2027,10,1)&lt;='POA — Three year summary'!C5)),'POA — Monthly financial forecas'!N22,"")="",0,IF(IF(AND('POA — Three year summary'!B5&lt;=DATE(2027,10,1),DATE(2027,10,1)&lt;='POA — Three year summary'!C5)="",FALSE,AND('POA — Three year summary'!B5&lt;=DATE(2027,10,1),DATE(2027,10,1)&lt;='POA — Three year summary'!C5)),'POA — Monthly financial forecas'!N22,"")),IF(IF(IF(AND('POA — Three year summary'!B5&lt;=DATE(2027,11,1),DATE(2027,11,1)&lt;='POA — Three year summary'!C5)="",FALSE,AND('POA — Three year summary'!B5&lt;=DATE(2027,11,1),DATE(2027,11,1)&lt;='POA — Three year summary'!C5)),'POA — Monthly financial forecas'!O22,"")="",0,IF(IF(AND('POA — Three year summary'!B5&lt;=DATE(2027,11,1),DATE(2027,11,1)&lt;='POA — Three year summary'!C5)="",FALSE,AND('POA — Three year summary'!B5&lt;=DATE(2027,11,1),DATE(2027,11,1)&lt;='POA — Three year summary'!C5)),'POA — Monthly financial forecas'!O22,"")),IF(IF(IF(AND('POA — Three year summary'!B5&lt;=DATE(2027,12,1),DATE(2027,12,1)&lt;='POA — Three year summary'!C5)="",FALSE,AND('POA — Three year summary'!B5&lt;=DATE(2027,12,1),DATE(2027,12,1)&lt;='POA — Three year summary'!C5)),'POA — Monthly financial forecas'!P22,"")="",0,IF(IF(AND('POA — Three year summary'!B5&lt;=DATE(2027,12,1),DATE(2027,12,1)&lt;='POA — Three year summary'!C5)="",FALSE,AND('POA — Three year summary'!B5&lt;=DATE(2027,12,1),DATE(2027,12,1)&lt;='POA — Three year summary'!C5)),'POA — Monthly financial forecas'!P22,"")))</f>
      </c>
    </row>
    <row r="133">
      <c r="A133" t="inlineStr" s="25">
        <is>
          <t xml:space="preserve">Calculation</t>
        </is>
      </c>
      <c r="B133" s="7">
        <f>SUM(IF(IF(IF(AND('POA — Three year summary'!B5&lt;=DATE(2028,1,1),DATE(2028,1,1)&lt;='POA — Three year summary'!C5)="",FALSE,AND('POA — Three year summary'!B5&lt;=DATE(2028,1,1),DATE(2028,1,1)&lt;='POA — Three year summary'!C5)),'POA — Monthly financial forecas'!Q22,"")="",0,IF(IF(AND('POA — Three year summary'!B5&lt;=DATE(2028,1,1),DATE(2028,1,1)&lt;='POA — Three year summary'!C5)="",FALSE,AND('POA — Three year summary'!B5&lt;=DATE(2028,1,1),DATE(2028,1,1)&lt;='POA — Three year summary'!C5)),'POA — Monthly financial forecas'!Q22,"")),IF(IF(IF(AND('POA — Three year summary'!B5&lt;=DATE(2028,2,1),DATE(2028,2,1)&lt;='POA — Three year summary'!C5)="",FALSE,AND('POA — Three year summary'!B5&lt;=DATE(2028,2,1),DATE(2028,2,1)&lt;='POA — Three year summary'!C5)),'POA — Monthly financial forecas'!R22,"")="",0,IF(IF(AND('POA — Three year summary'!B5&lt;=DATE(2028,2,1),DATE(2028,2,1)&lt;='POA — Three year summary'!C5)="",FALSE,AND('POA — Three year summary'!B5&lt;=DATE(2028,2,1),DATE(2028,2,1)&lt;='POA — Three year summary'!C5)),'POA — Monthly financial forecas'!R22,"")),IF(IF(IF(AND('POA — Three year summary'!B5&lt;=DATE(2028,3,1),DATE(2028,3,1)&lt;='POA — Three year summary'!C5)="",FALSE,AND('POA — Three year summary'!B5&lt;=DATE(2028,3,1),DATE(2028,3,1)&lt;='POA — Three year summary'!C5)),'POA — Monthly financial forecas'!S22,"")="",0,IF(IF(AND('POA — Three year summary'!B5&lt;=DATE(2028,3,1),DATE(2028,3,1)&lt;='POA — Three year summary'!C5)="",FALSE,AND('POA — Three year summary'!B5&lt;=DATE(2028,3,1),DATE(2028,3,1)&lt;='POA — Three year summary'!C5)),'POA — Monthly financial forecas'!S22,"")),IF(IF(IF(AND('POA — Three year summary'!B5&lt;=DATE(2028,4,1),DATE(2028,4,1)&lt;='POA — Three year summary'!C5)="",FALSE,AND('POA — Three year summary'!B5&lt;=DATE(2028,4,1),DATE(2028,4,1)&lt;='POA — Three year summary'!C5)),'POA — Monthly financial forecas'!T22,"")="",0,IF(IF(AND('POA — Three year summary'!B5&lt;=DATE(2028,4,1),DATE(2028,4,1)&lt;='POA — Three year summary'!C5)="",FALSE,AND('POA — Three year summary'!B5&lt;=DATE(2028,4,1),DATE(2028,4,1)&lt;='POA — Three year summary'!C5)),'POA — Monthly financial forecas'!T22,"")),IF(IF(IF(AND('POA — Three year summary'!B5&lt;=DATE(2028,5,1),DATE(2028,5,1)&lt;='POA — Three year summary'!C5)="",FALSE,AND('POA — Three year summary'!B5&lt;=DATE(2028,5,1),DATE(2028,5,1)&lt;='POA — Three year summary'!C5)),'POA — Monthly financial forecas'!U22,"")="",0,IF(IF(AND('POA — Three year summary'!B5&lt;=DATE(2028,5,1),DATE(2028,5,1)&lt;='POA — Three year summary'!C5)="",FALSE,AND('POA — Three year summary'!B5&lt;=DATE(2028,5,1),DATE(2028,5,1)&lt;='POA — Three year summary'!C5)),'POA — Monthly financial forecas'!U22,"")),IF(IF(IF(AND('POA — Three year summary'!B5&lt;=DATE(2028,6,1),DATE(2028,6,1)&lt;='POA — Three year summary'!C5)="",FALSE,AND('POA — Three year summary'!B5&lt;=DATE(2028,6,1),DATE(2028,6,1)&lt;='POA — Three year summary'!C5)),'POA — Monthly financial forecas'!V22,"")="",0,IF(IF(AND('POA — Three year summary'!B5&lt;=DATE(2028,6,1),DATE(2028,6,1)&lt;='POA — Three year summary'!C5)="",FALSE,AND('POA — Three year summary'!B5&lt;=DATE(2028,6,1),DATE(2028,6,1)&lt;='POA — Three year summary'!C5)),'POA — Monthly financial forecas'!V22,"")),IF(IF(IF(AND('POA — Three year summary'!B5&lt;=DATE(2028,7,1),DATE(2028,7,1)&lt;='POA — Three year summary'!C5)="",FALSE,AND('POA — Three year summary'!B5&lt;=DATE(2028,7,1),DATE(2028,7,1)&lt;='POA — Three year summary'!C5)),'POA — Monthly financial forecas'!W22,"")="",0,IF(IF(AND('POA — Three year summary'!B5&lt;=DATE(2028,7,1),DATE(2028,7,1)&lt;='POA — Three year summary'!C5)="",FALSE,AND('POA — Three year summary'!B5&lt;=DATE(2028,7,1),DATE(2028,7,1)&lt;='POA — Three year summary'!C5)),'POA — Monthly financial forecas'!W22,"")),IF(IF(IF(AND('POA — Three year summary'!B5&lt;=DATE(2028,8,1),DATE(2028,8,1)&lt;='POA — Three year summary'!C5)="",FALSE,AND('POA — Three year summary'!B5&lt;=DATE(2028,8,1),DATE(2028,8,1)&lt;='POA — Three year summary'!C5)),'POA — Monthly financial forecas'!X22,"")="",0,IF(IF(AND('POA — Three year summary'!B5&lt;=DATE(2028,8,1),DATE(2028,8,1)&lt;='POA — Three year summary'!C5)="",FALSE,AND('POA — Three year summary'!B5&lt;=DATE(2028,8,1),DATE(2028,8,1)&lt;='POA — Three year summary'!C5)),'POA — Monthly financial forecas'!X22,"")),IF(IF(IF(AND('POA — Three year summary'!B5&lt;=DATE(2028,9,1),DATE(2028,9,1)&lt;='POA — Three year summary'!C5)="",FALSE,AND('POA — Three year summary'!B5&lt;=DATE(2028,9,1),DATE(2028,9,1)&lt;='POA — Three year summary'!C5)),'POA — Monthly financial forecas'!Y22,"")="",0,IF(IF(AND('POA — Three year summary'!B5&lt;=DATE(2028,9,1),DATE(2028,9,1)&lt;='POA — Three year summary'!C5)="",FALSE,AND('POA — Three year summary'!B5&lt;=DATE(2028,9,1),DATE(2028,9,1)&lt;='POA — Three year summary'!C5)),'POA — Monthly financial forecas'!Y22,"")),IF(IF(IF(AND('POA — Three year summary'!B5&lt;=DATE(2028,10,1),DATE(2028,10,1)&lt;='POA — Three year summary'!C5)="",FALSE,AND('POA — Three year summary'!B5&lt;=DATE(2028,10,1),DATE(2028,10,1)&lt;='POA — Three year summary'!C5)),'POA — Monthly financial forecas'!Z22,"")="",0,IF(IF(AND('POA — Three year summary'!B5&lt;=DATE(2028,10,1),DATE(2028,10,1)&lt;='POA — Three year summary'!C5)="",FALSE,AND('POA — Three year summary'!B5&lt;=DATE(2028,10,1),DATE(2028,10,1)&lt;='POA — Three year summary'!C5)),'POA — Monthly financial forecas'!Z22,"")),IF(IF(IF(AND('POA — Three year summary'!B5&lt;=DATE(2028,11,1),DATE(2028,11,1)&lt;='POA — Three year summary'!C5)="",FALSE,AND('POA — Three year summary'!B5&lt;=DATE(2028,11,1),DATE(2028,11,1)&lt;='POA — Three year summary'!C5)),'POA — Monthly financial forecas'!AA22,"")="",0,IF(IF(AND('POA — Three year summary'!B5&lt;=DATE(2028,11,1),DATE(2028,11,1)&lt;='POA — Three year summary'!C5)="",FALSE,AND('POA — Three year summary'!B5&lt;=DATE(2028,11,1),DATE(2028,11,1)&lt;='POA — Three year summary'!C5)),'POA — Monthly financial forecas'!AA22,"")),IF(IF(IF(AND('POA — Three year summary'!B5&lt;=DATE(2028,12,1),DATE(2028,12,1)&lt;='POA — Three year summary'!C5)="",FALSE,AND('POA — Three year summary'!B5&lt;=DATE(2028,12,1),DATE(2028,12,1)&lt;='POA — Three year summary'!C5)),'POA — Monthly financial forecas'!AB22,"")="",0,IF(IF(AND('POA — Three year summary'!B5&lt;=DATE(2028,12,1),DATE(2028,12,1)&lt;='POA — Three year summary'!C5)="",FALSE,AND('POA — Three year summary'!B5&lt;=DATE(2028,12,1),DATE(2028,12,1)&lt;='POA — Three year summary'!C5)),'POA — Monthly financial forecas'!AB22,"")),IF(IF(IF(AND('POA — Three year summary'!B5&lt;=DATE(2029,1,1),DATE(2029,1,1)&lt;='POA — Three year summary'!C5)="",FALSE,AND('POA — Three year summary'!B5&lt;=DATE(2029,1,1),DATE(2029,1,1)&lt;='POA — Three year summary'!C5)),'POA — Monthly financial forecas'!AC22,"")="",0,IF(IF(AND('POA — Three year summary'!B5&lt;=DATE(2029,1,1),DATE(2029,1,1)&lt;='POA — Three year summary'!C5)="",FALSE,AND('POA — Three year summary'!B5&lt;=DATE(2029,1,1),DATE(2029,1,1)&lt;='POA — Three year summary'!C5)),'POA — Monthly financial forecas'!AC22,"")),IF(IF(IF(AND('POA — Three year summary'!B5&lt;=DATE(2029,2,1),DATE(2029,2,1)&lt;='POA — Three year summary'!C5)="",FALSE,AND('POA — Three year summary'!B5&lt;=DATE(2029,2,1),DATE(2029,2,1)&lt;='POA — Three year summary'!C5)),'POA — Monthly financial forecas'!AD22,"")="",0,IF(IF(AND('POA — Three year summary'!B5&lt;=DATE(2029,2,1),DATE(2029,2,1)&lt;='POA — Three year summary'!C5)="",FALSE,AND('POA — Three year summary'!B5&lt;=DATE(2029,2,1),DATE(2029,2,1)&lt;='POA — Three year summary'!C5)),'POA — Monthly financial forecas'!AD22,"")),IF(IF(IF(AND('POA — Three year summary'!B5&lt;=DATE(2029,3,1),DATE(2029,3,1)&lt;='POA — Three year summary'!C5)="",FALSE,AND('POA — Three year summary'!B5&lt;=DATE(2029,3,1),DATE(2029,3,1)&lt;='POA — Three year summary'!C5)),'POA — Monthly financial forecas'!AE22,"")="",0,IF(IF(AND('POA — Three year summary'!B5&lt;=DATE(2029,3,1),DATE(2029,3,1)&lt;='POA — Three year summary'!C5)="",FALSE,AND('POA — Three year summary'!B5&lt;=DATE(2029,3,1),DATE(2029,3,1)&lt;='POA — Three year summary'!C5)),'POA — Monthly financial forecas'!AE22,"")))</f>
      </c>
    </row>
    <row r="134">
      <c r="A134" t="inlineStr" s="25">
        <is>
          <t xml:space="preserve">Calculation</t>
        </is>
      </c>
      <c r="B134" s="7">
        <f>SUM(IF(IF(IF(AND('POA — Three year summary'!B5&lt;=DATE(2029,4,1),DATE(2029,4,1)&lt;='POA — Three year summary'!C5)="",FALSE,AND('POA — Three year summary'!B5&lt;=DATE(2029,4,1),DATE(2029,4,1)&lt;='POA — Three year summary'!C5)),'POA — Monthly financial forecas'!AF22,"")="",0,IF(IF(AND('POA — Three year summary'!B5&lt;=DATE(2029,4,1),DATE(2029,4,1)&lt;='POA — Three year summary'!C5)="",FALSE,AND('POA — Three year summary'!B5&lt;=DATE(2029,4,1),DATE(2029,4,1)&lt;='POA — Three year summary'!C5)),'POA — Monthly financial forecas'!AF22,"")),IF(IF(IF(AND('POA — Three year summary'!B5&lt;=DATE(2029,5,1),DATE(2029,5,1)&lt;='POA — Three year summary'!C5)="",FALSE,AND('POA — Three year summary'!B5&lt;=DATE(2029,5,1),DATE(2029,5,1)&lt;='POA — Three year summary'!C5)),'POA — Monthly financial forecas'!AG22,"")="",0,IF(IF(AND('POA — Three year summary'!B5&lt;=DATE(2029,5,1),DATE(2029,5,1)&lt;='POA — Three year summary'!C5)="",FALSE,AND('POA — Three year summary'!B5&lt;=DATE(2029,5,1),DATE(2029,5,1)&lt;='POA — Three year summary'!C5)),'POA — Monthly financial forecas'!AG22,"")),IF(IF(IF(AND('POA — Three year summary'!B5&lt;=DATE(2029,6,1),DATE(2029,6,1)&lt;='POA — Three year summary'!C5)="",FALSE,AND('POA — Three year summary'!B5&lt;=DATE(2029,6,1),DATE(2029,6,1)&lt;='POA — Three year summary'!C5)),'POA — Monthly financial forecas'!AH22,"")="",0,IF(IF(AND('POA — Three year summary'!B5&lt;=DATE(2029,6,1),DATE(2029,6,1)&lt;='POA — Three year summary'!C5)="",FALSE,AND('POA — Three year summary'!B5&lt;=DATE(2029,6,1),DATE(2029,6,1)&lt;='POA — Three year summary'!C5)),'POA — Monthly financial forecas'!AH22,"")),IF(IF(IF(AND('POA — Three year summary'!B5&lt;=DATE(2029,7,1),DATE(2029,7,1)&lt;='POA — Three year summary'!C5)="",FALSE,AND('POA — Three year summary'!B5&lt;=DATE(2029,7,1),DATE(2029,7,1)&lt;='POA — Three year summary'!C5)),'POA — Monthly financial forecas'!AI22,"")="",0,IF(IF(AND('POA — Three year summary'!B5&lt;=DATE(2029,7,1),DATE(2029,7,1)&lt;='POA — Three year summary'!C5)="",FALSE,AND('POA — Three year summary'!B5&lt;=DATE(2029,7,1),DATE(2029,7,1)&lt;='POA — Three year summary'!C5)),'POA — Monthly financial forecas'!AI22,"")),IF(IF(IF(AND('POA — Three year summary'!B5&lt;=DATE(2029,8,1),DATE(2029,8,1)&lt;='POA — Three year summary'!C5)="",FALSE,AND('POA — Three year summary'!B5&lt;=DATE(2029,8,1),DATE(2029,8,1)&lt;='POA — Three year summary'!C5)),'POA — Monthly financial forecas'!AJ22,"")="",0,IF(IF(AND('POA — Three year summary'!B5&lt;=DATE(2029,8,1),DATE(2029,8,1)&lt;='POA — Three year summary'!C5)="",FALSE,AND('POA — Three year summary'!B5&lt;=DATE(2029,8,1),DATE(2029,8,1)&lt;='POA — Three year summary'!C5)),'POA — Monthly financial forecas'!AJ22,"")),IF(IF(IF(AND('POA — Three year summary'!B5&lt;=DATE(2029,9,1),DATE(2029,9,1)&lt;='POA — Three year summary'!C5)="",FALSE,AND('POA — Three year summary'!B5&lt;=DATE(2029,9,1),DATE(2029,9,1)&lt;='POA — Three year summary'!C5)),'POA — Monthly financial forecas'!AK22,"")="",0,IF(IF(AND('POA — Three year summary'!B5&lt;=DATE(2029,9,1),DATE(2029,9,1)&lt;='POA — Three year summary'!C5)="",FALSE,AND('POA — Three year summary'!B5&lt;=DATE(2029,9,1),DATE(2029,9,1)&lt;='POA — Three year summary'!C5)),'POA — Monthly financial forecas'!AK22,"")),IF(IF(IF(AND('POA — Three year summary'!B5&lt;=DATE(2026,9,1),DATE(2026,9,1)&lt;='POA — Three year summary'!C5)="",FALSE,AND('POA — Three year summary'!B5&lt;=DATE(2026,9,1),DATE(2026,9,1)&lt;='POA — Three year summary'!C5)),'Model inputs'!B15,"")="",0,IF(IF(AND('POA — Three year summary'!B5&lt;=DATE(2026,9,1),DATE(2026,9,1)&lt;='POA — Three year summary'!C5)="",FALSE,AND('POA — Three year summary'!B5&lt;=DATE(2026,9,1),DATE(2026,9,1)&lt;='POA — Three year summary'!C5)),'Model inputs'!B15,"")))</f>
      </c>
    </row>
    <row r="135">
      <c r="A135" t="inlineStr" s="25">
        <is>
          <t xml:space="preserve">Calculation</t>
        </is>
      </c>
      <c r="B135" s="7">
        <f>SUM(IF(IF(IF(AND('POA — Three year summary'!B5&lt;=DATE(2026,10,1),DATE(2026,10,1)&lt;='POA — Three year summary'!C5)="",FALSE,AND('POA — Three year summary'!B5&lt;=DATE(2026,10,1),DATE(2026,10,1)&lt;='POA — Three year summary'!C5)),'POA — Monthly financial forecas'!B27,"")="",0,IF(IF(AND('POA — Three year summary'!B5&lt;=DATE(2026,10,1),DATE(2026,10,1)&lt;='POA — Three year summary'!C5)="",FALSE,AND('POA — Three year summary'!B5&lt;=DATE(2026,10,1),DATE(2026,10,1)&lt;='POA — Three year summary'!C5)),'POA — Monthly financial forecas'!B27,"")),IF(IF(IF(AND('POA — Three year summary'!B5&lt;=DATE(2026,11,1),DATE(2026,11,1)&lt;='POA — Three year summary'!C5)="",FALSE,AND('POA — Three year summary'!B5&lt;=DATE(2026,11,1),DATE(2026,11,1)&lt;='POA — Three year summary'!C5)),'POA — Monthly financial forecas'!C27,"")="",0,IF(IF(AND('POA — Three year summary'!B5&lt;=DATE(2026,11,1),DATE(2026,11,1)&lt;='POA — Three year summary'!C5)="",FALSE,AND('POA — Three year summary'!B5&lt;=DATE(2026,11,1),DATE(2026,11,1)&lt;='POA — Three year summary'!C5)),'POA — Monthly financial forecas'!C27,"")),IF(IF(IF(AND('POA — Three year summary'!B5&lt;=DATE(2026,12,1),DATE(2026,12,1)&lt;='POA — Three year summary'!C5)="",FALSE,AND('POA — Three year summary'!B5&lt;=DATE(2026,12,1),DATE(2026,12,1)&lt;='POA — Three year summary'!C5)),'POA — Monthly financial forecas'!D27,"")="",0,IF(IF(AND('POA — Three year summary'!B5&lt;=DATE(2026,12,1),DATE(2026,12,1)&lt;='POA — Three year summary'!C5)="",FALSE,AND('POA — Three year summary'!B5&lt;=DATE(2026,12,1),DATE(2026,12,1)&lt;='POA — Three year summary'!C5)),'POA — Monthly financial forecas'!D27,"")),IF(IF(IF(AND('POA — Three year summary'!B5&lt;=DATE(2027,1,1),DATE(2027,1,1)&lt;='POA — Three year summary'!C5)="",FALSE,AND('POA — Three year summary'!B5&lt;=DATE(2027,1,1),DATE(2027,1,1)&lt;='POA — Three year summary'!C5)),'POA — Monthly financial forecas'!E27,"")="",0,IF(IF(AND('POA — Three year summary'!B5&lt;=DATE(2027,1,1),DATE(2027,1,1)&lt;='POA — Three year summary'!C5)="",FALSE,AND('POA — Three year summary'!B5&lt;=DATE(2027,1,1),DATE(2027,1,1)&lt;='POA — Three year summary'!C5)),'POA — Monthly financial forecas'!E27,"")),IF(IF(IF(AND('POA — Three year summary'!B5&lt;=DATE(2027,2,1),DATE(2027,2,1)&lt;='POA — Three year summary'!C5)="",FALSE,AND('POA — Three year summary'!B5&lt;=DATE(2027,2,1),DATE(2027,2,1)&lt;='POA — Three year summary'!C5)),'POA — Monthly financial forecas'!F27,"")="",0,IF(IF(AND('POA — Three year summary'!B5&lt;=DATE(2027,2,1),DATE(2027,2,1)&lt;='POA — Three year summary'!C5)="",FALSE,AND('POA — Three year summary'!B5&lt;=DATE(2027,2,1),DATE(2027,2,1)&lt;='POA — Three year summary'!C5)),'POA — Monthly financial forecas'!F27,"")),IF(IF(IF(AND('POA — Three year summary'!B5&lt;=DATE(2027,3,1),DATE(2027,3,1)&lt;='POA — Three year summary'!C5)="",FALSE,AND('POA — Three year summary'!B5&lt;=DATE(2027,3,1),DATE(2027,3,1)&lt;='POA — Three year summary'!C5)),'POA — Monthly financial forecas'!G27,"")="",0,IF(IF(AND('POA — Three year summary'!B5&lt;=DATE(2027,3,1),DATE(2027,3,1)&lt;='POA — Three year summary'!C5)="",FALSE,AND('POA — Three year summary'!B5&lt;=DATE(2027,3,1),DATE(2027,3,1)&lt;='POA — Three year summary'!C5)),'POA — Monthly financial forecas'!G27,"")),IF(IF(IF(AND('POA — Three year summary'!B5&lt;=DATE(2027,4,1),DATE(2027,4,1)&lt;='POA — Three year summary'!C5)="",FALSE,AND('POA — Three year summary'!B5&lt;=DATE(2027,4,1),DATE(2027,4,1)&lt;='POA — Three year summary'!C5)),'POA — Monthly financial forecas'!H27,"")="",0,IF(IF(AND('POA — Three year summary'!B5&lt;=DATE(2027,4,1),DATE(2027,4,1)&lt;='POA — Three year summary'!C5)="",FALSE,AND('POA — Three year summary'!B5&lt;=DATE(2027,4,1),DATE(2027,4,1)&lt;='POA — Three year summary'!C5)),'POA — Monthly financial forecas'!H27,"")),IF(IF(IF(AND('POA — Three year summary'!B5&lt;=DATE(2027,5,1),DATE(2027,5,1)&lt;='POA — Three year summary'!C5)="",FALSE,AND('POA — Three year summary'!B5&lt;=DATE(2027,5,1),DATE(2027,5,1)&lt;='POA — Three year summary'!C5)),'POA — Monthly financial forecas'!I27,"")="",0,IF(IF(AND('POA — Three year summary'!B5&lt;=DATE(2027,5,1),DATE(2027,5,1)&lt;='POA — Three year summary'!C5)="",FALSE,AND('POA — Three year summary'!B5&lt;=DATE(2027,5,1),DATE(2027,5,1)&lt;='POA — Three year summary'!C5)),'POA — Monthly financial forecas'!I27,"")),IF(IF(IF(AND('POA — Three year summary'!B5&lt;=DATE(2027,6,1),DATE(2027,6,1)&lt;='POA — Three year summary'!C5)="",FALSE,AND('POA — Three year summary'!B5&lt;=DATE(2027,6,1),DATE(2027,6,1)&lt;='POA — Three year summary'!C5)),'POA — Monthly financial forecas'!J27,"")="",0,IF(IF(AND('POA — Three year summary'!B5&lt;=DATE(2027,6,1),DATE(2027,6,1)&lt;='POA — Three year summary'!C5)="",FALSE,AND('POA — Three year summary'!B5&lt;=DATE(2027,6,1),DATE(2027,6,1)&lt;='POA — Three year summary'!C5)),'POA — Monthly financial forecas'!J27,"")),IF(IF(IF(AND('POA — Three year summary'!B5&lt;=DATE(2027,7,1),DATE(2027,7,1)&lt;='POA — Three year summary'!C5)="",FALSE,AND('POA — Three year summary'!B5&lt;=DATE(2027,7,1),DATE(2027,7,1)&lt;='POA — Three year summary'!C5)),'POA — Monthly financial forecas'!K27,"")="",0,IF(IF(AND('POA — Three year summary'!B5&lt;=DATE(2027,7,1),DATE(2027,7,1)&lt;='POA — Three year summary'!C5)="",FALSE,AND('POA — Three year summary'!B5&lt;=DATE(2027,7,1),DATE(2027,7,1)&lt;='POA — Three year summary'!C5)),'POA — Monthly financial forecas'!K27,"")),IF(IF(IF(AND('POA — Three year summary'!B5&lt;=DATE(2027,8,1),DATE(2027,8,1)&lt;='POA — Three year summary'!C5)="",FALSE,AND('POA — Three year summary'!B5&lt;=DATE(2027,8,1),DATE(2027,8,1)&lt;='POA — Three year summary'!C5)),'POA — Monthly financial forecas'!L27,"")="",0,IF(IF(AND('POA — Three year summary'!B5&lt;=DATE(2027,8,1),DATE(2027,8,1)&lt;='POA — Three year summary'!C5)="",FALSE,AND('POA — Three year summary'!B5&lt;=DATE(2027,8,1),DATE(2027,8,1)&lt;='POA — Three year summary'!C5)),'POA — Monthly financial forecas'!L27,"")),IF(IF(IF(AND('POA — Three year summary'!B5&lt;=DATE(2027,9,1),DATE(2027,9,1)&lt;='POA — Three year summary'!C5)="",FALSE,AND('POA — Three year summary'!B5&lt;=DATE(2027,9,1),DATE(2027,9,1)&lt;='POA — Three year summary'!C5)),'POA — Monthly financial forecas'!M27,"")="",0,IF(IF(AND('POA — Three year summary'!B5&lt;=DATE(2027,9,1),DATE(2027,9,1)&lt;='POA — Three year summary'!C5)="",FALSE,AND('POA — Three year summary'!B5&lt;=DATE(2027,9,1),DATE(2027,9,1)&lt;='POA — Three year summary'!C5)),'POA — Monthly financial forecas'!M27,"")),IF(IF(IF(AND('POA — Three year summary'!B5&lt;=DATE(2027,10,1),DATE(2027,10,1)&lt;='POA — Three year summary'!C5)="",FALSE,AND('POA — Three year summary'!B5&lt;=DATE(2027,10,1),DATE(2027,10,1)&lt;='POA — Three year summary'!C5)),'POA — Monthly financial forecas'!N27,"")="",0,IF(IF(AND('POA — Three year summary'!B5&lt;=DATE(2027,10,1),DATE(2027,10,1)&lt;='POA — Three year summary'!C5)="",FALSE,AND('POA — Three year summary'!B5&lt;=DATE(2027,10,1),DATE(2027,10,1)&lt;='POA — Three year summary'!C5)),'POA — Monthly financial forecas'!N27,"")),IF(IF(IF(AND('POA — Three year summary'!B5&lt;=DATE(2027,11,1),DATE(2027,11,1)&lt;='POA — Three year summary'!C5)="",FALSE,AND('POA — Three year summary'!B5&lt;=DATE(2027,11,1),DATE(2027,11,1)&lt;='POA — Three year summary'!C5)),'POA — Monthly financial forecas'!O27,"")="",0,IF(IF(AND('POA — Three year summary'!B5&lt;=DATE(2027,11,1),DATE(2027,11,1)&lt;='POA — Three year summary'!C5)="",FALSE,AND('POA — Three year summary'!B5&lt;=DATE(2027,11,1),DATE(2027,11,1)&lt;='POA — Three year summary'!C5)),'POA — Monthly financial forecas'!O27,"")),IF(IF(IF(AND('POA — Three year summary'!B5&lt;=DATE(2027,12,1),DATE(2027,12,1)&lt;='POA — Three year summary'!C5)="",FALSE,AND('POA — Three year summary'!B5&lt;=DATE(2027,12,1),DATE(2027,12,1)&lt;='POA — Three year summary'!C5)),'POA — Monthly financial forecas'!P27,"")="",0,IF(IF(AND('POA — Three year summary'!B5&lt;=DATE(2027,12,1),DATE(2027,12,1)&lt;='POA — Three year summary'!C5)="",FALSE,AND('POA — Three year summary'!B5&lt;=DATE(2027,12,1),DATE(2027,12,1)&lt;='POA — Three year summary'!C5)),'POA — Monthly financial forecas'!P27,"")))</f>
      </c>
    </row>
    <row r="136">
      <c r="A136" t="inlineStr" s="25">
        <is>
          <t xml:space="preserve">Calculation</t>
        </is>
      </c>
      <c r="B136" s="7">
        <f>SUM(IF(IF(IF(AND('POA — Three year summary'!B5&lt;=DATE(2028,1,1),DATE(2028,1,1)&lt;='POA — Three year summary'!C5)="",FALSE,AND('POA — Three year summary'!B5&lt;=DATE(2028,1,1),DATE(2028,1,1)&lt;='POA — Three year summary'!C5)),'POA — Monthly financial forecas'!Q27,"")="",0,IF(IF(AND('POA — Three year summary'!B5&lt;=DATE(2028,1,1),DATE(2028,1,1)&lt;='POA — Three year summary'!C5)="",FALSE,AND('POA — Three year summary'!B5&lt;=DATE(2028,1,1),DATE(2028,1,1)&lt;='POA — Three year summary'!C5)),'POA — Monthly financial forecas'!Q27,"")),IF(IF(IF(AND('POA — Three year summary'!B5&lt;=DATE(2028,2,1),DATE(2028,2,1)&lt;='POA — Three year summary'!C5)="",FALSE,AND('POA — Three year summary'!B5&lt;=DATE(2028,2,1),DATE(2028,2,1)&lt;='POA — Three year summary'!C5)),'POA — Monthly financial forecas'!R27,"")="",0,IF(IF(AND('POA — Three year summary'!B5&lt;=DATE(2028,2,1),DATE(2028,2,1)&lt;='POA — Three year summary'!C5)="",FALSE,AND('POA — Three year summary'!B5&lt;=DATE(2028,2,1),DATE(2028,2,1)&lt;='POA — Three year summary'!C5)),'POA — Monthly financial forecas'!R27,"")),IF(IF(IF(AND('POA — Three year summary'!B5&lt;=DATE(2028,3,1),DATE(2028,3,1)&lt;='POA — Three year summary'!C5)="",FALSE,AND('POA — Three year summary'!B5&lt;=DATE(2028,3,1),DATE(2028,3,1)&lt;='POA — Three year summary'!C5)),'POA — Monthly financial forecas'!S27,"")="",0,IF(IF(AND('POA — Three year summary'!B5&lt;=DATE(2028,3,1),DATE(2028,3,1)&lt;='POA — Three year summary'!C5)="",FALSE,AND('POA — Three year summary'!B5&lt;=DATE(2028,3,1),DATE(2028,3,1)&lt;='POA — Three year summary'!C5)),'POA — Monthly financial forecas'!S27,"")),IF(IF(IF(AND('POA — Three year summary'!B5&lt;=DATE(2028,4,1),DATE(2028,4,1)&lt;='POA — Three year summary'!C5)="",FALSE,AND('POA — Three year summary'!B5&lt;=DATE(2028,4,1),DATE(2028,4,1)&lt;='POA — Three year summary'!C5)),'POA — Monthly financial forecas'!T27,"")="",0,IF(IF(AND('POA — Three year summary'!B5&lt;=DATE(2028,4,1),DATE(2028,4,1)&lt;='POA — Three year summary'!C5)="",FALSE,AND('POA — Three year summary'!B5&lt;=DATE(2028,4,1),DATE(2028,4,1)&lt;='POA — Three year summary'!C5)),'POA — Monthly financial forecas'!T27,"")),IF(IF(IF(AND('POA — Three year summary'!B5&lt;=DATE(2028,5,1),DATE(2028,5,1)&lt;='POA — Three year summary'!C5)="",FALSE,AND('POA — Three year summary'!B5&lt;=DATE(2028,5,1),DATE(2028,5,1)&lt;='POA — Three year summary'!C5)),'POA — Monthly financial forecas'!U27,"")="",0,IF(IF(AND('POA — Three year summary'!B5&lt;=DATE(2028,5,1),DATE(2028,5,1)&lt;='POA — Three year summary'!C5)="",FALSE,AND('POA — Three year summary'!B5&lt;=DATE(2028,5,1),DATE(2028,5,1)&lt;='POA — Three year summary'!C5)),'POA — Monthly financial forecas'!U27,"")),IF(IF(IF(AND('POA — Three year summary'!B5&lt;=DATE(2028,6,1),DATE(2028,6,1)&lt;='POA — Three year summary'!C5)="",FALSE,AND('POA — Three year summary'!B5&lt;=DATE(2028,6,1),DATE(2028,6,1)&lt;='POA — Three year summary'!C5)),'POA — Monthly financial forecas'!V27,"")="",0,IF(IF(AND('POA — Three year summary'!B5&lt;=DATE(2028,6,1),DATE(2028,6,1)&lt;='POA — Three year summary'!C5)="",FALSE,AND('POA — Three year summary'!B5&lt;=DATE(2028,6,1),DATE(2028,6,1)&lt;='POA — Three year summary'!C5)),'POA — Monthly financial forecas'!V27,"")),IF(IF(IF(AND('POA — Three year summary'!B5&lt;=DATE(2028,7,1),DATE(2028,7,1)&lt;='POA — Three year summary'!C5)="",FALSE,AND('POA — Three year summary'!B5&lt;=DATE(2028,7,1),DATE(2028,7,1)&lt;='POA — Three year summary'!C5)),'POA — Monthly financial forecas'!W27,"")="",0,IF(IF(AND('POA — Three year summary'!B5&lt;=DATE(2028,7,1),DATE(2028,7,1)&lt;='POA — Three year summary'!C5)="",FALSE,AND('POA — Three year summary'!B5&lt;=DATE(2028,7,1),DATE(2028,7,1)&lt;='POA — Three year summary'!C5)),'POA — Monthly financial forecas'!W27,"")),IF(IF(IF(AND('POA — Three year summary'!B5&lt;=DATE(2028,8,1),DATE(2028,8,1)&lt;='POA — Three year summary'!C5)="",FALSE,AND('POA — Three year summary'!B5&lt;=DATE(2028,8,1),DATE(2028,8,1)&lt;='POA — Three year summary'!C5)),'POA — Monthly financial forecas'!X27,"")="",0,IF(IF(AND('POA — Three year summary'!B5&lt;=DATE(2028,8,1),DATE(2028,8,1)&lt;='POA — Three year summary'!C5)="",FALSE,AND('POA — Three year summary'!B5&lt;=DATE(2028,8,1),DATE(2028,8,1)&lt;='POA — Three year summary'!C5)),'POA — Monthly financial forecas'!X27,"")),IF(IF(IF(AND('POA — Three year summary'!B5&lt;=DATE(2028,9,1),DATE(2028,9,1)&lt;='POA — Three year summary'!C5)="",FALSE,AND('POA — Three year summary'!B5&lt;=DATE(2028,9,1),DATE(2028,9,1)&lt;='POA — Three year summary'!C5)),'POA — Monthly financial forecas'!Y27,"")="",0,IF(IF(AND('POA — Three year summary'!B5&lt;=DATE(2028,9,1),DATE(2028,9,1)&lt;='POA — Three year summary'!C5)="",FALSE,AND('POA — Three year summary'!B5&lt;=DATE(2028,9,1),DATE(2028,9,1)&lt;='POA — Three year summary'!C5)),'POA — Monthly financial forecas'!Y27,"")),IF(IF(IF(AND('POA — Three year summary'!B5&lt;=DATE(2028,10,1),DATE(2028,10,1)&lt;='POA — Three year summary'!C5)="",FALSE,AND('POA — Three year summary'!B5&lt;=DATE(2028,10,1),DATE(2028,10,1)&lt;='POA — Three year summary'!C5)),'POA — Monthly financial forecas'!Z27,"")="",0,IF(IF(AND('POA — Three year summary'!B5&lt;=DATE(2028,10,1),DATE(2028,10,1)&lt;='POA — Three year summary'!C5)="",FALSE,AND('POA — Three year summary'!B5&lt;=DATE(2028,10,1),DATE(2028,10,1)&lt;='POA — Three year summary'!C5)),'POA — Monthly financial forecas'!Z27,"")),IF(IF(IF(AND('POA — Three year summary'!B5&lt;=DATE(2028,11,1),DATE(2028,11,1)&lt;='POA — Three year summary'!C5)="",FALSE,AND('POA — Three year summary'!B5&lt;=DATE(2028,11,1),DATE(2028,11,1)&lt;='POA — Three year summary'!C5)),'POA — Monthly financial forecas'!AA27,"")="",0,IF(IF(AND('POA — Three year summary'!B5&lt;=DATE(2028,11,1),DATE(2028,11,1)&lt;='POA — Three year summary'!C5)="",FALSE,AND('POA — Three year summary'!B5&lt;=DATE(2028,11,1),DATE(2028,11,1)&lt;='POA — Three year summary'!C5)),'POA — Monthly financial forecas'!AA27,"")),IF(IF(IF(AND('POA — Three year summary'!B5&lt;=DATE(2028,12,1),DATE(2028,12,1)&lt;='POA — Three year summary'!C5)="",FALSE,AND('POA — Three year summary'!B5&lt;=DATE(2028,12,1),DATE(2028,12,1)&lt;='POA — Three year summary'!C5)),'POA — Monthly financial forecas'!AB27,"")="",0,IF(IF(AND('POA — Three year summary'!B5&lt;=DATE(2028,12,1),DATE(2028,12,1)&lt;='POA — Three year summary'!C5)="",FALSE,AND('POA — Three year summary'!B5&lt;=DATE(2028,12,1),DATE(2028,12,1)&lt;='POA — Three year summary'!C5)),'POA — Monthly financial forecas'!AB27,"")),IF(IF(IF(AND('POA — Three year summary'!B5&lt;=DATE(2029,1,1),DATE(2029,1,1)&lt;='POA — Three year summary'!C5)="",FALSE,AND('POA — Three year summary'!B5&lt;=DATE(2029,1,1),DATE(2029,1,1)&lt;='POA — Three year summary'!C5)),'POA — Monthly financial forecas'!AC27,"")="",0,IF(IF(AND('POA — Three year summary'!B5&lt;=DATE(2029,1,1),DATE(2029,1,1)&lt;='POA — Three year summary'!C5)="",FALSE,AND('POA — Three year summary'!B5&lt;=DATE(2029,1,1),DATE(2029,1,1)&lt;='POA — Three year summary'!C5)),'POA — Monthly financial forecas'!AC27,"")),IF(IF(IF(AND('POA — Three year summary'!B5&lt;=DATE(2029,2,1),DATE(2029,2,1)&lt;='POA — Three year summary'!C5)="",FALSE,AND('POA — Three year summary'!B5&lt;=DATE(2029,2,1),DATE(2029,2,1)&lt;='POA — Three year summary'!C5)),'POA — Monthly financial forecas'!AD27,"")="",0,IF(IF(AND('POA — Three year summary'!B5&lt;=DATE(2029,2,1),DATE(2029,2,1)&lt;='POA — Three year summary'!C5)="",FALSE,AND('POA — Three year summary'!B5&lt;=DATE(2029,2,1),DATE(2029,2,1)&lt;='POA — Three year summary'!C5)),'POA — Monthly financial forecas'!AD27,"")),IF(IF(IF(AND('POA — Three year summary'!B5&lt;=DATE(2029,3,1),DATE(2029,3,1)&lt;='POA — Three year summary'!C5)="",FALSE,AND('POA — Three year summary'!B5&lt;=DATE(2029,3,1),DATE(2029,3,1)&lt;='POA — Three year summary'!C5)),'POA — Monthly financial forecas'!AE27,"")="",0,IF(IF(AND('POA — Three year summary'!B5&lt;=DATE(2029,3,1),DATE(2029,3,1)&lt;='POA — Three year summary'!C5)="",FALSE,AND('POA — Three year summary'!B5&lt;=DATE(2029,3,1),DATE(2029,3,1)&lt;='POA — Three year summary'!C5)),'POA — Monthly financial forecas'!AE27,"")))</f>
      </c>
    </row>
    <row r="137">
      <c r="A137" t="inlineStr" s="25">
        <is>
          <t xml:space="preserve">Calculation</t>
        </is>
      </c>
      <c r="B137" s="7">
        <f>SUM(IF(IF(IF(AND('POA — Three year summary'!B5&lt;=DATE(2029,4,1),DATE(2029,4,1)&lt;='POA — Three year summary'!C5)="",FALSE,AND('POA — Three year summary'!B5&lt;=DATE(2029,4,1),DATE(2029,4,1)&lt;='POA — Three year summary'!C5)),'POA — Monthly financial forecas'!AF27,"")="",0,IF(IF(AND('POA — Three year summary'!B5&lt;=DATE(2029,4,1),DATE(2029,4,1)&lt;='POA — Three year summary'!C5)="",FALSE,AND('POA — Three year summary'!B5&lt;=DATE(2029,4,1),DATE(2029,4,1)&lt;='POA — Three year summary'!C5)),'POA — Monthly financial forecas'!AF27,"")),IF(IF(IF(AND('POA — Three year summary'!B5&lt;=DATE(2029,5,1),DATE(2029,5,1)&lt;='POA — Three year summary'!C5)="",FALSE,AND('POA — Three year summary'!B5&lt;=DATE(2029,5,1),DATE(2029,5,1)&lt;='POA — Three year summary'!C5)),'POA — Monthly financial forecas'!AG27,"")="",0,IF(IF(AND('POA — Three year summary'!B5&lt;=DATE(2029,5,1),DATE(2029,5,1)&lt;='POA — Three year summary'!C5)="",FALSE,AND('POA — Three year summary'!B5&lt;=DATE(2029,5,1),DATE(2029,5,1)&lt;='POA — Three year summary'!C5)),'POA — Monthly financial forecas'!AG27,"")),IF(IF(IF(AND('POA — Three year summary'!B5&lt;=DATE(2029,6,1),DATE(2029,6,1)&lt;='POA — Three year summary'!C5)="",FALSE,AND('POA — Three year summary'!B5&lt;=DATE(2029,6,1),DATE(2029,6,1)&lt;='POA — Three year summary'!C5)),'POA — Monthly financial forecas'!AH27,"")="",0,IF(IF(AND('POA — Three year summary'!B5&lt;=DATE(2029,6,1),DATE(2029,6,1)&lt;='POA — Three year summary'!C5)="",FALSE,AND('POA — Three year summary'!B5&lt;=DATE(2029,6,1),DATE(2029,6,1)&lt;='POA — Three year summary'!C5)),'POA — Monthly financial forecas'!AH27,"")),IF(IF(IF(AND('POA — Three year summary'!B5&lt;=DATE(2029,7,1),DATE(2029,7,1)&lt;='POA — Three year summary'!C5)="",FALSE,AND('POA — Three year summary'!B5&lt;=DATE(2029,7,1),DATE(2029,7,1)&lt;='POA — Three year summary'!C5)),'POA — Monthly financial forecas'!AI27,"")="",0,IF(IF(AND('POA — Three year summary'!B5&lt;=DATE(2029,7,1),DATE(2029,7,1)&lt;='POA — Three year summary'!C5)="",FALSE,AND('POA — Three year summary'!B5&lt;=DATE(2029,7,1),DATE(2029,7,1)&lt;='POA — Three year summary'!C5)),'POA — Monthly financial forecas'!AI27,"")),IF(IF(IF(AND('POA — Three year summary'!B5&lt;=DATE(2029,8,1),DATE(2029,8,1)&lt;='POA — Three year summary'!C5)="",FALSE,AND('POA — Three year summary'!B5&lt;=DATE(2029,8,1),DATE(2029,8,1)&lt;='POA — Three year summary'!C5)),'POA — Monthly financial forecas'!AJ27,"")="",0,IF(IF(AND('POA — Three year summary'!B5&lt;=DATE(2029,8,1),DATE(2029,8,1)&lt;='POA — Three year summary'!C5)="",FALSE,AND('POA — Three year summary'!B5&lt;=DATE(2029,8,1),DATE(2029,8,1)&lt;='POA — Three year summary'!C5)),'POA — Monthly financial forecas'!AJ27,"")),IF(IF(IF(AND('POA — Three year summary'!B5&lt;=DATE(2029,9,1),DATE(2029,9,1)&lt;='POA — Three year summary'!C5)="",FALSE,AND('POA — Three year summary'!B5&lt;=DATE(2029,9,1),DATE(2029,9,1)&lt;='POA — Three year summary'!C5)),'POA — Monthly financial forecas'!AK27,"")="",0,IF(IF(AND('POA — Three year summary'!B5&lt;=DATE(2029,9,1),DATE(2029,9,1)&lt;='POA — Three year summary'!C5)="",FALSE,AND('POA — Three year summary'!B5&lt;=DATE(2029,9,1),DATE(2029,9,1)&lt;='POA — Three year summary'!C5)),'POA — Monthly financial forecas'!AK27,"")),IF(IF(IF(AND('POA — Three year summary'!B5&lt;=DATE(2026,9,1),DATE(2026,9,1)&lt;='POA — Three year summary'!C5)="",FALSE,AND('POA — Three year summary'!B5&lt;=DATE(2026,9,1),DATE(2026,9,1)&lt;='POA — Three year summary'!C5)),'Model inputs'!B85,"")="",0,IF(IF(AND('POA — Three year summary'!B5&lt;=DATE(2026,9,1),DATE(2026,9,1)&lt;='POA — Three year summary'!C5)="",FALSE,AND('POA — Three year summary'!B5&lt;=DATE(2026,9,1),DATE(2026,9,1)&lt;='POA — Three year summary'!C5)),'Model inputs'!B85,"")))</f>
      </c>
    </row>
    <row r="138">
      <c r="A138" t="inlineStr" s="25">
        <is>
          <t xml:space="preserve">Calculation</t>
        </is>
      </c>
      <c r="B138" s="7">
        <f>SUM(IF(IF(IF(AND('POA — Three year summary'!B5&lt;=DATE(2026,10,1),DATE(2026,10,1)&lt;='POA — Three year summary'!C5)="",FALSE,AND('POA — Three year summary'!B5&lt;=DATE(2026,10,1),DATE(2026,10,1)&lt;='POA — Three year summary'!C5)),'POA — Monthly financial forecas'!B38,"")="",0,IF(IF(AND('POA — Three year summary'!B5&lt;=DATE(2026,10,1),DATE(2026,10,1)&lt;='POA — Three year summary'!C5)="",FALSE,AND('POA — Three year summary'!B5&lt;=DATE(2026,10,1),DATE(2026,10,1)&lt;='POA — Three year summary'!C5)),'POA — Monthly financial forecas'!B38,"")),IF(IF(IF(AND('POA — Three year summary'!B5&lt;=DATE(2026,11,1),DATE(2026,11,1)&lt;='POA — Three year summary'!C5)="",FALSE,AND('POA — Three year summary'!B5&lt;=DATE(2026,11,1),DATE(2026,11,1)&lt;='POA — Three year summary'!C5)),'POA — Monthly financial forecas'!C38,"")="",0,IF(IF(AND('POA — Three year summary'!B5&lt;=DATE(2026,11,1),DATE(2026,11,1)&lt;='POA — Three year summary'!C5)="",FALSE,AND('POA — Three year summary'!B5&lt;=DATE(2026,11,1),DATE(2026,11,1)&lt;='POA — Three year summary'!C5)),'POA — Monthly financial forecas'!C38,"")),IF(IF(IF(AND('POA — Three year summary'!B5&lt;=DATE(2026,12,1),DATE(2026,12,1)&lt;='POA — Three year summary'!C5)="",FALSE,AND('POA — Three year summary'!B5&lt;=DATE(2026,12,1),DATE(2026,12,1)&lt;='POA — Three year summary'!C5)),'POA — Monthly financial forecas'!D38,"")="",0,IF(IF(AND('POA — Three year summary'!B5&lt;=DATE(2026,12,1),DATE(2026,12,1)&lt;='POA — Three year summary'!C5)="",FALSE,AND('POA — Three year summary'!B5&lt;=DATE(2026,12,1),DATE(2026,12,1)&lt;='POA — Three year summary'!C5)),'POA — Monthly financial forecas'!D38,"")),IF(IF(IF(AND('POA — Three year summary'!B5&lt;=DATE(2027,1,1),DATE(2027,1,1)&lt;='POA — Three year summary'!C5)="",FALSE,AND('POA — Three year summary'!B5&lt;=DATE(2027,1,1),DATE(2027,1,1)&lt;='POA — Three year summary'!C5)),'POA — Monthly financial forecas'!E38,"")="",0,IF(IF(AND('POA — Three year summary'!B5&lt;=DATE(2027,1,1),DATE(2027,1,1)&lt;='POA — Three year summary'!C5)="",FALSE,AND('POA — Three year summary'!B5&lt;=DATE(2027,1,1),DATE(2027,1,1)&lt;='POA — Three year summary'!C5)),'POA — Monthly financial forecas'!E38,"")),IF(IF(IF(AND('POA — Three year summary'!B5&lt;=DATE(2027,2,1),DATE(2027,2,1)&lt;='POA — Three year summary'!C5)="",FALSE,AND('POA — Three year summary'!B5&lt;=DATE(2027,2,1),DATE(2027,2,1)&lt;='POA — Three year summary'!C5)),'POA — Monthly financial forecas'!F38,"")="",0,IF(IF(AND('POA — Three year summary'!B5&lt;=DATE(2027,2,1),DATE(2027,2,1)&lt;='POA — Three year summary'!C5)="",FALSE,AND('POA — Three year summary'!B5&lt;=DATE(2027,2,1),DATE(2027,2,1)&lt;='POA — Three year summary'!C5)),'POA — Monthly financial forecas'!F38,"")),IF(IF(IF(AND('POA — Three year summary'!B5&lt;=DATE(2027,3,1),DATE(2027,3,1)&lt;='POA — Three year summary'!C5)="",FALSE,AND('POA — Three year summary'!B5&lt;=DATE(2027,3,1),DATE(2027,3,1)&lt;='POA — Three year summary'!C5)),'POA — Monthly financial forecas'!G38,"")="",0,IF(IF(AND('POA — Three year summary'!B5&lt;=DATE(2027,3,1),DATE(2027,3,1)&lt;='POA — Three year summary'!C5)="",FALSE,AND('POA — Three year summary'!B5&lt;=DATE(2027,3,1),DATE(2027,3,1)&lt;='POA — Three year summary'!C5)),'POA — Monthly financial forecas'!G38,"")),IF(IF(IF(AND('POA — Three year summary'!B5&lt;=DATE(2027,4,1),DATE(2027,4,1)&lt;='POA — Three year summary'!C5)="",FALSE,AND('POA — Three year summary'!B5&lt;=DATE(2027,4,1),DATE(2027,4,1)&lt;='POA — Three year summary'!C5)),'POA — Monthly financial forecas'!H38,"")="",0,IF(IF(AND('POA — Three year summary'!B5&lt;=DATE(2027,4,1),DATE(2027,4,1)&lt;='POA — Three year summary'!C5)="",FALSE,AND('POA — Three year summary'!B5&lt;=DATE(2027,4,1),DATE(2027,4,1)&lt;='POA — Three year summary'!C5)),'POA — Monthly financial forecas'!H38,"")),IF(IF(IF(AND('POA — Three year summary'!B5&lt;=DATE(2027,5,1),DATE(2027,5,1)&lt;='POA — Three year summary'!C5)="",FALSE,AND('POA — Three year summary'!B5&lt;=DATE(2027,5,1),DATE(2027,5,1)&lt;='POA — Three year summary'!C5)),'POA — Monthly financial forecas'!I38,"")="",0,IF(IF(AND('POA — Three year summary'!B5&lt;=DATE(2027,5,1),DATE(2027,5,1)&lt;='POA — Three year summary'!C5)="",FALSE,AND('POA — Three year summary'!B5&lt;=DATE(2027,5,1),DATE(2027,5,1)&lt;='POA — Three year summary'!C5)),'POA — Monthly financial forecas'!I38,"")),IF(IF(IF(AND('POA — Three year summary'!B5&lt;=DATE(2027,6,1),DATE(2027,6,1)&lt;='POA — Three year summary'!C5)="",FALSE,AND('POA — Three year summary'!B5&lt;=DATE(2027,6,1),DATE(2027,6,1)&lt;='POA — Three year summary'!C5)),'POA — Monthly financial forecas'!J38,"")="",0,IF(IF(AND('POA — Three year summary'!B5&lt;=DATE(2027,6,1),DATE(2027,6,1)&lt;='POA — Three year summary'!C5)="",FALSE,AND('POA — Three year summary'!B5&lt;=DATE(2027,6,1),DATE(2027,6,1)&lt;='POA — Three year summary'!C5)),'POA — Monthly financial forecas'!J38,"")),IF(IF(IF(AND('POA — Three year summary'!B5&lt;=DATE(2027,7,1),DATE(2027,7,1)&lt;='POA — Three year summary'!C5)="",FALSE,AND('POA — Three year summary'!B5&lt;=DATE(2027,7,1),DATE(2027,7,1)&lt;='POA — Three year summary'!C5)),'POA — Monthly financial forecas'!K38,"")="",0,IF(IF(AND('POA — Three year summary'!B5&lt;=DATE(2027,7,1),DATE(2027,7,1)&lt;='POA — Three year summary'!C5)="",FALSE,AND('POA — Three year summary'!B5&lt;=DATE(2027,7,1),DATE(2027,7,1)&lt;='POA — Three year summary'!C5)),'POA — Monthly financial forecas'!K38,"")),IF(IF(IF(AND('POA — Three year summary'!B5&lt;=DATE(2027,8,1),DATE(2027,8,1)&lt;='POA — Three year summary'!C5)="",FALSE,AND('POA — Three year summary'!B5&lt;=DATE(2027,8,1),DATE(2027,8,1)&lt;='POA — Three year summary'!C5)),'POA — Monthly financial forecas'!L38,"")="",0,IF(IF(AND('POA — Three year summary'!B5&lt;=DATE(2027,8,1),DATE(2027,8,1)&lt;='POA — Three year summary'!C5)="",FALSE,AND('POA — Three year summary'!B5&lt;=DATE(2027,8,1),DATE(2027,8,1)&lt;='POA — Three year summary'!C5)),'POA — Monthly financial forecas'!L38,"")),IF(IF(IF(AND('POA — Three year summary'!B5&lt;=DATE(2027,9,1),DATE(2027,9,1)&lt;='POA — Three year summary'!C5)="",FALSE,AND('POA — Three year summary'!B5&lt;=DATE(2027,9,1),DATE(2027,9,1)&lt;='POA — Three year summary'!C5)),'POA — Monthly financial forecas'!M38,"")="",0,IF(IF(AND('POA — Three year summary'!B5&lt;=DATE(2027,9,1),DATE(2027,9,1)&lt;='POA — Three year summary'!C5)="",FALSE,AND('POA — Three year summary'!B5&lt;=DATE(2027,9,1),DATE(2027,9,1)&lt;='POA — Three year summary'!C5)),'POA — Monthly financial forecas'!M38,"")),IF(IF(IF(AND('POA — Three year summary'!B5&lt;=DATE(2027,10,1),DATE(2027,10,1)&lt;='POA — Three year summary'!C5)="",FALSE,AND('POA — Three year summary'!B5&lt;=DATE(2027,10,1),DATE(2027,10,1)&lt;='POA — Three year summary'!C5)),'POA — Monthly financial forecas'!N38,"")="",0,IF(IF(AND('POA — Three year summary'!B5&lt;=DATE(2027,10,1),DATE(2027,10,1)&lt;='POA — Three year summary'!C5)="",FALSE,AND('POA — Three year summary'!B5&lt;=DATE(2027,10,1),DATE(2027,10,1)&lt;='POA — Three year summary'!C5)),'POA — Monthly financial forecas'!N38,"")),IF(IF(IF(AND('POA — Three year summary'!B5&lt;=DATE(2027,11,1),DATE(2027,11,1)&lt;='POA — Three year summary'!C5)="",FALSE,AND('POA — Three year summary'!B5&lt;=DATE(2027,11,1),DATE(2027,11,1)&lt;='POA — Three year summary'!C5)),'POA — Monthly financial forecas'!O38,"")="",0,IF(IF(AND('POA — Three year summary'!B5&lt;=DATE(2027,11,1),DATE(2027,11,1)&lt;='POA — Three year summary'!C5)="",FALSE,AND('POA — Three year summary'!B5&lt;=DATE(2027,11,1),DATE(2027,11,1)&lt;='POA — Three year summary'!C5)),'POA — Monthly financial forecas'!O38,"")),IF(IF(IF(AND('POA — Three year summary'!B5&lt;=DATE(2027,12,1),DATE(2027,12,1)&lt;='POA — Three year summary'!C5)="",FALSE,AND('POA — Three year summary'!B5&lt;=DATE(2027,12,1),DATE(2027,12,1)&lt;='POA — Three year summary'!C5)),'POA — Monthly financial forecas'!P38,"")="",0,IF(IF(AND('POA — Three year summary'!B5&lt;=DATE(2027,12,1),DATE(2027,12,1)&lt;='POA — Three year summary'!C5)="",FALSE,AND('POA — Three year summary'!B5&lt;=DATE(2027,12,1),DATE(2027,12,1)&lt;='POA — Three year summary'!C5)),'POA — Monthly financial forecas'!P38,"")))</f>
      </c>
    </row>
    <row r="139">
      <c r="A139" t="inlineStr" s="25">
        <is>
          <t xml:space="preserve">Calculation</t>
        </is>
      </c>
      <c r="B139" s="7">
        <f>SUM(IF(IF(IF(AND('POA — Three year summary'!B5&lt;=DATE(2028,1,1),DATE(2028,1,1)&lt;='POA — Three year summary'!C5)="",FALSE,AND('POA — Three year summary'!B5&lt;=DATE(2028,1,1),DATE(2028,1,1)&lt;='POA — Three year summary'!C5)),'POA — Monthly financial forecas'!Q38,"")="",0,IF(IF(AND('POA — Three year summary'!B5&lt;=DATE(2028,1,1),DATE(2028,1,1)&lt;='POA — Three year summary'!C5)="",FALSE,AND('POA — Three year summary'!B5&lt;=DATE(2028,1,1),DATE(2028,1,1)&lt;='POA — Three year summary'!C5)),'POA — Monthly financial forecas'!Q38,"")),IF(IF(IF(AND('POA — Three year summary'!B5&lt;=DATE(2028,2,1),DATE(2028,2,1)&lt;='POA — Three year summary'!C5)="",FALSE,AND('POA — Three year summary'!B5&lt;=DATE(2028,2,1),DATE(2028,2,1)&lt;='POA — Three year summary'!C5)),'POA — Monthly financial forecas'!R38,"")="",0,IF(IF(AND('POA — Three year summary'!B5&lt;=DATE(2028,2,1),DATE(2028,2,1)&lt;='POA — Three year summary'!C5)="",FALSE,AND('POA — Three year summary'!B5&lt;=DATE(2028,2,1),DATE(2028,2,1)&lt;='POA — Three year summary'!C5)),'POA — Monthly financial forecas'!R38,"")),IF(IF(IF(AND('POA — Three year summary'!B5&lt;=DATE(2028,3,1),DATE(2028,3,1)&lt;='POA — Three year summary'!C5)="",FALSE,AND('POA — Three year summary'!B5&lt;=DATE(2028,3,1),DATE(2028,3,1)&lt;='POA — Three year summary'!C5)),'POA — Monthly financial forecas'!S38,"")="",0,IF(IF(AND('POA — Three year summary'!B5&lt;=DATE(2028,3,1),DATE(2028,3,1)&lt;='POA — Three year summary'!C5)="",FALSE,AND('POA — Three year summary'!B5&lt;=DATE(2028,3,1),DATE(2028,3,1)&lt;='POA — Three year summary'!C5)),'POA — Monthly financial forecas'!S38,"")),IF(IF(IF(AND('POA — Three year summary'!B5&lt;=DATE(2028,4,1),DATE(2028,4,1)&lt;='POA — Three year summary'!C5)="",FALSE,AND('POA — Three year summary'!B5&lt;=DATE(2028,4,1),DATE(2028,4,1)&lt;='POA — Three year summary'!C5)),'POA — Monthly financial forecas'!T38,"")="",0,IF(IF(AND('POA — Three year summary'!B5&lt;=DATE(2028,4,1),DATE(2028,4,1)&lt;='POA — Three year summary'!C5)="",FALSE,AND('POA — Three year summary'!B5&lt;=DATE(2028,4,1),DATE(2028,4,1)&lt;='POA — Three year summary'!C5)),'POA — Monthly financial forecas'!T38,"")),IF(IF(IF(AND('POA — Three year summary'!B5&lt;=DATE(2028,5,1),DATE(2028,5,1)&lt;='POA — Three year summary'!C5)="",FALSE,AND('POA — Three year summary'!B5&lt;=DATE(2028,5,1),DATE(2028,5,1)&lt;='POA — Three year summary'!C5)),'POA — Monthly financial forecas'!U38,"")="",0,IF(IF(AND('POA — Three year summary'!B5&lt;=DATE(2028,5,1),DATE(2028,5,1)&lt;='POA — Three year summary'!C5)="",FALSE,AND('POA — Three year summary'!B5&lt;=DATE(2028,5,1),DATE(2028,5,1)&lt;='POA — Three year summary'!C5)),'POA — Monthly financial forecas'!U38,"")),IF(IF(IF(AND('POA — Three year summary'!B5&lt;=DATE(2028,6,1),DATE(2028,6,1)&lt;='POA — Three year summary'!C5)="",FALSE,AND('POA — Three year summary'!B5&lt;=DATE(2028,6,1),DATE(2028,6,1)&lt;='POA — Three year summary'!C5)),'POA — Monthly financial forecas'!V38,"")="",0,IF(IF(AND('POA — Three year summary'!B5&lt;=DATE(2028,6,1),DATE(2028,6,1)&lt;='POA — Three year summary'!C5)="",FALSE,AND('POA — Three year summary'!B5&lt;=DATE(2028,6,1),DATE(2028,6,1)&lt;='POA — Three year summary'!C5)),'POA — Monthly financial forecas'!V38,"")),IF(IF(IF(AND('POA — Three year summary'!B5&lt;=DATE(2028,7,1),DATE(2028,7,1)&lt;='POA — Three year summary'!C5)="",FALSE,AND('POA — Three year summary'!B5&lt;=DATE(2028,7,1),DATE(2028,7,1)&lt;='POA — Three year summary'!C5)),'POA — Monthly financial forecas'!W38,"")="",0,IF(IF(AND('POA — Three year summary'!B5&lt;=DATE(2028,7,1),DATE(2028,7,1)&lt;='POA — Three year summary'!C5)="",FALSE,AND('POA — Three year summary'!B5&lt;=DATE(2028,7,1),DATE(2028,7,1)&lt;='POA — Three year summary'!C5)),'POA — Monthly financial forecas'!W38,"")),IF(IF(IF(AND('POA — Three year summary'!B5&lt;=DATE(2028,8,1),DATE(2028,8,1)&lt;='POA — Three year summary'!C5)="",FALSE,AND('POA — Three year summary'!B5&lt;=DATE(2028,8,1),DATE(2028,8,1)&lt;='POA — Three year summary'!C5)),'POA — Monthly financial forecas'!X38,"")="",0,IF(IF(AND('POA — Three year summary'!B5&lt;=DATE(2028,8,1),DATE(2028,8,1)&lt;='POA — Three year summary'!C5)="",FALSE,AND('POA — Three year summary'!B5&lt;=DATE(2028,8,1),DATE(2028,8,1)&lt;='POA — Three year summary'!C5)),'POA — Monthly financial forecas'!X38,"")),IF(IF(IF(AND('POA — Three year summary'!B5&lt;=DATE(2028,9,1),DATE(2028,9,1)&lt;='POA — Three year summary'!C5)="",FALSE,AND('POA — Three year summary'!B5&lt;=DATE(2028,9,1),DATE(2028,9,1)&lt;='POA — Three year summary'!C5)),'POA — Monthly financial forecas'!Y38,"")="",0,IF(IF(AND('POA — Three year summary'!B5&lt;=DATE(2028,9,1),DATE(2028,9,1)&lt;='POA — Three year summary'!C5)="",FALSE,AND('POA — Three year summary'!B5&lt;=DATE(2028,9,1),DATE(2028,9,1)&lt;='POA — Three year summary'!C5)),'POA — Monthly financial forecas'!Y38,"")),IF(IF(IF(AND('POA — Three year summary'!B5&lt;=DATE(2028,10,1),DATE(2028,10,1)&lt;='POA — Three year summary'!C5)="",FALSE,AND('POA — Three year summary'!B5&lt;=DATE(2028,10,1),DATE(2028,10,1)&lt;='POA — Three year summary'!C5)),'POA — Monthly financial forecas'!Z38,"")="",0,IF(IF(AND('POA — Three year summary'!B5&lt;=DATE(2028,10,1),DATE(2028,10,1)&lt;='POA — Three year summary'!C5)="",FALSE,AND('POA — Three year summary'!B5&lt;=DATE(2028,10,1),DATE(2028,10,1)&lt;='POA — Three year summary'!C5)),'POA — Monthly financial forecas'!Z38,"")),IF(IF(IF(AND('POA — Three year summary'!B5&lt;=DATE(2028,11,1),DATE(2028,11,1)&lt;='POA — Three year summary'!C5)="",FALSE,AND('POA — Three year summary'!B5&lt;=DATE(2028,11,1),DATE(2028,11,1)&lt;='POA — Three year summary'!C5)),'POA — Monthly financial forecas'!AA38,"")="",0,IF(IF(AND('POA — Three year summary'!B5&lt;=DATE(2028,11,1),DATE(2028,11,1)&lt;='POA — Three year summary'!C5)="",FALSE,AND('POA — Three year summary'!B5&lt;=DATE(2028,11,1),DATE(2028,11,1)&lt;='POA — Three year summary'!C5)),'POA — Monthly financial forecas'!AA38,"")),IF(IF(IF(AND('POA — Three year summary'!B5&lt;=DATE(2028,12,1),DATE(2028,12,1)&lt;='POA — Three year summary'!C5)="",FALSE,AND('POA — Three year summary'!B5&lt;=DATE(2028,12,1),DATE(2028,12,1)&lt;='POA — Three year summary'!C5)),'POA — Monthly financial forecas'!AB38,"")="",0,IF(IF(AND('POA — Three year summary'!B5&lt;=DATE(2028,12,1),DATE(2028,12,1)&lt;='POA — Three year summary'!C5)="",FALSE,AND('POA — Three year summary'!B5&lt;=DATE(2028,12,1),DATE(2028,12,1)&lt;='POA — Three year summary'!C5)),'POA — Monthly financial forecas'!AB38,"")),IF(IF(IF(AND('POA — Three year summary'!B5&lt;=DATE(2029,1,1),DATE(2029,1,1)&lt;='POA — Three year summary'!C5)="",FALSE,AND('POA — Three year summary'!B5&lt;=DATE(2029,1,1),DATE(2029,1,1)&lt;='POA — Three year summary'!C5)),'POA — Monthly financial forecas'!AC38,"")="",0,IF(IF(AND('POA — Three year summary'!B5&lt;=DATE(2029,1,1),DATE(2029,1,1)&lt;='POA — Three year summary'!C5)="",FALSE,AND('POA — Three year summary'!B5&lt;=DATE(2029,1,1),DATE(2029,1,1)&lt;='POA — Three year summary'!C5)),'POA — Monthly financial forecas'!AC38,"")),IF(IF(IF(AND('POA — Three year summary'!B5&lt;=DATE(2029,2,1),DATE(2029,2,1)&lt;='POA — Three year summary'!C5)="",FALSE,AND('POA — Three year summary'!B5&lt;=DATE(2029,2,1),DATE(2029,2,1)&lt;='POA — Three year summary'!C5)),'POA — Monthly financial forecas'!AD38,"")="",0,IF(IF(AND('POA — Three year summary'!B5&lt;=DATE(2029,2,1),DATE(2029,2,1)&lt;='POA — Three year summary'!C5)="",FALSE,AND('POA — Three year summary'!B5&lt;=DATE(2029,2,1),DATE(2029,2,1)&lt;='POA — Three year summary'!C5)),'POA — Monthly financial forecas'!AD38,"")),IF(IF(IF(AND('POA — Three year summary'!B5&lt;=DATE(2029,3,1),DATE(2029,3,1)&lt;='POA — Three year summary'!C5)="",FALSE,AND('POA — Three year summary'!B5&lt;=DATE(2029,3,1),DATE(2029,3,1)&lt;='POA — Three year summary'!C5)),'POA — Monthly financial forecas'!AE38,"")="",0,IF(IF(AND('POA — Three year summary'!B5&lt;=DATE(2029,3,1),DATE(2029,3,1)&lt;='POA — Three year summary'!C5)="",FALSE,AND('POA — Three year summary'!B5&lt;=DATE(2029,3,1),DATE(2029,3,1)&lt;='POA — Three year summary'!C5)),'POA — Monthly financial forecas'!AE38,"")))</f>
      </c>
    </row>
    <row r="140">
      <c r="A140" t="inlineStr" s="25">
        <is>
          <t xml:space="preserve">Calculation</t>
        </is>
      </c>
      <c r="B140" s="7">
        <f>SUM(IF(IF(IF(AND('POA — Three year summary'!B5&lt;=DATE(2029,4,1),DATE(2029,4,1)&lt;='POA — Three year summary'!C5)="",FALSE,AND('POA — Three year summary'!B5&lt;=DATE(2029,4,1),DATE(2029,4,1)&lt;='POA — Three year summary'!C5)),'POA — Monthly financial forecas'!AF38,"")="",0,IF(IF(AND('POA — Three year summary'!B5&lt;=DATE(2029,4,1),DATE(2029,4,1)&lt;='POA — Three year summary'!C5)="",FALSE,AND('POA — Three year summary'!B5&lt;=DATE(2029,4,1),DATE(2029,4,1)&lt;='POA — Three year summary'!C5)),'POA — Monthly financial forecas'!AF38,"")),IF(IF(IF(AND('POA — Three year summary'!B5&lt;=DATE(2029,5,1),DATE(2029,5,1)&lt;='POA — Three year summary'!C5)="",FALSE,AND('POA — Three year summary'!B5&lt;=DATE(2029,5,1),DATE(2029,5,1)&lt;='POA — Three year summary'!C5)),'POA — Monthly financial forecas'!AG38,"")="",0,IF(IF(AND('POA — Three year summary'!B5&lt;=DATE(2029,5,1),DATE(2029,5,1)&lt;='POA — Three year summary'!C5)="",FALSE,AND('POA — Three year summary'!B5&lt;=DATE(2029,5,1),DATE(2029,5,1)&lt;='POA — Three year summary'!C5)),'POA — Monthly financial forecas'!AG38,"")),IF(IF(IF(AND('POA — Three year summary'!B5&lt;=DATE(2029,6,1),DATE(2029,6,1)&lt;='POA — Three year summary'!C5)="",FALSE,AND('POA — Three year summary'!B5&lt;=DATE(2029,6,1),DATE(2029,6,1)&lt;='POA — Three year summary'!C5)),'POA — Monthly financial forecas'!AH38,"")="",0,IF(IF(AND('POA — Three year summary'!B5&lt;=DATE(2029,6,1),DATE(2029,6,1)&lt;='POA — Three year summary'!C5)="",FALSE,AND('POA — Three year summary'!B5&lt;=DATE(2029,6,1),DATE(2029,6,1)&lt;='POA — Three year summary'!C5)),'POA — Monthly financial forecas'!AH38,"")),IF(IF(IF(AND('POA — Three year summary'!B5&lt;=DATE(2029,7,1),DATE(2029,7,1)&lt;='POA — Three year summary'!C5)="",FALSE,AND('POA — Three year summary'!B5&lt;=DATE(2029,7,1),DATE(2029,7,1)&lt;='POA — Three year summary'!C5)),'POA — Monthly financial forecas'!AI38,"")="",0,IF(IF(AND('POA — Three year summary'!B5&lt;=DATE(2029,7,1),DATE(2029,7,1)&lt;='POA — Three year summary'!C5)="",FALSE,AND('POA — Three year summary'!B5&lt;=DATE(2029,7,1),DATE(2029,7,1)&lt;='POA — Three year summary'!C5)),'POA — Monthly financial forecas'!AI38,"")),IF(IF(IF(AND('POA — Three year summary'!B5&lt;=DATE(2029,8,1),DATE(2029,8,1)&lt;='POA — Three year summary'!C5)="",FALSE,AND('POA — Three year summary'!B5&lt;=DATE(2029,8,1),DATE(2029,8,1)&lt;='POA — Three year summary'!C5)),'POA — Monthly financial forecas'!AJ38,"")="",0,IF(IF(AND('POA — Three year summary'!B5&lt;=DATE(2029,8,1),DATE(2029,8,1)&lt;='POA — Three year summary'!C5)="",FALSE,AND('POA — Three year summary'!B5&lt;=DATE(2029,8,1),DATE(2029,8,1)&lt;='POA — Three year summary'!C5)),'POA — Monthly financial forecas'!AJ38,"")),IF(IF(IF(AND('POA — Three year summary'!B5&lt;=DATE(2029,9,1),DATE(2029,9,1)&lt;='POA — Three year summary'!C5)="",FALSE,AND('POA — Three year summary'!B5&lt;=DATE(2029,9,1),DATE(2029,9,1)&lt;='POA — Three year summary'!C5)),'POA — Monthly financial forecas'!AK38,"")="",0,IF(IF(AND('POA — Three year summary'!B5&lt;=DATE(2029,9,1),DATE(2029,9,1)&lt;='POA — Three year summary'!C5)="",FALSE,AND('POA — Three year summary'!B5&lt;=DATE(2029,9,1),DATE(2029,9,1)&lt;='POA — Three year summary'!C5)),'POA — Monthly financial forecas'!AK38,"")),IF(IF(IF(AND('POA — Three year summary'!B5&lt;=DATE(2026,9,1),DATE(2026,9,1)&lt;='POA — Three year summary'!C5)="",FALSE,AND('POA — Three year summary'!B5&lt;=DATE(2026,9,1),DATE(2026,9,1)&lt;='POA — Three year summary'!C5)),'Model inputs'!B37,"")="",0,IF(IF(AND('POA — Three year summary'!B5&lt;=DATE(2026,9,1),DATE(2026,9,1)&lt;='POA — Three year summary'!C5)="",FALSE,AND('POA — Three year summary'!B5&lt;=DATE(2026,9,1),DATE(2026,9,1)&lt;='POA — Three year summary'!C5)),'Model inputs'!B37,"")))</f>
      </c>
    </row>
    <row r="141">
      <c r="A141" t="inlineStr" s="25">
        <is>
          <t xml:space="preserve">Calculation</t>
        </is>
      </c>
      <c r="B141" s="7">
        <f>SUM(IF(IF(IF(AND('POA — Three year summary'!B5&lt;=DATE(2026,10,1),DATE(2026,10,1)&lt;='POA — Three year summary'!C5)="",FALSE,AND('POA — Three year summary'!B5&lt;=DATE(2026,10,1),DATE(2026,10,1)&lt;='POA — Three year summary'!C5)),'POA — Monthly financial forecas'!B41,"")="",0,IF(IF(AND('POA — Three year summary'!B5&lt;=DATE(2026,10,1),DATE(2026,10,1)&lt;='POA — Three year summary'!C5)="",FALSE,AND('POA — Three year summary'!B5&lt;=DATE(2026,10,1),DATE(2026,10,1)&lt;='POA — Three year summary'!C5)),'POA — Monthly financial forecas'!B41,"")),IF(IF(IF(AND('POA — Three year summary'!B5&lt;=DATE(2026,11,1),DATE(2026,11,1)&lt;='POA — Three year summary'!C5)="",FALSE,AND('POA — Three year summary'!B5&lt;=DATE(2026,11,1),DATE(2026,11,1)&lt;='POA — Three year summary'!C5)),'POA — Monthly financial forecas'!C41,"")="",0,IF(IF(AND('POA — Three year summary'!B5&lt;=DATE(2026,11,1),DATE(2026,11,1)&lt;='POA — Three year summary'!C5)="",FALSE,AND('POA — Three year summary'!B5&lt;=DATE(2026,11,1),DATE(2026,11,1)&lt;='POA — Three year summary'!C5)),'POA — Monthly financial forecas'!C41,"")),IF(IF(IF(AND('POA — Three year summary'!B5&lt;=DATE(2026,12,1),DATE(2026,12,1)&lt;='POA — Three year summary'!C5)="",FALSE,AND('POA — Three year summary'!B5&lt;=DATE(2026,12,1),DATE(2026,12,1)&lt;='POA — Three year summary'!C5)),'POA — Monthly financial forecas'!D41,"")="",0,IF(IF(AND('POA — Three year summary'!B5&lt;=DATE(2026,12,1),DATE(2026,12,1)&lt;='POA — Three year summary'!C5)="",FALSE,AND('POA — Three year summary'!B5&lt;=DATE(2026,12,1),DATE(2026,12,1)&lt;='POA — Three year summary'!C5)),'POA — Monthly financial forecas'!D41,"")),IF(IF(IF(AND('POA — Three year summary'!B5&lt;=DATE(2027,1,1),DATE(2027,1,1)&lt;='POA — Three year summary'!C5)="",FALSE,AND('POA — Three year summary'!B5&lt;=DATE(2027,1,1),DATE(2027,1,1)&lt;='POA — Three year summary'!C5)),'POA — Monthly financial forecas'!E41,"")="",0,IF(IF(AND('POA — Three year summary'!B5&lt;=DATE(2027,1,1),DATE(2027,1,1)&lt;='POA — Three year summary'!C5)="",FALSE,AND('POA — Three year summary'!B5&lt;=DATE(2027,1,1),DATE(2027,1,1)&lt;='POA — Three year summary'!C5)),'POA — Monthly financial forecas'!E41,"")),IF(IF(IF(AND('POA — Three year summary'!B5&lt;=DATE(2027,2,1),DATE(2027,2,1)&lt;='POA — Three year summary'!C5)="",FALSE,AND('POA — Three year summary'!B5&lt;=DATE(2027,2,1),DATE(2027,2,1)&lt;='POA — Three year summary'!C5)),'POA — Monthly financial forecas'!F41,"")="",0,IF(IF(AND('POA — Three year summary'!B5&lt;=DATE(2027,2,1),DATE(2027,2,1)&lt;='POA — Three year summary'!C5)="",FALSE,AND('POA — Three year summary'!B5&lt;=DATE(2027,2,1),DATE(2027,2,1)&lt;='POA — Three year summary'!C5)),'POA — Monthly financial forecas'!F41,"")),IF(IF(IF(AND('POA — Three year summary'!B5&lt;=DATE(2027,3,1),DATE(2027,3,1)&lt;='POA — Three year summary'!C5)="",FALSE,AND('POA — Three year summary'!B5&lt;=DATE(2027,3,1),DATE(2027,3,1)&lt;='POA — Three year summary'!C5)),'POA — Monthly financial forecas'!G41,"")="",0,IF(IF(AND('POA — Three year summary'!B5&lt;=DATE(2027,3,1),DATE(2027,3,1)&lt;='POA — Three year summary'!C5)="",FALSE,AND('POA — Three year summary'!B5&lt;=DATE(2027,3,1),DATE(2027,3,1)&lt;='POA — Three year summary'!C5)),'POA — Monthly financial forecas'!G41,"")),IF(IF(IF(AND('POA — Three year summary'!B5&lt;=DATE(2027,4,1),DATE(2027,4,1)&lt;='POA — Three year summary'!C5)="",FALSE,AND('POA — Three year summary'!B5&lt;=DATE(2027,4,1),DATE(2027,4,1)&lt;='POA — Three year summary'!C5)),'POA — Monthly financial forecas'!H41,"")="",0,IF(IF(AND('POA — Three year summary'!B5&lt;=DATE(2027,4,1),DATE(2027,4,1)&lt;='POA — Three year summary'!C5)="",FALSE,AND('POA — Three year summary'!B5&lt;=DATE(2027,4,1),DATE(2027,4,1)&lt;='POA — Three year summary'!C5)),'POA — Monthly financial forecas'!H41,"")),IF(IF(IF(AND('POA — Three year summary'!B5&lt;=DATE(2027,5,1),DATE(2027,5,1)&lt;='POA — Three year summary'!C5)="",FALSE,AND('POA — Three year summary'!B5&lt;=DATE(2027,5,1),DATE(2027,5,1)&lt;='POA — Three year summary'!C5)),'POA — Monthly financial forecas'!I41,"")="",0,IF(IF(AND('POA — Three year summary'!B5&lt;=DATE(2027,5,1),DATE(2027,5,1)&lt;='POA — Three year summary'!C5)="",FALSE,AND('POA — Three year summary'!B5&lt;=DATE(2027,5,1),DATE(2027,5,1)&lt;='POA — Three year summary'!C5)),'POA — Monthly financial forecas'!I41,"")),IF(IF(IF(AND('POA — Three year summary'!B5&lt;=DATE(2027,6,1),DATE(2027,6,1)&lt;='POA — Three year summary'!C5)="",FALSE,AND('POA — Three year summary'!B5&lt;=DATE(2027,6,1),DATE(2027,6,1)&lt;='POA — Three year summary'!C5)),'POA — Monthly financial forecas'!J41,"")="",0,IF(IF(AND('POA — Three year summary'!B5&lt;=DATE(2027,6,1),DATE(2027,6,1)&lt;='POA — Three year summary'!C5)="",FALSE,AND('POA — Three year summary'!B5&lt;=DATE(2027,6,1),DATE(2027,6,1)&lt;='POA — Three year summary'!C5)),'POA — Monthly financial forecas'!J41,"")),IF(IF(IF(AND('POA — Three year summary'!B5&lt;=DATE(2027,7,1),DATE(2027,7,1)&lt;='POA — Three year summary'!C5)="",FALSE,AND('POA — Three year summary'!B5&lt;=DATE(2027,7,1),DATE(2027,7,1)&lt;='POA — Three year summary'!C5)),'POA — Monthly financial forecas'!K41,"")="",0,IF(IF(AND('POA — Three year summary'!B5&lt;=DATE(2027,7,1),DATE(2027,7,1)&lt;='POA — Three year summary'!C5)="",FALSE,AND('POA — Three year summary'!B5&lt;=DATE(2027,7,1),DATE(2027,7,1)&lt;='POA — Three year summary'!C5)),'POA — Monthly financial forecas'!K41,"")),IF(IF(IF(AND('POA — Three year summary'!B5&lt;=DATE(2027,8,1),DATE(2027,8,1)&lt;='POA — Three year summary'!C5)="",FALSE,AND('POA — Three year summary'!B5&lt;=DATE(2027,8,1),DATE(2027,8,1)&lt;='POA — Three year summary'!C5)),'POA — Monthly financial forecas'!L41,"")="",0,IF(IF(AND('POA — Three year summary'!B5&lt;=DATE(2027,8,1),DATE(2027,8,1)&lt;='POA — Three year summary'!C5)="",FALSE,AND('POA — Three year summary'!B5&lt;=DATE(2027,8,1),DATE(2027,8,1)&lt;='POA — Three year summary'!C5)),'POA — Monthly financial forecas'!L41,"")),IF(IF(IF(AND('POA — Three year summary'!B5&lt;=DATE(2027,9,1),DATE(2027,9,1)&lt;='POA — Three year summary'!C5)="",FALSE,AND('POA — Three year summary'!B5&lt;=DATE(2027,9,1),DATE(2027,9,1)&lt;='POA — Three year summary'!C5)),'POA — Monthly financial forecas'!M41,"")="",0,IF(IF(AND('POA — Three year summary'!B5&lt;=DATE(2027,9,1),DATE(2027,9,1)&lt;='POA — Three year summary'!C5)="",FALSE,AND('POA — Three year summary'!B5&lt;=DATE(2027,9,1),DATE(2027,9,1)&lt;='POA — Three year summary'!C5)),'POA — Monthly financial forecas'!M41,"")),IF(IF(IF(AND('POA — Three year summary'!B5&lt;=DATE(2027,10,1),DATE(2027,10,1)&lt;='POA — Three year summary'!C5)="",FALSE,AND('POA — Three year summary'!B5&lt;=DATE(2027,10,1),DATE(2027,10,1)&lt;='POA — Three year summary'!C5)),'POA — Monthly financial forecas'!N41,"")="",0,IF(IF(AND('POA — Three year summary'!B5&lt;=DATE(2027,10,1),DATE(2027,10,1)&lt;='POA — Three year summary'!C5)="",FALSE,AND('POA — Three year summary'!B5&lt;=DATE(2027,10,1),DATE(2027,10,1)&lt;='POA — Three year summary'!C5)),'POA — Monthly financial forecas'!N41,"")),IF(IF(IF(AND('POA — Three year summary'!B5&lt;=DATE(2027,11,1),DATE(2027,11,1)&lt;='POA — Three year summary'!C5)="",FALSE,AND('POA — Three year summary'!B5&lt;=DATE(2027,11,1),DATE(2027,11,1)&lt;='POA — Three year summary'!C5)),'POA — Monthly financial forecas'!O41,"")="",0,IF(IF(AND('POA — Three year summary'!B5&lt;=DATE(2027,11,1),DATE(2027,11,1)&lt;='POA — Three year summary'!C5)="",FALSE,AND('POA — Three year summary'!B5&lt;=DATE(2027,11,1),DATE(2027,11,1)&lt;='POA — Three year summary'!C5)),'POA — Monthly financial forecas'!O41,"")),IF(IF(IF(AND('POA — Three year summary'!B5&lt;=DATE(2027,12,1),DATE(2027,12,1)&lt;='POA — Three year summary'!C5)="",FALSE,AND('POA — Three year summary'!B5&lt;=DATE(2027,12,1),DATE(2027,12,1)&lt;='POA — Three year summary'!C5)),'POA — Monthly financial forecas'!P41,"")="",0,IF(IF(AND('POA — Three year summary'!B5&lt;=DATE(2027,12,1),DATE(2027,12,1)&lt;='POA — Three year summary'!C5)="",FALSE,AND('POA — Three year summary'!B5&lt;=DATE(2027,12,1),DATE(2027,12,1)&lt;='POA — Three year summary'!C5)),'POA — Monthly financial forecas'!P41,"")))</f>
      </c>
    </row>
    <row r="142">
      <c r="A142" t="inlineStr" s="25">
        <is>
          <t xml:space="preserve">Calculation</t>
        </is>
      </c>
      <c r="B142" s="7">
        <f>SUM(IF(IF(IF(AND('POA — Three year summary'!B5&lt;=DATE(2028,1,1),DATE(2028,1,1)&lt;='POA — Three year summary'!C5)="",FALSE,AND('POA — Three year summary'!B5&lt;=DATE(2028,1,1),DATE(2028,1,1)&lt;='POA — Three year summary'!C5)),'POA — Monthly financial forecas'!Q41,"")="",0,IF(IF(AND('POA — Three year summary'!B5&lt;=DATE(2028,1,1),DATE(2028,1,1)&lt;='POA — Three year summary'!C5)="",FALSE,AND('POA — Three year summary'!B5&lt;=DATE(2028,1,1),DATE(2028,1,1)&lt;='POA — Three year summary'!C5)),'POA — Monthly financial forecas'!Q41,"")),IF(IF(IF(AND('POA — Three year summary'!B5&lt;=DATE(2028,2,1),DATE(2028,2,1)&lt;='POA — Three year summary'!C5)="",FALSE,AND('POA — Three year summary'!B5&lt;=DATE(2028,2,1),DATE(2028,2,1)&lt;='POA — Three year summary'!C5)),'POA — Monthly financial forecas'!R41,"")="",0,IF(IF(AND('POA — Three year summary'!B5&lt;=DATE(2028,2,1),DATE(2028,2,1)&lt;='POA — Three year summary'!C5)="",FALSE,AND('POA — Three year summary'!B5&lt;=DATE(2028,2,1),DATE(2028,2,1)&lt;='POA — Three year summary'!C5)),'POA — Monthly financial forecas'!R41,"")),IF(IF(IF(AND('POA — Three year summary'!B5&lt;=DATE(2028,3,1),DATE(2028,3,1)&lt;='POA — Three year summary'!C5)="",FALSE,AND('POA — Three year summary'!B5&lt;=DATE(2028,3,1),DATE(2028,3,1)&lt;='POA — Three year summary'!C5)),'POA — Monthly financial forecas'!S41,"")="",0,IF(IF(AND('POA — Three year summary'!B5&lt;=DATE(2028,3,1),DATE(2028,3,1)&lt;='POA — Three year summary'!C5)="",FALSE,AND('POA — Three year summary'!B5&lt;=DATE(2028,3,1),DATE(2028,3,1)&lt;='POA — Three year summary'!C5)),'POA — Monthly financial forecas'!S41,"")),IF(IF(IF(AND('POA — Three year summary'!B5&lt;=DATE(2028,4,1),DATE(2028,4,1)&lt;='POA — Three year summary'!C5)="",FALSE,AND('POA — Three year summary'!B5&lt;=DATE(2028,4,1),DATE(2028,4,1)&lt;='POA — Three year summary'!C5)),'POA — Monthly financial forecas'!T41,"")="",0,IF(IF(AND('POA — Three year summary'!B5&lt;=DATE(2028,4,1),DATE(2028,4,1)&lt;='POA — Three year summary'!C5)="",FALSE,AND('POA — Three year summary'!B5&lt;=DATE(2028,4,1),DATE(2028,4,1)&lt;='POA — Three year summary'!C5)),'POA — Monthly financial forecas'!T41,"")),IF(IF(IF(AND('POA — Three year summary'!B5&lt;=DATE(2028,5,1),DATE(2028,5,1)&lt;='POA — Three year summary'!C5)="",FALSE,AND('POA — Three year summary'!B5&lt;=DATE(2028,5,1),DATE(2028,5,1)&lt;='POA — Three year summary'!C5)),'POA — Monthly financial forecas'!U41,"")="",0,IF(IF(AND('POA — Three year summary'!B5&lt;=DATE(2028,5,1),DATE(2028,5,1)&lt;='POA — Three year summary'!C5)="",FALSE,AND('POA — Three year summary'!B5&lt;=DATE(2028,5,1),DATE(2028,5,1)&lt;='POA — Three year summary'!C5)),'POA — Monthly financial forecas'!U41,"")),IF(IF(IF(AND('POA — Three year summary'!B5&lt;=DATE(2028,6,1),DATE(2028,6,1)&lt;='POA — Three year summary'!C5)="",FALSE,AND('POA — Three year summary'!B5&lt;=DATE(2028,6,1),DATE(2028,6,1)&lt;='POA — Three year summary'!C5)),'POA — Monthly financial forecas'!V41,"")="",0,IF(IF(AND('POA — Three year summary'!B5&lt;=DATE(2028,6,1),DATE(2028,6,1)&lt;='POA — Three year summary'!C5)="",FALSE,AND('POA — Three year summary'!B5&lt;=DATE(2028,6,1),DATE(2028,6,1)&lt;='POA — Three year summary'!C5)),'POA — Monthly financial forecas'!V41,"")),IF(IF(IF(AND('POA — Three year summary'!B5&lt;=DATE(2028,7,1),DATE(2028,7,1)&lt;='POA — Three year summary'!C5)="",FALSE,AND('POA — Three year summary'!B5&lt;=DATE(2028,7,1),DATE(2028,7,1)&lt;='POA — Three year summary'!C5)),'POA — Monthly financial forecas'!W41,"")="",0,IF(IF(AND('POA — Three year summary'!B5&lt;=DATE(2028,7,1),DATE(2028,7,1)&lt;='POA — Three year summary'!C5)="",FALSE,AND('POA — Three year summary'!B5&lt;=DATE(2028,7,1),DATE(2028,7,1)&lt;='POA — Three year summary'!C5)),'POA — Monthly financial forecas'!W41,"")),IF(IF(IF(AND('POA — Three year summary'!B5&lt;=DATE(2028,8,1),DATE(2028,8,1)&lt;='POA — Three year summary'!C5)="",FALSE,AND('POA — Three year summary'!B5&lt;=DATE(2028,8,1),DATE(2028,8,1)&lt;='POA — Three year summary'!C5)),'POA — Monthly financial forecas'!X41,"")="",0,IF(IF(AND('POA — Three year summary'!B5&lt;=DATE(2028,8,1),DATE(2028,8,1)&lt;='POA — Three year summary'!C5)="",FALSE,AND('POA — Three year summary'!B5&lt;=DATE(2028,8,1),DATE(2028,8,1)&lt;='POA — Three year summary'!C5)),'POA — Monthly financial forecas'!X41,"")),IF(IF(IF(AND('POA — Three year summary'!B5&lt;=DATE(2028,9,1),DATE(2028,9,1)&lt;='POA — Three year summary'!C5)="",FALSE,AND('POA — Three year summary'!B5&lt;=DATE(2028,9,1),DATE(2028,9,1)&lt;='POA — Three year summary'!C5)),'POA — Monthly financial forecas'!Y41,"")="",0,IF(IF(AND('POA — Three year summary'!B5&lt;=DATE(2028,9,1),DATE(2028,9,1)&lt;='POA — Three year summary'!C5)="",FALSE,AND('POA — Three year summary'!B5&lt;=DATE(2028,9,1),DATE(2028,9,1)&lt;='POA — Three year summary'!C5)),'POA — Monthly financial forecas'!Y41,"")),IF(IF(IF(AND('POA — Three year summary'!B5&lt;=DATE(2028,10,1),DATE(2028,10,1)&lt;='POA — Three year summary'!C5)="",FALSE,AND('POA — Three year summary'!B5&lt;=DATE(2028,10,1),DATE(2028,10,1)&lt;='POA — Three year summary'!C5)),'POA — Monthly financial forecas'!Z41,"")="",0,IF(IF(AND('POA — Three year summary'!B5&lt;=DATE(2028,10,1),DATE(2028,10,1)&lt;='POA — Three year summary'!C5)="",FALSE,AND('POA — Three year summary'!B5&lt;=DATE(2028,10,1),DATE(2028,10,1)&lt;='POA — Three year summary'!C5)),'POA — Monthly financial forecas'!Z41,"")),IF(IF(IF(AND('POA — Three year summary'!B5&lt;=DATE(2028,11,1),DATE(2028,11,1)&lt;='POA — Three year summary'!C5)="",FALSE,AND('POA — Three year summary'!B5&lt;=DATE(2028,11,1),DATE(2028,11,1)&lt;='POA — Three year summary'!C5)),'POA — Monthly financial forecas'!AA41,"")="",0,IF(IF(AND('POA — Three year summary'!B5&lt;=DATE(2028,11,1),DATE(2028,11,1)&lt;='POA — Three year summary'!C5)="",FALSE,AND('POA — Three year summary'!B5&lt;=DATE(2028,11,1),DATE(2028,11,1)&lt;='POA — Three year summary'!C5)),'POA — Monthly financial forecas'!AA41,"")),IF(IF(IF(AND('POA — Three year summary'!B5&lt;=DATE(2028,12,1),DATE(2028,12,1)&lt;='POA — Three year summary'!C5)="",FALSE,AND('POA — Three year summary'!B5&lt;=DATE(2028,12,1),DATE(2028,12,1)&lt;='POA — Three year summary'!C5)),'POA — Monthly financial forecas'!AB41,"")="",0,IF(IF(AND('POA — Three year summary'!B5&lt;=DATE(2028,12,1),DATE(2028,12,1)&lt;='POA — Three year summary'!C5)="",FALSE,AND('POA — Three year summary'!B5&lt;=DATE(2028,12,1),DATE(2028,12,1)&lt;='POA — Three year summary'!C5)),'POA — Monthly financial forecas'!AB41,"")),IF(IF(IF(AND('POA — Three year summary'!B5&lt;=DATE(2029,1,1),DATE(2029,1,1)&lt;='POA — Three year summary'!C5)="",FALSE,AND('POA — Three year summary'!B5&lt;=DATE(2029,1,1),DATE(2029,1,1)&lt;='POA — Three year summary'!C5)),'POA — Monthly financial forecas'!AC41,"")="",0,IF(IF(AND('POA — Three year summary'!B5&lt;=DATE(2029,1,1),DATE(2029,1,1)&lt;='POA — Three year summary'!C5)="",FALSE,AND('POA — Three year summary'!B5&lt;=DATE(2029,1,1),DATE(2029,1,1)&lt;='POA — Three year summary'!C5)),'POA — Monthly financial forecas'!AC41,"")),IF(IF(IF(AND('POA — Three year summary'!B5&lt;=DATE(2029,2,1),DATE(2029,2,1)&lt;='POA — Three year summary'!C5)="",FALSE,AND('POA — Three year summary'!B5&lt;=DATE(2029,2,1),DATE(2029,2,1)&lt;='POA — Three year summary'!C5)),'POA — Monthly financial forecas'!AD41,"")="",0,IF(IF(AND('POA — Three year summary'!B5&lt;=DATE(2029,2,1),DATE(2029,2,1)&lt;='POA — Three year summary'!C5)="",FALSE,AND('POA — Three year summary'!B5&lt;=DATE(2029,2,1),DATE(2029,2,1)&lt;='POA — Three year summary'!C5)),'POA — Monthly financial forecas'!AD41,"")),IF(IF(IF(AND('POA — Three year summary'!B5&lt;=DATE(2029,3,1),DATE(2029,3,1)&lt;='POA — Three year summary'!C5)="",FALSE,AND('POA — Three year summary'!B5&lt;=DATE(2029,3,1),DATE(2029,3,1)&lt;='POA — Three year summary'!C5)),'POA — Monthly financial forecas'!AE41,"")="",0,IF(IF(AND('POA — Three year summary'!B5&lt;=DATE(2029,3,1),DATE(2029,3,1)&lt;='POA — Three year summary'!C5)="",FALSE,AND('POA — Three year summary'!B5&lt;=DATE(2029,3,1),DATE(2029,3,1)&lt;='POA — Three year summary'!C5)),'POA — Monthly financial forecas'!AE41,"")))</f>
      </c>
    </row>
    <row r="143">
      <c r="A143" t="inlineStr" s="25">
        <is>
          <t xml:space="preserve">Calculation</t>
        </is>
      </c>
      <c r="B143" s="7">
        <f>SUM(IF(IF(IF(AND('POA — Three year summary'!B5&lt;=DATE(2029,4,1),DATE(2029,4,1)&lt;='POA — Three year summary'!C5)="",FALSE,AND('POA — Three year summary'!B5&lt;=DATE(2029,4,1),DATE(2029,4,1)&lt;='POA — Three year summary'!C5)),'POA — Monthly financial forecas'!AF41,"")="",0,IF(IF(AND('POA — Three year summary'!B5&lt;=DATE(2029,4,1),DATE(2029,4,1)&lt;='POA — Three year summary'!C5)="",FALSE,AND('POA — Three year summary'!B5&lt;=DATE(2029,4,1),DATE(2029,4,1)&lt;='POA — Three year summary'!C5)),'POA — Monthly financial forecas'!AF41,"")),IF(IF(IF(AND('POA — Three year summary'!B5&lt;=DATE(2029,5,1),DATE(2029,5,1)&lt;='POA — Three year summary'!C5)="",FALSE,AND('POA — Three year summary'!B5&lt;=DATE(2029,5,1),DATE(2029,5,1)&lt;='POA — Three year summary'!C5)),'POA — Monthly financial forecas'!AG41,"")="",0,IF(IF(AND('POA — Three year summary'!B5&lt;=DATE(2029,5,1),DATE(2029,5,1)&lt;='POA — Three year summary'!C5)="",FALSE,AND('POA — Three year summary'!B5&lt;=DATE(2029,5,1),DATE(2029,5,1)&lt;='POA — Three year summary'!C5)),'POA — Monthly financial forecas'!AG41,"")),IF(IF(IF(AND('POA — Three year summary'!B5&lt;=DATE(2029,6,1),DATE(2029,6,1)&lt;='POA — Three year summary'!C5)="",FALSE,AND('POA — Three year summary'!B5&lt;=DATE(2029,6,1),DATE(2029,6,1)&lt;='POA — Three year summary'!C5)),'POA — Monthly financial forecas'!AH41,"")="",0,IF(IF(AND('POA — Three year summary'!B5&lt;=DATE(2029,6,1),DATE(2029,6,1)&lt;='POA — Three year summary'!C5)="",FALSE,AND('POA — Three year summary'!B5&lt;=DATE(2029,6,1),DATE(2029,6,1)&lt;='POA — Three year summary'!C5)),'POA — Monthly financial forecas'!AH41,"")),IF(IF(IF(AND('POA — Three year summary'!B5&lt;=DATE(2029,7,1),DATE(2029,7,1)&lt;='POA — Three year summary'!C5)="",FALSE,AND('POA — Three year summary'!B5&lt;=DATE(2029,7,1),DATE(2029,7,1)&lt;='POA — Three year summary'!C5)),'POA — Monthly financial forecas'!AI41,"")="",0,IF(IF(AND('POA — Three year summary'!B5&lt;=DATE(2029,7,1),DATE(2029,7,1)&lt;='POA — Three year summary'!C5)="",FALSE,AND('POA — Three year summary'!B5&lt;=DATE(2029,7,1),DATE(2029,7,1)&lt;='POA — Three year summary'!C5)),'POA — Monthly financial forecas'!AI41,"")),IF(IF(IF(AND('POA — Three year summary'!B5&lt;=DATE(2029,8,1),DATE(2029,8,1)&lt;='POA — Three year summary'!C5)="",FALSE,AND('POA — Three year summary'!B5&lt;=DATE(2029,8,1),DATE(2029,8,1)&lt;='POA — Three year summary'!C5)),'POA — Monthly financial forecas'!AJ41,"")="",0,IF(IF(AND('POA — Three year summary'!B5&lt;=DATE(2029,8,1),DATE(2029,8,1)&lt;='POA — Three year summary'!C5)="",FALSE,AND('POA — Three year summary'!B5&lt;=DATE(2029,8,1),DATE(2029,8,1)&lt;='POA — Three year summary'!C5)),'POA — Monthly financial forecas'!AJ41,"")),IF(IF(IF(AND('POA — Three year summary'!B5&lt;=DATE(2029,9,1),DATE(2029,9,1)&lt;='POA — Three year summary'!C5)="",FALSE,AND('POA — Three year summary'!B5&lt;=DATE(2029,9,1),DATE(2029,9,1)&lt;='POA — Three year summary'!C5)),'POA — Monthly financial forecas'!AK41,"")="",0,IF(IF(AND('POA — Three year summary'!B5&lt;=DATE(2029,9,1),DATE(2029,9,1)&lt;='POA — Three year summary'!C5)="",FALSE,AND('POA — Three year summary'!B5&lt;=DATE(2029,9,1),DATE(2029,9,1)&lt;='POA — Three year summary'!C5)),'POA — Monthly financial forecas'!AK41,"")),IF(IF(IF(AND('POA — Three year summary'!B5&lt;=DATE(2026,9,1),DATE(2026,9,1)&lt;='POA — Three year summary'!C5)="",FALSE,AND('POA — Three year summary'!B5&lt;=DATE(2026,9,1),DATE(2026,9,1)&lt;='POA — Three year summary'!C5)),'Model inputs'!B68,"")="",0,IF(IF(AND('POA — Three year summary'!B5&lt;=DATE(2026,9,1),DATE(2026,9,1)&lt;='POA — Three year summary'!C5)="",FALSE,AND('POA — Three year summary'!B5&lt;=DATE(2026,9,1),DATE(2026,9,1)&lt;='POA — Three year summary'!C5)),'Model inputs'!B68,"")))</f>
      </c>
    </row>
    <row r="144">
      <c r="A144" t="inlineStr" s="25">
        <is>
          <t xml:space="preserve">Calculation</t>
        </is>
      </c>
      <c r="B144" s="7">
        <f>SUM(IF(IF(IF(AND('POA — Three year summary'!B5&lt;=DATE(2026,10,1),DATE(2026,10,1)&lt;='POA — Three year summary'!C5)="",FALSE,AND('POA — Three year summary'!B5&lt;=DATE(2026,10,1),DATE(2026,10,1)&lt;='POA — Three year summary'!C5)),'POA — Monthly financial forecas'!B47,"")="",0,IF(IF(AND('POA — Three year summary'!B5&lt;=DATE(2026,10,1),DATE(2026,10,1)&lt;='POA — Three year summary'!C5)="",FALSE,AND('POA — Three year summary'!B5&lt;=DATE(2026,10,1),DATE(2026,10,1)&lt;='POA — Three year summary'!C5)),'POA — Monthly financial forecas'!B47,"")),IF(IF(IF(AND('POA — Three year summary'!B5&lt;=DATE(2026,11,1),DATE(2026,11,1)&lt;='POA — Three year summary'!C5)="",FALSE,AND('POA — Three year summary'!B5&lt;=DATE(2026,11,1),DATE(2026,11,1)&lt;='POA — Three year summary'!C5)),'POA — Monthly financial forecas'!C47,"")="",0,IF(IF(AND('POA — Three year summary'!B5&lt;=DATE(2026,11,1),DATE(2026,11,1)&lt;='POA — Three year summary'!C5)="",FALSE,AND('POA — Three year summary'!B5&lt;=DATE(2026,11,1),DATE(2026,11,1)&lt;='POA — Three year summary'!C5)),'POA — Monthly financial forecas'!C47,"")),IF(IF(IF(AND('POA — Three year summary'!B5&lt;=DATE(2026,12,1),DATE(2026,12,1)&lt;='POA — Three year summary'!C5)="",FALSE,AND('POA — Three year summary'!B5&lt;=DATE(2026,12,1),DATE(2026,12,1)&lt;='POA — Three year summary'!C5)),'POA — Monthly financial forecas'!D47,"")="",0,IF(IF(AND('POA — Three year summary'!B5&lt;=DATE(2026,12,1),DATE(2026,12,1)&lt;='POA — Three year summary'!C5)="",FALSE,AND('POA — Three year summary'!B5&lt;=DATE(2026,12,1),DATE(2026,12,1)&lt;='POA — Three year summary'!C5)),'POA — Monthly financial forecas'!D47,"")),IF(IF(IF(AND('POA — Three year summary'!B5&lt;=DATE(2027,1,1),DATE(2027,1,1)&lt;='POA — Three year summary'!C5)="",FALSE,AND('POA — Three year summary'!B5&lt;=DATE(2027,1,1),DATE(2027,1,1)&lt;='POA — Three year summary'!C5)),'POA — Monthly financial forecas'!E47,"")="",0,IF(IF(AND('POA — Three year summary'!B5&lt;=DATE(2027,1,1),DATE(2027,1,1)&lt;='POA — Three year summary'!C5)="",FALSE,AND('POA — Three year summary'!B5&lt;=DATE(2027,1,1),DATE(2027,1,1)&lt;='POA — Three year summary'!C5)),'POA — Monthly financial forecas'!E47,"")),IF(IF(IF(AND('POA — Three year summary'!B5&lt;=DATE(2027,2,1),DATE(2027,2,1)&lt;='POA — Three year summary'!C5)="",FALSE,AND('POA — Three year summary'!B5&lt;=DATE(2027,2,1),DATE(2027,2,1)&lt;='POA — Three year summary'!C5)),'POA — Monthly financial forecas'!F47,"")="",0,IF(IF(AND('POA — Three year summary'!B5&lt;=DATE(2027,2,1),DATE(2027,2,1)&lt;='POA — Three year summary'!C5)="",FALSE,AND('POA — Three year summary'!B5&lt;=DATE(2027,2,1),DATE(2027,2,1)&lt;='POA — Three year summary'!C5)),'POA — Monthly financial forecas'!F47,"")),IF(IF(IF(AND('POA — Three year summary'!B5&lt;=DATE(2027,3,1),DATE(2027,3,1)&lt;='POA — Three year summary'!C5)="",FALSE,AND('POA — Three year summary'!B5&lt;=DATE(2027,3,1),DATE(2027,3,1)&lt;='POA — Three year summary'!C5)),'POA — Monthly financial forecas'!G47,"")="",0,IF(IF(AND('POA — Three year summary'!B5&lt;=DATE(2027,3,1),DATE(2027,3,1)&lt;='POA — Three year summary'!C5)="",FALSE,AND('POA — Three year summary'!B5&lt;=DATE(2027,3,1),DATE(2027,3,1)&lt;='POA — Three year summary'!C5)),'POA — Monthly financial forecas'!G47,"")),IF(IF(IF(AND('POA — Three year summary'!B5&lt;=DATE(2027,4,1),DATE(2027,4,1)&lt;='POA — Three year summary'!C5)="",FALSE,AND('POA — Three year summary'!B5&lt;=DATE(2027,4,1),DATE(2027,4,1)&lt;='POA — Three year summary'!C5)),'POA — Monthly financial forecas'!H47,"")="",0,IF(IF(AND('POA — Three year summary'!B5&lt;=DATE(2027,4,1),DATE(2027,4,1)&lt;='POA — Three year summary'!C5)="",FALSE,AND('POA — Three year summary'!B5&lt;=DATE(2027,4,1),DATE(2027,4,1)&lt;='POA — Three year summary'!C5)),'POA — Monthly financial forecas'!H47,"")),IF(IF(IF(AND('POA — Three year summary'!B5&lt;=DATE(2027,5,1),DATE(2027,5,1)&lt;='POA — Three year summary'!C5)="",FALSE,AND('POA — Three year summary'!B5&lt;=DATE(2027,5,1),DATE(2027,5,1)&lt;='POA — Three year summary'!C5)),'POA — Monthly financial forecas'!I47,"")="",0,IF(IF(AND('POA — Three year summary'!B5&lt;=DATE(2027,5,1),DATE(2027,5,1)&lt;='POA — Three year summary'!C5)="",FALSE,AND('POA — Three year summary'!B5&lt;=DATE(2027,5,1),DATE(2027,5,1)&lt;='POA — Three year summary'!C5)),'POA — Monthly financial forecas'!I47,"")),IF(IF(IF(AND('POA — Three year summary'!B5&lt;=DATE(2027,6,1),DATE(2027,6,1)&lt;='POA — Three year summary'!C5)="",FALSE,AND('POA — Three year summary'!B5&lt;=DATE(2027,6,1),DATE(2027,6,1)&lt;='POA — Three year summary'!C5)),'POA — Monthly financial forecas'!J47,"")="",0,IF(IF(AND('POA — Three year summary'!B5&lt;=DATE(2027,6,1),DATE(2027,6,1)&lt;='POA — Three year summary'!C5)="",FALSE,AND('POA — Three year summary'!B5&lt;=DATE(2027,6,1),DATE(2027,6,1)&lt;='POA — Three year summary'!C5)),'POA — Monthly financial forecas'!J47,"")),IF(IF(IF(AND('POA — Three year summary'!B5&lt;=DATE(2027,7,1),DATE(2027,7,1)&lt;='POA — Three year summary'!C5)="",FALSE,AND('POA — Three year summary'!B5&lt;=DATE(2027,7,1),DATE(2027,7,1)&lt;='POA — Three year summary'!C5)),'POA — Monthly financial forecas'!K47,"")="",0,IF(IF(AND('POA — Three year summary'!B5&lt;=DATE(2027,7,1),DATE(2027,7,1)&lt;='POA — Three year summary'!C5)="",FALSE,AND('POA — Three year summary'!B5&lt;=DATE(2027,7,1),DATE(2027,7,1)&lt;='POA — Three year summary'!C5)),'POA — Monthly financial forecas'!K47,"")),IF(IF(IF(AND('POA — Three year summary'!B5&lt;=DATE(2027,8,1),DATE(2027,8,1)&lt;='POA — Three year summary'!C5)="",FALSE,AND('POA — Three year summary'!B5&lt;=DATE(2027,8,1),DATE(2027,8,1)&lt;='POA — Three year summary'!C5)),'POA — Monthly financial forecas'!L47,"")="",0,IF(IF(AND('POA — Three year summary'!B5&lt;=DATE(2027,8,1),DATE(2027,8,1)&lt;='POA — Three year summary'!C5)="",FALSE,AND('POA — Three year summary'!B5&lt;=DATE(2027,8,1),DATE(2027,8,1)&lt;='POA — Three year summary'!C5)),'POA — Monthly financial forecas'!L47,"")),IF(IF(IF(AND('POA — Three year summary'!B5&lt;=DATE(2027,9,1),DATE(2027,9,1)&lt;='POA — Three year summary'!C5)="",FALSE,AND('POA — Three year summary'!B5&lt;=DATE(2027,9,1),DATE(2027,9,1)&lt;='POA — Three year summary'!C5)),'POA — Monthly financial forecas'!M47,"")="",0,IF(IF(AND('POA — Three year summary'!B5&lt;=DATE(2027,9,1),DATE(2027,9,1)&lt;='POA — Three year summary'!C5)="",FALSE,AND('POA — Three year summary'!B5&lt;=DATE(2027,9,1),DATE(2027,9,1)&lt;='POA — Three year summary'!C5)),'POA — Monthly financial forecas'!M47,"")),IF(IF(IF(AND('POA — Three year summary'!B5&lt;=DATE(2027,10,1),DATE(2027,10,1)&lt;='POA — Three year summary'!C5)="",FALSE,AND('POA — Three year summary'!B5&lt;=DATE(2027,10,1),DATE(2027,10,1)&lt;='POA — Three year summary'!C5)),'POA — Monthly financial forecas'!N47,"")="",0,IF(IF(AND('POA — Three year summary'!B5&lt;=DATE(2027,10,1),DATE(2027,10,1)&lt;='POA — Three year summary'!C5)="",FALSE,AND('POA — Three year summary'!B5&lt;=DATE(2027,10,1),DATE(2027,10,1)&lt;='POA — Three year summary'!C5)),'POA — Monthly financial forecas'!N47,"")),IF(IF(IF(AND('POA — Three year summary'!B5&lt;=DATE(2027,11,1),DATE(2027,11,1)&lt;='POA — Three year summary'!C5)="",FALSE,AND('POA — Three year summary'!B5&lt;=DATE(2027,11,1),DATE(2027,11,1)&lt;='POA — Three year summary'!C5)),'POA — Monthly financial forecas'!O47,"")="",0,IF(IF(AND('POA — Three year summary'!B5&lt;=DATE(2027,11,1),DATE(2027,11,1)&lt;='POA — Three year summary'!C5)="",FALSE,AND('POA — Three year summary'!B5&lt;=DATE(2027,11,1),DATE(2027,11,1)&lt;='POA — Three year summary'!C5)),'POA — Monthly financial forecas'!O47,"")),IF(IF(IF(AND('POA — Three year summary'!B5&lt;=DATE(2027,12,1),DATE(2027,12,1)&lt;='POA — Three year summary'!C5)="",FALSE,AND('POA — Three year summary'!B5&lt;=DATE(2027,12,1),DATE(2027,12,1)&lt;='POA — Three year summary'!C5)),'POA — Monthly financial forecas'!P47,"")="",0,IF(IF(AND('POA — Three year summary'!B5&lt;=DATE(2027,12,1),DATE(2027,12,1)&lt;='POA — Three year summary'!C5)="",FALSE,AND('POA — Three year summary'!B5&lt;=DATE(2027,12,1),DATE(2027,12,1)&lt;='POA — Three year summary'!C5)),'POA — Monthly financial forecas'!P47,"")))</f>
      </c>
    </row>
    <row r="145">
      <c r="A145" t="inlineStr" s="25">
        <is>
          <t xml:space="preserve">Calculation</t>
        </is>
      </c>
      <c r="B145" s="7">
        <f>SUM(IF(IF(IF(AND('POA — Three year summary'!B5&lt;=DATE(2028,1,1),DATE(2028,1,1)&lt;='POA — Three year summary'!C5)="",FALSE,AND('POA — Three year summary'!B5&lt;=DATE(2028,1,1),DATE(2028,1,1)&lt;='POA — Three year summary'!C5)),'POA — Monthly financial forecas'!Q47,"")="",0,IF(IF(AND('POA — Three year summary'!B5&lt;=DATE(2028,1,1),DATE(2028,1,1)&lt;='POA — Three year summary'!C5)="",FALSE,AND('POA — Three year summary'!B5&lt;=DATE(2028,1,1),DATE(2028,1,1)&lt;='POA — Three year summary'!C5)),'POA — Monthly financial forecas'!Q47,"")),IF(IF(IF(AND('POA — Three year summary'!B5&lt;=DATE(2028,2,1),DATE(2028,2,1)&lt;='POA — Three year summary'!C5)="",FALSE,AND('POA — Three year summary'!B5&lt;=DATE(2028,2,1),DATE(2028,2,1)&lt;='POA — Three year summary'!C5)),'POA — Monthly financial forecas'!R47,"")="",0,IF(IF(AND('POA — Three year summary'!B5&lt;=DATE(2028,2,1),DATE(2028,2,1)&lt;='POA — Three year summary'!C5)="",FALSE,AND('POA — Three year summary'!B5&lt;=DATE(2028,2,1),DATE(2028,2,1)&lt;='POA — Three year summary'!C5)),'POA — Monthly financial forecas'!R47,"")),IF(IF(IF(AND('POA — Three year summary'!B5&lt;=DATE(2028,3,1),DATE(2028,3,1)&lt;='POA — Three year summary'!C5)="",FALSE,AND('POA — Three year summary'!B5&lt;=DATE(2028,3,1),DATE(2028,3,1)&lt;='POA — Three year summary'!C5)),'POA — Monthly financial forecas'!S47,"")="",0,IF(IF(AND('POA — Three year summary'!B5&lt;=DATE(2028,3,1),DATE(2028,3,1)&lt;='POA — Three year summary'!C5)="",FALSE,AND('POA — Three year summary'!B5&lt;=DATE(2028,3,1),DATE(2028,3,1)&lt;='POA — Three year summary'!C5)),'POA — Monthly financial forecas'!S47,"")),IF(IF(IF(AND('POA — Three year summary'!B5&lt;=DATE(2028,4,1),DATE(2028,4,1)&lt;='POA — Three year summary'!C5)="",FALSE,AND('POA — Three year summary'!B5&lt;=DATE(2028,4,1),DATE(2028,4,1)&lt;='POA — Three year summary'!C5)),'POA — Monthly financial forecas'!T47,"")="",0,IF(IF(AND('POA — Three year summary'!B5&lt;=DATE(2028,4,1),DATE(2028,4,1)&lt;='POA — Three year summary'!C5)="",FALSE,AND('POA — Three year summary'!B5&lt;=DATE(2028,4,1),DATE(2028,4,1)&lt;='POA — Three year summary'!C5)),'POA — Monthly financial forecas'!T47,"")),IF(IF(IF(AND('POA — Three year summary'!B5&lt;=DATE(2028,5,1),DATE(2028,5,1)&lt;='POA — Three year summary'!C5)="",FALSE,AND('POA — Three year summary'!B5&lt;=DATE(2028,5,1),DATE(2028,5,1)&lt;='POA — Three year summary'!C5)),'POA — Monthly financial forecas'!U47,"")="",0,IF(IF(AND('POA — Three year summary'!B5&lt;=DATE(2028,5,1),DATE(2028,5,1)&lt;='POA — Three year summary'!C5)="",FALSE,AND('POA — Three year summary'!B5&lt;=DATE(2028,5,1),DATE(2028,5,1)&lt;='POA — Three year summary'!C5)),'POA — Monthly financial forecas'!U47,"")),IF(IF(IF(AND('POA — Three year summary'!B5&lt;=DATE(2028,6,1),DATE(2028,6,1)&lt;='POA — Three year summary'!C5)="",FALSE,AND('POA — Three year summary'!B5&lt;=DATE(2028,6,1),DATE(2028,6,1)&lt;='POA — Three year summary'!C5)),'POA — Monthly financial forecas'!V47,"")="",0,IF(IF(AND('POA — Three year summary'!B5&lt;=DATE(2028,6,1),DATE(2028,6,1)&lt;='POA — Three year summary'!C5)="",FALSE,AND('POA — Three year summary'!B5&lt;=DATE(2028,6,1),DATE(2028,6,1)&lt;='POA — Three year summary'!C5)),'POA — Monthly financial forecas'!V47,"")),IF(IF(IF(AND('POA — Three year summary'!B5&lt;=DATE(2028,7,1),DATE(2028,7,1)&lt;='POA — Three year summary'!C5)="",FALSE,AND('POA — Three year summary'!B5&lt;=DATE(2028,7,1),DATE(2028,7,1)&lt;='POA — Three year summary'!C5)),'POA — Monthly financial forecas'!W47,"")="",0,IF(IF(AND('POA — Three year summary'!B5&lt;=DATE(2028,7,1),DATE(2028,7,1)&lt;='POA — Three year summary'!C5)="",FALSE,AND('POA — Three year summary'!B5&lt;=DATE(2028,7,1),DATE(2028,7,1)&lt;='POA — Three year summary'!C5)),'POA — Monthly financial forecas'!W47,"")),IF(IF(IF(AND('POA — Three year summary'!B5&lt;=DATE(2028,8,1),DATE(2028,8,1)&lt;='POA — Three year summary'!C5)="",FALSE,AND('POA — Three year summary'!B5&lt;=DATE(2028,8,1),DATE(2028,8,1)&lt;='POA — Three year summary'!C5)),'POA — Monthly financial forecas'!X47,"")="",0,IF(IF(AND('POA — Three year summary'!B5&lt;=DATE(2028,8,1),DATE(2028,8,1)&lt;='POA — Three year summary'!C5)="",FALSE,AND('POA — Three year summary'!B5&lt;=DATE(2028,8,1),DATE(2028,8,1)&lt;='POA — Three year summary'!C5)),'POA — Monthly financial forecas'!X47,"")),IF(IF(IF(AND('POA — Three year summary'!B5&lt;=DATE(2028,9,1),DATE(2028,9,1)&lt;='POA — Three year summary'!C5)="",FALSE,AND('POA — Three year summary'!B5&lt;=DATE(2028,9,1),DATE(2028,9,1)&lt;='POA — Three year summary'!C5)),'POA — Monthly financial forecas'!Y47,"")="",0,IF(IF(AND('POA — Three year summary'!B5&lt;=DATE(2028,9,1),DATE(2028,9,1)&lt;='POA — Three year summary'!C5)="",FALSE,AND('POA — Three year summary'!B5&lt;=DATE(2028,9,1),DATE(2028,9,1)&lt;='POA — Three year summary'!C5)),'POA — Monthly financial forecas'!Y47,"")),IF(IF(IF(AND('POA — Three year summary'!B5&lt;=DATE(2028,10,1),DATE(2028,10,1)&lt;='POA — Three year summary'!C5)="",FALSE,AND('POA — Three year summary'!B5&lt;=DATE(2028,10,1),DATE(2028,10,1)&lt;='POA — Three year summary'!C5)),'POA — Monthly financial forecas'!Z47,"")="",0,IF(IF(AND('POA — Three year summary'!B5&lt;=DATE(2028,10,1),DATE(2028,10,1)&lt;='POA — Three year summary'!C5)="",FALSE,AND('POA — Three year summary'!B5&lt;=DATE(2028,10,1),DATE(2028,10,1)&lt;='POA — Three year summary'!C5)),'POA — Monthly financial forecas'!Z47,"")),IF(IF(IF(AND('POA — Three year summary'!B5&lt;=DATE(2028,11,1),DATE(2028,11,1)&lt;='POA — Three year summary'!C5)="",FALSE,AND('POA — Three year summary'!B5&lt;=DATE(2028,11,1),DATE(2028,11,1)&lt;='POA — Three year summary'!C5)),'POA — Monthly financial forecas'!AA47,"")="",0,IF(IF(AND('POA — Three year summary'!B5&lt;=DATE(2028,11,1),DATE(2028,11,1)&lt;='POA — Three year summary'!C5)="",FALSE,AND('POA — Three year summary'!B5&lt;=DATE(2028,11,1),DATE(2028,11,1)&lt;='POA — Three year summary'!C5)),'POA — Monthly financial forecas'!AA47,"")),IF(IF(IF(AND('POA — Three year summary'!B5&lt;=DATE(2028,12,1),DATE(2028,12,1)&lt;='POA — Three year summary'!C5)="",FALSE,AND('POA — Three year summary'!B5&lt;=DATE(2028,12,1),DATE(2028,12,1)&lt;='POA — Three year summary'!C5)),'POA — Monthly financial forecas'!AB47,"")="",0,IF(IF(AND('POA — Three year summary'!B5&lt;=DATE(2028,12,1),DATE(2028,12,1)&lt;='POA — Three year summary'!C5)="",FALSE,AND('POA — Three year summary'!B5&lt;=DATE(2028,12,1),DATE(2028,12,1)&lt;='POA — Three year summary'!C5)),'POA — Monthly financial forecas'!AB47,"")),IF(IF(IF(AND('POA — Three year summary'!B5&lt;=DATE(2029,1,1),DATE(2029,1,1)&lt;='POA — Three year summary'!C5)="",FALSE,AND('POA — Three year summary'!B5&lt;=DATE(2029,1,1),DATE(2029,1,1)&lt;='POA — Three year summary'!C5)),'POA — Monthly financial forecas'!AC47,"")="",0,IF(IF(AND('POA — Three year summary'!B5&lt;=DATE(2029,1,1),DATE(2029,1,1)&lt;='POA — Three year summary'!C5)="",FALSE,AND('POA — Three year summary'!B5&lt;=DATE(2029,1,1),DATE(2029,1,1)&lt;='POA — Three year summary'!C5)),'POA — Monthly financial forecas'!AC47,"")),IF(IF(IF(AND('POA — Three year summary'!B5&lt;=DATE(2029,2,1),DATE(2029,2,1)&lt;='POA — Three year summary'!C5)="",FALSE,AND('POA — Three year summary'!B5&lt;=DATE(2029,2,1),DATE(2029,2,1)&lt;='POA — Three year summary'!C5)),'POA — Monthly financial forecas'!AD47,"")="",0,IF(IF(AND('POA — Three year summary'!B5&lt;=DATE(2029,2,1),DATE(2029,2,1)&lt;='POA — Three year summary'!C5)="",FALSE,AND('POA — Three year summary'!B5&lt;=DATE(2029,2,1),DATE(2029,2,1)&lt;='POA — Three year summary'!C5)),'POA — Monthly financial forecas'!AD47,"")),IF(IF(IF(AND('POA — Three year summary'!B5&lt;=DATE(2029,3,1),DATE(2029,3,1)&lt;='POA — Three year summary'!C5)="",FALSE,AND('POA — Three year summary'!B5&lt;=DATE(2029,3,1),DATE(2029,3,1)&lt;='POA — Three year summary'!C5)),'POA — Monthly financial forecas'!AE47,"")="",0,IF(IF(AND('POA — Three year summary'!B5&lt;=DATE(2029,3,1),DATE(2029,3,1)&lt;='POA — Three year summary'!C5)="",FALSE,AND('POA — Three year summary'!B5&lt;=DATE(2029,3,1),DATE(2029,3,1)&lt;='POA — Three year summary'!C5)),'POA — Monthly financial forecas'!AE47,"")))</f>
      </c>
    </row>
    <row r="146">
      <c r="A146" t="inlineStr" s="25">
        <is>
          <t xml:space="preserve">Calculation</t>
        </is>
      </c>
      <c r="B146" s="7">
        <f>SUM(IF(IF(IF(AND('POA — Three year summary'!B5&lt;=DATE(2029,4,1),DATE(2029,4,1)&lt;='POA — Three year summary'!C5)="",FALSE,AND('POA — Three year summary'!B5&lt;=DATE(2029,4,1),DATE(2029,4,1)&lt;='POA — Three year summary'!C5)),'POA — Monthly financial forecas'!AF47,"")="",0,IF(IF(AND('POA — Three year summary'!B5&lt;=DATE(2029,4,1),DATE(2029,4,1)&lt;='POA — Three year summary'!C5)="",FALSE,AND('POA — Three year summary'!B5&lt;=DATE(2029,4,1),DATE(2029,4,1)&lt;='POA — Three year summary'!C5)),'POA — Monthly financial forecas'!AF47,"")),IF(IF(IF(AND('POA — Three year summary'!B5&lt;=DATE(2029,5,1),DATE(2029,5,1)&lt;='POA — Three year summary'!C5)="",FALSE,AND('POA — Three year summary'!B5&lt;=DATE(2029,5,1),DATE(2029,5,1)&lt;='POA — Three year summary'!C5)),'POA — Monthly financial forecas'!AG47,"")="",0,IF(IF(AND('POA — Three year summary'!B5&lt;=DATE(2029,5,1),DATE(2029,5,1)&lt;='POA — Three year summary'!C5)="",FALSE,AND('POA — Three year summary'!B5&lt;=DATE(2029,5,1),DATE(2029,5,1)&lt;='POA — Three year summary'!C5)),'POA — Monthly financial forecas'!AG47,"")),IF(IF(IF(AND('POA — Three year summary'!B5&lt;=DATE(2029,6,1),DATE(2029,6,1)&lt;='POA — Three year summary'!C5)="",FALSE,AND('POA — Three year summary'!B5&lt;=DATE(2029,6,1),DATE(2029,6,1)&lt;='POA — Three year summary'!C5)),'POA — Monthly financial forecas'!AH47,"")="",0,IF(IF(AND('POA — Three year summary'!B5&lt;=DATE(2029,6,1),DATE(2029,6,1)&lt;='POA — Three year summary'!C5)="",FALSE,AND('POA — Three year summary'!B5&lt;=DATE(2029,6,1),DATE(2029,6,1)&lt;='POA — Three year summary'!C5)),'POA — Monthly financial forecas'!AH47,"")),IF(IF(IF(AND('POA — Three year summary'!B5&lt;=DATE(2029,7,1),DATE(2029,7,1)&lt;='POA — Three year summary'!C5)="",FALSE,AND('POA — Three year summary'!B5&lt;=DATE(2029,7,1),DATE(2029,7,1)&lt;='POA — Three year summary'!C5)),'POA — Monthly financial forecas'!AI47,"")="",0,IF(IF(AND('POA — Three year summary'!B5&lt;=DATE(2029,7,1),DATE(2029,7,1)&lt;='POA — Three year summary'!C5)="",FALSE,AND('POA — Three year summary'!B5&lt;=DATE(2029,7,1),DATE(2029,7,1)&lt;='POA — Three year summary'!C5)),'POA — Monthly financial forecas'!AI47,"")),IF(IF(IF(AND('POA — Three year summary'!B5&lt;=DATE(2029,8,1),DATE(2029,8,1)&lt;='POA — Three year summary'!C5)="",FALSE,AND('POA — Three year summary'!B5&lt;=DATE(2029,8,1),DATE(2029,8,1)&lt;='POA — Three year summary'!C5)),'POA — Monthly financial forecas'!AJ47,"")="",0,IF(IF(AND('POA — Three year summary'!B5&lt;=DATE(2029,8,1),DATE(2029,8,1)&lt;='POA — Three year summary'!C5)="",FALSE,AND('POA — Three year summary'!B5&lt;=DATE(2029,8,1),DATE(2029,8,1)&lt;='POA — Three year summary'!C5)),'POA — Monthly financial forecas'!AJ47,"")),IF(IF(IF(AND('POA — Three year summary'!B5&lt;=DATE(2029,9,1),DATE(2029,9,1)&lt;='POA — Three year summary'!C5)="",FALSE,AND('POA — Three year summary'!B5&lt;=DATE(2029,9,1),DATE(2029,9,1)&lt;='POA — Three year summary'!C5)),'POA — Monthly financial forecas'!AK47,"")="",0,IF(IF(AND('POA — Three year summary'!B5&lt;=DATE(2029,9,1),DATE(2029,9,1)&lt;='POA — Three year summary'!C5)="",FALSE,AND('POA — Three year summary'!B5&lt;=DATE(2029,9,1),DATE(2029,9,1)&lt;='POA — Three year summary'!C5)),'POA — Monthly financial forecas'!AK47,"")),IF(IF(IF(AND('POA — Three year summary'!B5&lt;=DATE(2026,9,1),DATE(2026,9,1)&lt;='POA — Three year summary'!C5)="",FALSE,AND('POA — Three year summary'!B5&lt;=DATE(2026,9,1),DATE(2026,9,1)&lt;='POA — Three year summary'!C5)),'Model inputs'!B29,"")="",0,IF(IF(AND('POA — Three year summary'!B5&lt;=DATE(2026,9,1),DATE(2026,9,1)&lt;='POA — Three year summary'!C5)="",FALSE,AND('POA — Three year summary'!B5&lt;=DATE(2026,9,1),DATE(2026,9,1)&lt;='POA — Three year summary'!C5)),'Model inputs'!B29,"")))</f>
      </c>
    </row>
    <row r="147">
      <c r="A147" t="inlineStr" s="25">
        <is>
          <t xml:space="preserve">Calculation</t>
        </is>
      </c>
      <c r="B147" s="7">
        <f>SUM(IF(IF(IF(AND('POA — Three year summary'!B5&lt;=DATE(2026,10,1),DATE(2026,10,1)&lt;='POA — Three year summary'!C5)="",FALSE,AND('POA — Three year summary'!B5&lt;=DATE(2026,10,1),DATE(2026,10,1)&lt;='POA — Three year summary'!C5)),'POA — Monthly financial forecas'!B49,"")="",0,IF(IF(AND('POA — Three year summary'!B5&lt;=DATE(2026,10,1),DATE(2026,10,1)&lt;='POA — Three year summary'!C5)="",FALSE,AND('POA — Three year summary'!B5&lt;=DATE(2026,10,1),DATE(2026,10,1)&lt;='POA — Three year summary'!C5)),'POA — Monthly financial forecas'!B49,"")),IF(IF(IF(AND('POA — Three year summary'!B5&lt;=DATE(2026,11,1),DATE(2026,11,1)&lt;='POA — Three year summary'!C5)="",FALSE,AND('POA — Three year summary'!B5&lt;=DATE(2026,11,1),DATE(2026,11,1)&lt;='POA — Three year summary'!C5)),'POA — Monthly financial forecas'!C49,"")="",0,IF(IF(AND('POA — Three year summary'!B5&lt;=DATE(2026,11,1),DATE(2026,11,1)&lt;='POA — Three year summary'!C5)="",FALSE,AND('POA — Three year summary'!B5&lt;=DATE(2026,11,1),DATE(2026,11,1)&lt;='POA — Three year summary'!C5)),'POA — Monthly financial forecas'!C49,"")),IF(IF(IF(AND('POA — Three year summary'!B5&lt;=DATE(2026,12,1),DATE(2026,12,1)&lt;='POA — Three year summary'!C5)="",FALSE,AND('POA — Three year summary'!B5&lt;=DATE(2026,12,1),DATE(2026,12,1)&lt;='POA — Three year summary'!C5)),'POA — Monthly financial forecas'!D49,"")="",0,IF(IF(AND('POA — Three year summary'!B5&lt;=DATE(2026,12,1),DATE(2026,12,1)&lt;='POA — Three year summary'!C5)="",FALSE,AND('POA — Three year summary'!B5&lt;=DATE(2026,12,1),DATE(2026,12,1)&lt;='POA — Three year summary'!C5)),'POA — Monthly financial forecas'!D49,"")),IF(IF(IF(AND('POA — Three year summary'!B5&lt;=DATE(2027,1,1),DATE(2027,1,1)&lt;='POA — Three year summary'!C5)="",FALSE,AND('POA — Three year summary'!B5&lt;=DATE(2027,1,1),DATE(2027,1,1)&lt;='POA — Three year summary'!C5)),'POA — Monthly financial forecas'!E49,"")="",0,IF(IF(AND('POA — Three year summary'!B5&lt;=DATE(2027,1,1),DATE(2027,1,1)&lt;='POA — Three year summary'!C5)="",FALSE,AND('POA — Three year summary'!B5&lt;=DATE(2027,1,1),DATE(2027,1,1)&lt;='POA — Three year summary'!C5)),'POA — Monthly financial forecas'!E49,"")),IF(IF(IF(AND('POA — Three year summary'!B5&lt;=DATE(2027,2,1),DATE(2027,2,1)&lt;='POA — Three year summary'!C5)="",FALSE,AND('POA — Three year summary'!B5&lt;=DATE(2027,2,1),DATE(2027,2,1)&lt;='POA — Three year summary'!C5)),'POA — Monthly financial forecas'!F49,"")="",0,IF(IF(AND('POA — Three year summary'!B5&lt;=DATE(2027,2,1),DATE(2027,2,1)&lt;='POA — Three year summary'!C5)="",FALSE,AND('POA — Three year summary'!B5&lt;=DATE(2027,2,1),DATE(2027,2,1)&lt;='POA — Three year summary'!C5)),'POA — Monthly financial forecas'!F49,"")),IF(IF(IF(AND('POA — Three year summary'!B5&lt;=DATE(2027,3,1),DATE(2027,3,1)&lt;='POA — Three year summary'!C5)="",FALSE,AND('POA — Three year summary'!B5&lt;=DATE(2027,3,1),DATE(2027,3,1)&lt;='POA — Three year summary'!C5)),'POA — Monthly financial forecas'!G49,"")="",0,IF(IF(AND('POA — Three year summary'!B5&lt;=DATE(2027,3,1),DATE(2027,3,1)&lt;='POA — Three year summary'!C5)="",FALSE,AND('POA — Three year summary'!B5&lt;=DATE(2027,3,1),DATE(2027,3,1)&lt;='POA — Three year summary'!C5)),'POA — Monthly financial forecas'!G49,"")),IF(IF(IF(AND('POA — Three year summary'!B5&lt;=DATE(2027,4,1),DATE(2027,4,1)&lt;='POA — Three year summary'!C5)="",FALSE,AND('POA — Three year summary'!B5&lt;=DATE(2027,4,1),DATE(2027,4,1)&lt;='POA — Three year summary'!C5)),'POA — Monthly financial forecas'!H49,"")="",0,IF(IF(AND('POA — Three year summary'!B5&lt;=DATE(2027,4,1),DATE(2027,4,1)&lt;='POA — Three year summary'!C5)="",FALSE,AND('POA — Three year summary'!B5&lt;=DATE(2027,4,1),DATE(2027,4,1)&lt;='POA — Three year summary'!C5)),'POA — Monthly financial forecas'!H49,"")),IF(IF(IF(AND('POA — Three year summary'!B5&lt;=DATE(2027,5,1),DATE(2027,5,1)&lt;='POA — Three year summary'!C5)="",FALSE,AND('POA — Three year summary'!B5&lt;=DATE(2027,5,1),DATE(2027,5,1)&lt;='POA — Three year summary'!C5)),'POA — Monthly financial forecas'!I49,"")="",0,IF(IF(AND('POA — Three year summary'!B5&lt;=DATE(2027,5,1),DATE(2027,5,1)&lt;='POA — Three year summary'!C5)="",FALSE,AND('POA — Three year summary'!B5&lt;=DATE(2027,5,1),DATE(2027,5,1)&lt;='POA — Three year summary'!C5)),'POA — Monthly financial forecas'!I49,"")),IF(IF(IF(AND('POA — Three year summary'!B5&lt;=DATE(2027,6,1),DATE(2027,6,1)&lt;='POA — Three year summary'!C5)="",FALSE,AND('POA — Three year summary'!B5&lt;=DATE(2027,6,1),DATE(2027,6,1)&lt;='POA — Three year summary'!C5)),'POA — Monthly financial forecas'!J49,"")="",0,IF(IF(AND('POA — Three year summary'!B5&lt;=DATE(2027,6,1),DATE(2027,6,1)&lt;='POA — Three year summary'!C5)="",FALSE,AND('POA — Three year summary'!B5&lt;=DATE(2027,6,1),DATE(2027,6,1)&lt;='POA — Three year summary'!C5)),'POA — Monthly financial forecas'!J49,"")),IF(IF(IF(AND('POA — Three year summary'!B5&lt;=DATE(2027,7,1),DATE(2027,7,1)&lt;='POA — Three year summary'!C5)="",FALSE,AND('POA — Three year summary'!B5&lt;=DATE(2027,7,1),DATE(2027,7,1)&lt;='POA — Three year summary'!C5)),'POA — Monthly financial forecas'!K49,"")="",0,IF(IF(AND('POA — Three year summary'!B5&lt;=DATE(2027,7,1),DATE(2027,7,1)&lt;='POA — Three year summary'!C5)="",FALSE,AND('POA — Three year summary'!B5&lt;=DATE(2027,7,1),DATE(2027,7,1)&lt;='POA — Three year summary'!C5)),'POA — Monthly financial forecas'!K49,"")),IF(IF(IF(AND('POA — Three year summary'!B5&lt;=DATE(2027,8,1),DATE(2027,8,1)&lt;='POA — Three year summary'!C5)="",FALSE,AND('POA — Three year summary'!B5&lt;=DATE(2027,8,1),DATE(2027,8,1)&lt;='POA — Three year summary'!C5)),'POA — Monthly financial forecas'!L49,"")="",0,IF(IF(AND('POA — Three year summary'!B5&lt;=DATE(2027,8,1),DATE(2027,8,1)&lt;='POA — Three year summary'!C5)="",FALSE,AND('POA — Three year summary'!B5&lt;=DATE(2027,8,1),DATE(2027,8,1)&lt;='POA — Three year summary'!C5)),'POA — Monthly financial forecas'!L49,"")),IF(IF(IF(AND('POA — Three year summary'!B5&lt;=DATE(2027,9,1),DATE(2027,9,1)&lt;='POA — Three year summary'!C5)="",FALSE,AND('POA — Three year summary'!B5&lt;=DATE(2027,9,1),DATE(2027,9,1)&lt;='POA — Three year summary'!C5)),'POA — Monthly financial forecas'!M49,"")="",0,IF(IF(AND('POA — Three year summary'!B5&lt;=DATE(2027,9,1),DATE(2027,9,1)&lt;='POA — Three year summary'!C5)="",FALSE,AND('POA — Three year summary'!B5&lt;=DATE(2027,9,1),DATE(2027,9,1)&lt;='POA — Three year summary'!C5)),'POA — Monthly financial forecas'!M49,"")),IF(IF(IF(AND('POA — Three year summary'!B5&lt;=DATE(2027,10,1),DATE(2027,10,1)&lt;='POA — Three year summary'!C5)="",FALSE,AND('POA — Three year summary'!B5&lt;=DATE(2027,10,1),DATE(2027,10,1)&lt;='POA — Three year summary'!C5)),'POA — Monthly financial forecas'!N49,"")="",0,IF(IF(AND('POA — Three year summary'!B5&lt;=DATE(2027,10,1),DATE(2027,10,1)&lt;='POA — Three year summary'!C5)="",FALSE,AND('POA — Three year summary'!B5&lt;=DATE(2027,10,1),DATE(2027,10,1)&lt;='POA — Three year summary'!C5)),'POA — Monthly financial forecas'!N49,"")),IF(IF(IF(AND('POA — Three year summary'!B5&lt;=DATE(2027,11,1),DATE(2027,11,1)&lt;='POA — Three year summary'!C5)="",FALSE,AND('POA — Three year summary'!B5&lt;=DATE(2027,11,1),DATE(2027,11,1)&lt;='POA — Three year summary'!C5)),'POA — Monthly financial forecas'!O49,"")="",0,IF(IF(AND('POA — Three year summary'!B5&lt;=DATE(2027,11,1),DATE(2027,11,1)&lt;='POA — Three year summary'!C5)="",FALSE,AND('POA — Three year summary'!B5&lt;=DATE(2027,11,1),DATE(2027,11,1)&lt;='POA — Three year summary'!C5)),'POA — Monthly financial forecas'!O49,"")),IF(IF(IF(AND('POA — Three year summary'!B5&lt;=DATE(2027,12,1),DATE(2027,12,1)&lt;='POA — Three year summary'!C5)="",FALSE,AND('POA — Three year summary'!B5&lt;=DATE(2027,12,1),DATE(2027,12,1)&lt;='POA — Three year summary'!C5)),'POA — Monthly financial forecas'!P49,"")="",0,IF(IF(AND('POA — Three year summary'!B5&lt;=DATE(2027,12,1),DATE(2027,12,1)&lt;='POA — Three year summary'!C5)="",FALSE,AND('POA — Three year summary'!B5&lt;=DATE(2027,12,1),DATE(2027,12,1)&lt;='POA — Three year summary'!C5)),'POA — Monthly financial forecas'!P49,"")))</f>
      </c>
    </row>
    <row r="148">
      <c r="A148" t="inlineStr" s="25">
        <is>
          <t xml:space="preserve">Calculation</t>
        </is>
      </c>
      <c r="B148" s="7">
        <f>SUM(IF(IF(IF(AND('POA — Three year summary'!B5&lt;=DATE(2028,1,1),DATE(2028,1,1)&lt;='POA — Three year summary'!C5)="",FALSE,AND('POA — Three year summary'!B5&lt;=DATE(2028,1,1),DATE(2028,1,1)&lt;='POA — Three year summary'!C5)),'POA — Monthly financial forecas'!Q49,"")="",0,IF(IF(AND('POA — Three year summary'!B5&lt;=DATE(2028,1,1),DATE(2028,1,1)&lt;='POA — Three year summary'!C5)="",FALSE,AND('POA — Three year summary'!B5&lt;=DATE(2028,1,1),DATE(2028,1,1)&lt;='POA — Three year summary'!C5)),'POA — Monthly financial forecas'!Q49,"")),IF(IF(IF(AND('POA — Three year summary'!B5&lt;=DATE(2028,2,1),DATE(2028,2,1)&lt;='POA — Three year summary'!C5)="",FALSE,AND('POA — Three year summary'!B5&lt;=DATE(2028,2,1),DATE(2028,2,1)&lt;='POA — Three year summary'!C5)),'POA — Monthly financial forecas'!R49,"")="",0,IF(IF(AND('POA — Three year summary'!B5&lt;=DATE(2028,2,1),DATE(2028,2,1)&lt;='POA — Three year summary'!C5)="",FALSE,AND('POA — Three year summary'!B5&lt;=DATE(2028,2,1),DATE(2028,2,1)&lt;='POA — Three year summary'!C5)),'POA — Monthly financial forecas'!R49,"")),IF(IF(IF(AND('POA — Three year summary'!B5&lt;=DATE(2028,3,1),DATE(2028,3,1)&lt;='POA — Three year summary'!C5)="",FALSE,AND('POA — Three year summary'!B5&lt;=DATE(2028,3,1),DATE(2028,3,1)&lt;='POA — Three year summary'!C5)),'POA — Monthly financial forecas'!S49,"")="",0,IF(IF(AND('POA — Three year summary'!B5&lt;=DATE(2028,3,1),DATE(2028,3,1)&lt;='POA — Three year summary'!C5)="",FALSE,AND('POA — Three year summary'!B5&lt;=DATE(2028,3,1),DATE(2028,3,1)&lt;='POA — Three year summary'!C5)),'POA — Monthly financial forecas'!S49,"")),IF(IF(IF(AND('POA — Three year summary'!B5&lt;=DATE(2028,4,1),DATE(2028,4,1)&lt;='POA — Three year summary'!C5)="",FALSE,AND('POA — Three year summary'!B5&lt;=DATE(2028,4,1),DATE(2028,4,1)&lt;='POA — Three year summary'!C5)),'POA — Monthly financial forecas'!T49,"")="",0,IF(IF(AND('POA — Three year summary'!B5&lt;=DATE(2028,4,1),DATE(2028,4,1)&lt;='POA — Three year summary'!C5)="",FALSE,AND('POA — Three year summary'!B5&lt;=DATE(2028,4,1),DATE(2028,4,1)&lt;='POA — Three year summary'!C5)),'POA — Monthly financial forecas'!T49,"")),IF(IF(IF(AND('POA — Three year summary'!B5&lt;=DATE(2028,5,1),DATE(2028,5,1)&lt;='POA — Three year summary'!C5)="",FALSE,AND('POA — Three year summary'!B5&lt;=DATE(2028,5,1),DATE(2028,5,1)&lt;='POA — Three year summary'!C5)),'POA — Monthly financial forecas'!U49,"")="",0,IF(IF(AND('POA — Three year summary'!B5&lt;=DATE(2028,5,1),DATE(2028,5,1)&lt;='POA — Three year summary'!C5)="",FALSE,AND('POA — Three year summary'!B5&lt;=DATE(2028,5,1),DATE(2028,5,1)&lt;='POA — Three year summary'!C5)),'POA — Monthly financial forecas'!U49,"")),IF(IF(IF(AND('POA — Three year summary'!B5&lt;=DATE(2028,6,1),DATE(2028,6,1)&lt;='POA — Three year summary'!C5)="",FALSE,AND('POA — Three year summary'!B5&lt;=DATE(2028,6,1),DATE(2028,6,1)&lt;='POA — Three year summary'!C5)),'POA — Monthly financial forecas'!V49,"")="",0,IF(IF(AND('POA — Three year summary'!B5&lt;=DATE(2028,6,1),DATE(2028,6,1)&lt;='POA — Three year summary'!C5)="",FALSE,AND('POA — Three year summary'!B5&lt;=DATE(2028,6,1),DATE(2028,6,1)&lt;='POA — Three year summary'!C5)),'POA — Monthly financial forecas'!V49,"")),IF(IF(IF(AND('POA — Three year summary'!B5&lt;=DATE(2028,7,1),DATE(2028,7,1)&lt;='POA — Three year summary'!C5)="",FALSE,AND('POA — Three year summary'!B5&lt;=DATE(2028,7,1),DATE(2028,7,1)&lt;='POA — Three year summary'!C5)),'POA — Monthly financial forecas'!W49,"")="",0,IF(IF(AND('POA — Three year summary'!B5&lt;=DATE(2028,7,1),DATE(2028,7,1)&lt;='POA — Three year summary'!C5)="",FALSE,AND('POA — Three year summary'!B5&lt;=DATE(2028,7,1),DATE(2028,7,1)&lt;='POA — Three year summary'!C5)),'POA — Monthly financial forecas'!W49,"")),IF(IF(IF(AND('POA — Three year summary'!B5&lt;=DATE(2028,8,1),DATE(2028,8,1)&lt;='POA — Three year summary'!C5)="",FALSE,AND('POA — Three year summary'!B5&lt;=DATE(2028,8,1),DATE(2028,8,1)&lt;='POA — Three year summary'!C5)),'POA — Monthly financial forecas'!X49,"")="",0,IF(IF(AND('POA — Three year summary'!B5&lt;=DATE(2028,8,1),DATE(2028,8,1)&lt;='POA — Three year summary'!C5)="",FALSE,AND('POA — Three year summary'!B5&lt;=DATE(2028,8,1),DATE(2028,8,1)&lt;='POA — Three year summary'!C5)),'POA — Monthly financial forecas'!X49,"")),IF(IF(IF(AND('POA — Three year summary'!B5&lt;=DATE(2028,9,1),DATE(2028,9,1)&lt;='POA — Three year summary'!C5)="",FALSE,AND('POA — Three year summary'!B5&lt;=DATE(2028,9,1),DATE(2028,9,1)&lt;='POA — Three year summary'!C5)),'POA — Monthly financial forecas'!Y49,"")="",0,IF(IF(AND('POA — Three year summary'!B5&lt;=DATE(2028,9,1),DATE(2028,9,1)&lt;='POA — Three year summary'!C5)="",FALSE,AND('POA — Three year summary'!B5&lt;=DATE(2028,9,1),DATE(2028,9,1)&lt;='POA — Three year summary'!C5)),'POA — Monthly financial forecas'!Y49,"")),IF(IF(IF(AND('POA — Three year summary'!B5&lt;=DATE(2028,10,1),DATE(2028,10,1)&lt;='POA — Three year summary'!C5)="",FALSE,AND('POA — Three year summary'!B5&lt;=DATE(2028,10,1),DATE(2028,10,1)&lt;='POA — Three year summary'!C5)),'POA — Monthly financial forecas'!Z49,"")="",0,IF(IF(AND('POA — Three year summary'!B5&lt;=DATE(2028,10,1),DATE(2028,10,1)&lt;='POA — Three year summary'!C5)="",FALSE,AND('POA — Three year summary'!B5&lt;=DATE(2028,10,1),DATE(2028,10,1)&lt;='POA — Three year summary'!C5)),'POA — Monthly financial forecas'!Z49,"")),IF(IF(IF(AND('POA — Three year summary'!B5&lt;=DATE(2028,11,1),DATE(2028,11,1)&lt;='POA — Three year summary'!C5)="",FALSE,AND('POA — Three year summary'!B5&lt;=DATE(2028,11,1),DATE(2028,11,1)&lt;='POA — Three year summary'!C5)),'POA — Monthly financial forecas'!AA49,"")="",0,IF(IF(AND('POA — Three year summary'!B5&lt;=DATE(2028,11,1),DATE(2028,11,1)&lt;='POA — Three year summary'!C5)="",FALSE,AND('POA — Three year summary'!B5&lt;=DATE(2028,11,1),DATE(2028,11,1)&lt;='POA — Three year summary'!C5)),'POA — Monthly financial forecas'!AA49,"")),IF(IF(IF(AND('POA — Three year summary'!B5&lt;=DATE(2028,12,1),DATE(2028,12,1)&lt;='POA — Three year summary'!C5)="",FALSE,AND('POA — Three year summary'!B5&lt;=DATE(2028,12,1),DATE(2028,12,1)&lt;='POA — Three year summary'!C5)),'POA — Monthly financial forecas'!AB49,"")="",0,IF(IF(AND('POA — Three year summary'!B5&lt;=DATE(2028,12,1),DATE(2028,12,1)&lt;='POA — Three year summary'!C5)="",FALSE,AND('POA — Three year summary'!B5&lt;=DATE(2028,12,1),DATE(2028,12,1)&lt;='POA — Three year summary'!C5)),'POA — Monthly financial forecas'!AB49,"")),IF(IF(IF(AND('POA — Three year summary'!B5&lt;=DATE(2029,1,1),DATE(2029,1,1)&lt;='POA — Three year summary'!C5)="",FALSE,AND('POA — Three year summary'!B5&lt;=DATE(2029,1,1),DATE(2029,1,1)&lt;='POA — Three year summary'!C5)),'POA — Monthly financial forecas'!AC49,"")="",0,IF(IF(AND('POA — Three year summary'!B5&lt;=DATE(2029,1,1),DATE(2029,1,1)&lt;='POA — Three year summary'!C5)="",FALSE,AND('POA — Three year summary'!B5&lt;=DATE(2029,1,1),DATE(2029,1,1)&lt;='POA — Three year summary'!C5)),'POA — Monthly financial forecas'!AC49,"")),IF(IF(IF(AND('POA — Three year summary'!B5&lt;=DATE(2029,2,1),DATE(2029,2,1)&lt;='POA — Three year summary'!C5)="",FALSE,AND('POA — Three year summary'!B5&lt;=DATE(2029,2,1),DATE(2029,2,1)&lt;='POA — Three year summary'!C5)),'POA — Monthly financial forecas'!AD49,"")="",0,IF(IF(AND('POA — Three year summary'!B5&lt;=DATE(2029,2,1),DATE(2029,2,1)&lt;='POA — Three year summary'!C5)="",FALSE,AND('POA — Three year summary'!B5&lt;=DATE(2029,2,1),DATE(2029,2,1)&lt;='POA — Three year summary'!C5)),'POA — Monthly financial forecas'!AD49,"")),IF(IF(IF(AND('POA — Three year summary'!B5&lt;=DATE(2029,3,1),DATE(2029,3,1)&lt;='POA — Three year summary'!C5)="",FALSE,AND('POA — Three year summary'!B5&lt;=DATE(2029,3,1),DATE(2029,3,1)&lt;='POA — Three year summary'!C5)),'POA — Monthly financial forecas'!AE49,"")="",0,IF(IF(AND('POA — Three year summary'!B5&lt;=DATE(2029,3,1),DATE(2029,3,1)&lt;='POA — Three year summary'!C5)="",FALSE,AND('POA — Three year summary'!B5&lt;=DATE(2029,3,1),DATE(2029,3,1)&lt;='POA — Three year summary'!C5)),'POA — Monthly financial forecas'!AE49,"")))</f>
      </c>
    </row>
    <row r="149">
      <c r="A149" t="inlineStr" s="25">
        <is>
          <t xml:space="preserve">Calculation</t>
        </is>
      </c>
      <c r="B149" s="7">
        <f>SUM(IF(IF(IF(AND('POA — Three year summary'!B5&lt;=DATE(2029,4,1),DATE(2029,4,1)&lt;='POA — Three year summary'!C5)="",FALSE,AND('POA — Three year summary'!B5&lt;=DATE(2029,4,1),DATE(2029,4,1)&lt;='POA — Three year summary'!C5)),'POA — Monthly financial forecas'!AF49,"")="",0,IF(IF(AND('POA — Three year summary'!B5&lt;=DATE(2029,4,1),DATE(2029,4,1)&lt;='POA — Three year summary'!C5)="",FALSE,AND('POA — Three year summary'!B5&lt;=DATE(2029,4,1),DATE(2029,4,1)&lt;='POA — Three year summary'!C5)),'POA — Monthly financial forecas'!AF49,"")),IF(IF(IF(AND('POA — Three year summary'!B5&lt;=DATE(2029,5,1),DATE(2029,5,1)&lt;='POA — Three year summary'!C5)="",FALSE,AND('POA — Three year summary'!B5&lt;=DATE(2029,5,1),DATE(2029,5,1)&lt;='POA — Three year summary'!C5)),'POA — Monthly financial forecas'!AG49,"")="",0,IF(IF(AND('POA — Three year summary'!B5&lt;=DATE(2029,5,1),DATE(2029,5,1)&lt;='POA — Three year summary'!C5)="",FALSE,AND('POA — Three year summary'!B5&lt;=DATE(2029,5,1),DATE(2029,5,1)&lt;='POA — Three year summary'!C5)),'POA — Monthly financial forecas'!AG49,"")),IF(IF(IF(AND('POA — Three year summary'!B5&lt;=DATE(2029,6,1),DATE(2029,6,1)&lt;='POA — Three year summary'!C5)="",FALSE,AND('POA — Three year summary'!B5&lt;=DATE(2029,6,1),DATE(2029,6,1)&lt;='POA — Three year summary'!C5)),'POA — Monthly financial forecas'!AH49,"")="",0,IF(IF(AND('POA — Three year summary'!B5&lt;=DATE(2029,6,1),DATE(2029,6,1)&lt;='POA — Three year summary'!C5)="",FALSE,AND('POA — Three year summary'!B5&lt;=DATE(2029,6,1),DATE(2029,6,1)&lt;='POA — Three year summary'!C5)),'POA — Monthly financial forecas'!AH49,"")),IF(IF(IF(AND('POA — Three year summary'!B5&lt;=DATE(2029,7,1),DATE(2029,7,1)&lt;='POA — Three year summary'!C5)="",FALSE,AND('POA — Three year summary'!B5&lt;=DATE(2029,7,1),DATE(2029,7,1)&lt;='POA — Three year summary'!C5)),'POA — Monthly financial forecas'!AI49,"")="",0,IF(IF(AND('POA — Three year summary'!B5&lt;=DATE(2029,7,1),DATE(2029,7,1)&lt;='POA — Three year summary'!C5)="",FALSE,AND('POA — Three year summary'!B5&lt;=DATE(2029,7,1),DATE(2029,7,1)&lt;='POA — Three year summary'!C5)),'POA — Monthly financial forecas'!AI49,"")),IF(IF(IF(AND('POA — Three year summary'!B5&lt;=DATE(2029,8,1),DATE(2029,8,1)&lt;='POA — Three year summary'!C5)="",FALSE,AND('POA — Three year summary'!B5&lt;=DATE(2029,8,1),DATE(2029,8,1)&lt;='POA — Three year summary'!C5)),'POA — Monthly financial forecas'!AJ49,"")="",0,IF(IF(AND('POA — Three year summary'!B5&lt;=DATE(2029,8,1),DATE(2029,8,1)&lt;='POA — Three year summary'!C5)="",FALSE,AND('POA — Three year summary'!B5&lt;=DATE(2029,8,1),DATE(2029,8,1)&lt;='POA — Three year summary'!C5)),'POA — Monthly financial forecas'!AJ49,"")),IF(IF(IF(AND('POA — Three year summary'!B5&lt;=DATE(2029,9,1),DATE(2029,9,1)&lt;='POA — Three year summary'!C5)="",FALSE,AND('POA — Three year summary'!B5&lt;=DATE(2029,9,1),DATE(2029,9,1)&lt;='POA — Three year summary'!C5)),'POA — Monthly financial forecas'!AK49,"")="",0,IF(IF(AND('POA — Three year summary'!B5&lt;=DATE(2029,9,1),DATE(2029,9,1)&lt;='POA — Three year summary'!C5)="",FALSE,AND('POA — Three year summary'!B5&lt;=DATE(2029,9,1),DATE(2029,9,1)&lt;='POA — Three year summary'!C5)),'POA — Monthly financial forecas'!AK49,"")),IF(IF(IF(AND('POA — Three year summary'!B5&lt;=DATE(2026,9,1),DATE(2026,9,1)&lt;='POA — Three year summary'!C5)="",FALSE,AND('POA — Three year summary'!B5&lt;=DATE(2026,9,1),DATE(2026,9,1)&lt;='POA — Three year summary'!C5)),'Model inputs'!B33,"")="",0,IF(IF(AND('POA — Three year summary'!B5&lt;=DATE(2026,9,1),DATE(2026,9,1)&lt;='POA — Three year summary'!C5)="",FALSE,AND('POA — Three year summary'!B5&lt;=DATE(2026,9,1),DATE(2026,9,1)&lt;='POA — Three year summary'!C5)),'Model inputs'!B33,"")))</f>
      </c>
    </row>
    <row r="150">
      <c r="A150" t="inlineStr" s="25">
        <is>
          <t xml:space="preserve">Calculation</t>
        </is>
      </c>
      <c r="B150" s="7">
        <f>SUM(IF(IF(IF(AND('POA — Three year summary'!B5&lt;=DATE(2026,10,1),DATE(2026,10,1)&lt;='POA — Three year summary'!C5)="",FALSE,AND('POA — Three year summary'!B5&lt;=DATE(2026,10,1),DATE(2026,10,1)&lt;='POA — Three year summary'!C5)),'POA — Monthly financial forecas'!B55,"")="",0,IF(IF(AND('POA — Three year summary'!B5&lt;=DATE(2026,10,1),DATE(2026,10,1)&lt;='POA — Three year summary'!C5)="",FALSE,AND('POA — Three year summary'!B5&lt;=DATE(2026,10,1),DATE(2026,10,1)&lt;='POA — Three year summary'!C5)),'POA — Monthly financial forecas'!B55,"")),IF(IF(IF(AND('POA — Three year summary'!B5&lt;=DATE(2026,11,1),DATE(2026,11,1)&lt;='POA — Three year summary'!C5)="",FALSE,AND('POA — Three year summary'!B5&lt;=DATE(2026,11,1),DATE(2026,11,1)&lt;='POA — Three year summary'!C5)),'POA — Monthly financial forecas'!C55,"")="",0,IF(IF(AND('POA — Three year summary'!B5&lt;=DATE(2026,11,1),DATE(2026,11,1)&lt;='POA — Three year summary'!C5)="",FALSE,AND('POA — Three year summary'!B5&lt;=DATE(2026,11,1),DATE(2026,11,1)&lt;='POA — Three year summary'!C5)),'POA — Monthly financial forecas'!C55,"")),IF(IF(IF(AND('POA — Three year summary'!B5&lt;=DATE(2026,12,1),DATE(2026,12,1)&lt;='POA — Three year summary'!C5)="",FALSE,AND('POA — Three year summary'!B5&lt;=DATE(2026,12,1),DATE(2026,12,1)&lt;='POA — Three year summary'!C5)),'POA — Monthly financial forecas'!D55,"")="",0,IF(IF(AND('POA — Three year summary'!B5&lt;=DATE(2026,12,1),DATE(2026,12,1)&lt;='POA — Three year summary'!C5)="",FALSE,AND('POA — Three year summary'!B5&lt;=DATE(2026,12,1),DATE(2026,12,1)&lt;='POA — Three year summary'!C5)),'POA — Monthly financial forecas'!D55,"")),IF(IF(IF(AND('POA — Three year summary'!B5&lt;=DATE(2027,1,1),DATE(2027,1,1)&lt;='POA — Three year summary'!C5)="",FALSE,AND('POA — Three year summary'!B5&lt;=DATE(2027,1,1),DATE(2027,1,1)&lt;='POA — Three year summary'!C5)),'POA — Monthly financial forecas'!E55,"")="",0,IF(IF(AND('POA — Three year summary'!B5&lt;=DATE(2027,1,1),DATE(2027,1,1)&lt;='POA — Three year summary'!C5)="",FALSE,AND('POA — Three year summary'!B5&lt;=DATE(2027,1,1),DATE(2027,1,1)&lt;='POA — Three year summary'!C5)),'POA — Monthly financial forecas'!E55,"")),IF(IF(IF(AND('POA — Three year summary'!B5&lt;=DATE(2027,2,1),DATE(2027,2,1)&lt;='POA — Three year summary'!C5)="",FALSE,AND('POA — Three year summary'!B5&lt;=DATE(2027,2,1),DATE(2027,2,1)&lt;='POA — Three year summary'!C5)),'POA — Monthly financial forecas'!F55,"")="",0,IF(IF(AND('POA — Three year summary'!B5&lt;=DATE(2027,2,1),DATE(2027,2,1)&lt;='POA — Three year summary'!C5)="",FALSE,AND('POA — Three year summary'!B5&lt;=DATE(2027,2,1),DATE(2027,2,1)&lt;='POA — Three year summary'!C5)),'POA — Monthly financial forecas'!F55,"")),IF(IF(IF(AND('POA — Three year summary'!B5&lt;=DATE(2027,3,1),DATE(2027,3,1)&lt;='POA — Three year summary'!C5)="",FALSE,AND('POA — Three year summary'!B5&lt;=DATE(2027,3,1),DATE(2027,3,1)&lt;='POA — Three year summary'!C5)),'POA — Monthly financial forecas'!G55,"")="",0,IF(IF(AND('POA — Three year summary'!B5&lt;=DATE(2027,3,1),DATE(2027,3,1)&lt;='POA — Three year summary'!C5)="",FALSE,AND('POA — Three year summary'!B5&lt;=DATE(2027,3,1),DATE(2027,3,1)&lt;='POA — Three year summary'!C5)),'POA — Monthly financial forecas'!G55,"")),IF(IF(IF(AND('POA — Three year summary'!B5&lt;=DATE(2027,4,1),DATE(2027,4,1)&lt;='POA — Three year summary'!C5)="",FALSE,AND('POA — Three year summary'!B5&lt;=DATE(2027,4,1),DATE(2027,4,1)&lt;='POA — Three year summary'!C5)),'POA — Monthly financial forecas'!H55,"")="",0,IF(IF(AND('POA — Three year summary'!B5&lt;=DATE(2027,4,1),DATE(2027,4,1)&lt;='POA — Three year summary'!C5)="",FALSE,AND('POA — Three year summary'!B5&lt;=DATE(2027,4,1),DATE(2027,4,1)&lt;='POA — Three year summary'!C5)),'POA — Monthly financial forecas'!H55,"")),IF(IF(IF(AND('POA — Three year summary'!B5&lt;=DATE(2027,5,1),DATE(2027,5,1)&lt;='POA — Three year summary'!C5)="",FALSE,AND('POA — Three year summary'!B5&lt;=DATE(2027,5,1),DATE(2027,5,1)&lt;='POA — Three year summary'!C5)),'POA — Monthly financial forecas'!I55,"")="",0,IF(IF(AND('POA — Three year summary'!B5&lt;=DATE(2027,5,1),DATE(2027,5,1)&lt;='POA — Three year summary'!C5)="",FALSE,AND('POA — Three year summary'!B5&lt;=DATE(2027,5,1),DATE(2027,5,1)&lt;='POA — Three year summary'!C5)),'POA — Monthly financial forecas'!I55,"")),IF(IF(IF(AND('POA — Three year summary'!B5&lt;=DATE(2027,6,1),DATE(2027,6,1)&lt;='POA — Three year summary'!C5)="",FALSE,AND('POA — Three year summary'!B5&lt;=DATE(2027,6,1),DATE(2027,6,1)&lt;='POA — Three year summary'!C5)),'POA — Monthly financial forecas'!J55,"")="",0,IF(IF(AND('POA — Three year summary'!B5&lt;=DATE(2027,6,1),DATE(2027,6,1)&lt;='POA — Three year summary'!C5)="",FALSE,AND('POA — Three year summary'!B5&lt;=DATE(2027,6,1),DATE(2027,6,1)&lt;='POA — Three year summary'!C5)),'POA — Monthly financial forecas'!J55,"")),IF(IF(IF(AND('POA — Three year summary'!B5&lt;=DATE(2027,7,1),DATE(2027,7,1)&lt;='POA — Three year summary'!C5)="",FALSE,AND('POA — Three year summary'!B5&lt;=DATE(2027,7,1),DATE(2027,7,1)&lt;='POA — Three year summary'!C5)),'POA — Monthly financial forecas'!K55,"")="",0,IF(IF(AND('POA — Three year summary'!B5&lt;=DATE(2027,7,1),DATE(2027,7,1)&lt;='POA — Three year summary'!C5)="",FALSE,AND('POA — Three year summary'!B5&lt;=DATE(2027,7,1),DATE(2027,7,1)&lt;='POA — Three year summary'!C5)),'POA — Monthly financial forecas'!K55,"")),IF(IF(IF(AND('POA — Three year summary'!B5&lt;=DATE(2027,8,1),DATE(2027,8,1)&lt;='POA — Three year summary'!C5)="",FALSE,AND('POA — Three year summary'!B5&lt;=DATE(2027,8,1),DATE(2027,8,1)&lt;='POA — Three year summary'!C5)),'POA — Monthly financial forecas'!L55,"")="",0,IF(IF(AND('POA — Three year summary'!B5&lt;=DATE(2027,8,1),DATE(2027,8,1)&lt;='POA — Three year summary'!C5)="",FALSE,AND('POA — Three year summary'!B5&lt;=DATE(2027,8,1),DATE(2027,8,1)&lt;='POA — Three year summary'!C5)),'POA — Monthly financial forecas'!L55,"")),IF(IF(IF(AND('POA — Three year summary'!B5&lt;=DATE(2027,9,1),DATE(2027,9,1)&lt;='POA — Three year summary'!C5)="",FALSE,AND('POA — Three year summary'!B5&lt;=DATE(2027,9,1),DATE(2027,9,1)&lt;='POA — Three year summary'!C5)),'POA — Monthly financial forecas'!M55,"")="",0,IF(IF(AND('POA — Three year summary'!B5&lt;=DATE(2027,9,1),DATE(2027,9,1)&lt;='POA — Three year summary'!C5)="",FALSE,AND('POA — Three year summary'!B5&lt;=DATE(2027,9,1),DATE(2027,9,1)&lt;='POA — Three year summary'!C5)),'POA — Monthly financial forecas'!M55,"")),IF(IF(IF(AND('POA — Three year summary'!B5&lt;=DATE(2027,10,1),DATE(2027,10,1)&lt;='POA — Three year summary'!C5)="",FALSE,AND('POA — Three year summary'!B5&lt;=DATE(2027,10,1),DATE(2027,10,1)&lt;='POA — Three year summary'!C5)),'POA — Monthly financial forecas'!N55,"")="",0,IF(IF(AND('POA — Three year summary'!B5&lt;=DATE(2027,10,1),DATE(2027,10,1)&lt;='POA — Three year summary'!C5)="",FALSE,AND('POA — Three year summary'!B5&lt;=DATE(2027,10,1),DATE(2027,10,1)&lt;='POA — Three year summary'!C5)),'POA — Monthly financial forecas'!N55,"")),IF(IF(IF(AND('POA — Three year summary'!B5&lt;=DATE(2027,11,1),DATE(2027,11,1)&lt;='POA — Three year summary'!C5)="",FALSE,AND('POA — Three year summary'!B5&lt;=DATE(2027,11,1),DATE(2027,11,1)&lt;='POA — Three year summary'!C5)),'POA — Monthly financial forecas'!O55,"")="",0,IF(IF(AND('POA — Three year summary'!B5&lt;=DATE(2027,11,1),DATE(2027,11,1)&lt;='POA — Three year summary'!C5)="",FALSE,AND('POA — Three year summary'!B5&lt;=DATE(2027,11,1),DATE(2027,11,1)&lt;='POA — Three year summary'!C5)),'POA — Monthly financial forecas'!O55,"")),IF(IF(IF(AND('POA — Three year summary'!B5&lt;=DATE(2027,12,1),DATE(2027,12,1)&lt;='POA — Three year summary'!C5)="",FALSE,AND('POA — Three year summary'!B5&lt;=DATE(2027,12,1),DATE(2027,12,1)&lt;='POA — Three year summary'!C5)),'POA — Monthly financial forecas'!P55,"")="",0,IF(IF(AND('POA — Three year summary'!B5&lt;=DATE(2027,12,1),DATE(2027,12,1)&lt;='POA — Three year summary'!C5)="",FALSE,AND('POA — Three year summary'!B5&lt;=DATE(2027,12,1),DATE(2027,12,1)&lt;='POA — Three year summary'!C5)),'POA — Monthly financial forecas'!P55,"")))</f>
      </c>
    </row>
    <row r="151">
      <c r="A151" t="inlineStr" s="25">
        <is>
          <t xml:space="preserve">Calculation</t>
        </is>
      </c>
      <c r="B151" s="7">
        <f>SUM(IF(IF(IF(AND('POA — Three year summary'!B5&lt;=DATE(2028,1,1),DATE(2028,1,1)&lt;='POA — Three year summary'!C5)="",FALSE,AND('POA — Three year summary'!B5&lt;=DATE(2028,1,1),DATE(2028,1,1)&lt;='POA — Three year summary'!C5)),'POA — Monthly financial forecas'!Q55,"")="",0,IF(IF(AND('POA — Three year summary'!B5&lt;=DATE(2028,1,1),DATE(2028,1,1)&lt;='POA — Three year summary'!C5)="",FALSE,AND('POA — Three year summary'!B5&lt;=DATE(2028,1,1),DATE(2028,1,1)&lt;='POA — Three year summary'!C5)),'POA — Monthly financial forecas'!Q55,"")),IF(IF(IF(AND('POA — Three year summary'!B5&lt;=DATE(2028,2,1),DATE(2028,2,1)&lt;='POA — Three year summary'!C5)="",FALSE,AND('POA — Three year summary'!B5&lt;=DATE(2028,2,1),DATE(2028,2,1)&lt;='POA — Three year summary'!C5)),'POA — Monthly financial forecas'!R55,"")="",0,IF(IF(AND('POA — Three year summary'!B5&lt;=DATE(2028,2,1),DATE(2028,2,1)&lt;='POA — Three year summary'!C5)="",FALSE,AND('POA — Three year summary'!B5&lt;=DATE(2028,2,1),DATE(2028,2,1)&lt;='POA — Three year summary'!C5)),'POA — Monthly financial forecas'!R55,"")),IF(IF(IF(AND('POA — Three year summary'!B5&lt;=DATE(2028,3,1),DATE(2028,3,1)&lt;='POA — Three year summary'!C5)="",FALSE,AND('POA — Three year summary'!B5&lt;=DATE(2028,3,1),DATE(2028,3,1)&lt;='POA — Three year summary'!C5)),'POA — Monthly financial forecas'!S55,"")="",0,IF(IF(AND('POA — Three year summary'!B5&lt;=DATE(2028,3,1),DATE(2028,3,1)&lt;='POA — Three year summary'!C5)="",FALSE,AND('POA — Three year summary'!B5&lt;=DATE(2028,3,1),DATE(2028,3,1)&lt;='POA — Three year summary'!C5)),'POA — Monthly financial forecas'!S55,"")),IF(IF(IF(AND('POA — Three year summary'!B5&lt;=DATE(2028,4,1),DATE(2028,4,1)&lt;='POA — Three year summary'!C5)="",FALSE,AND('POA — Three year summary'!B5&lt;=DATE(2028,4,1),DATE(2028,4,1)&lt;='POA — Three year summary'!C5)),'POA — Monthly financial forecas'!T55,"")="",0,IF(IF(AND('POA — Three year summary'!B5&lt;=DATE(2028,4,1),DATE(2028,4,1)&lt;='POA — Three year summary'!C5)="",FALSE,AND('POA — Three year summary'!B5&lt;=DATE(2028,4,1),DATE(2028,4,1)&lt;='POA — Three year summary'!C5)),'POA — Monthly financial forecas'!T55,"")),IF(IF(IF(AND('POA — Three year summary'!B5&lt;=DATE(2028,5,1),DATE(2028,5,1)&lt;='POA — Three year summary'!C5)="",FALSE,AND('POA — Three year summary'!B5&lt;=DATE(2028,5,1),DATE(2028,5,1)&lt;='POA — Three year summary'!C5)),'POA — Monthly financial forecas'!U55,"")="",0,IF(IF(AND('POA — Three year summary'!B5&lt;=DATE(2028,5,1),DATE(2028,5,1)&lt;='POA — Three year summary'!C5)="",FALSE,AND('POA — Three year summary'!B5&lt;=DATE(2028,5,1),DATE(2028,5,1)&lt;='POA — Three year summary'!C5)),'POA — Monthly financial forecas'!U55,"")),IF(IF(IF(AND('POA — Three year summary'!B5&lt;=DATE(2028,6,1),DATE(2028,6,1)&lt;='POA — Three year summary'!C5)="",FALSE,AND('POA — Three year summary'!B5&lt;=DATE(2028,6,1),DATE(2028,6,1)&lt;='POA — Three year summary'!C5)),'POA — Monthly financial forecas'!V55,"")="",0,IF(IF(AND('POA — Three year summary'!B5&lt;=DATE(2028,6,1),DATE(2028,6,1)&lt;='POA — Three year summary'!C5)="",FALSE,AND('POA — Three year summary'!B5&lt;=DATE(2028,6,1),DATE(2028,6,1)&lt;='POA — Three year summary'!C5)),'POA — Monthly financial forecas'!V55,"")),IF(IF(IF(AND('POA — Three year summary'!B5&lt;=DATE(2028,7,1),DATE(2028,7,1)&lt;='POA — Three year summary'!C5)="",FALSE,AND('POA — Three year summary'!B5&lt;=DATE(2028,7,1),DATE(2028,7,1)&lt;='POA — Three year summary'!C5)),'POA — Monthly financial forecas'!W55,"")="",0,IF(IF(AND('POA — Three year summary'!B5&lt;=DATE(2028,7,1),DATE(2028,7,1)&lt;='POA — Three year summary'!C5)="",FALSE,AND('POA — Three year summary'!B5&lt;=DATE(2028,7,1),DATE(2028,7,1)&lt;='POA — Three year summary'!C5)),'POA — Monthly financial forecas'!W55,"")),IF(IF(IF(AND('POA — Three year summary'!B5&lt;=DATE(2028,8,1),DATE(2028,8,1)&lt;='POA — Three year summary'!C5)="",FALSE,AND('POA — Three year summary'!B5&lt;=DATE(2028,8,1),DATE(2028,8,1)&lt;='POA — Three year summary'!C5)),'POA — Monthly financial forecas'!X55,"")="",0,IF(IF(AND('POA — Three year summary'!B5&lt;=DATE(2028,8,1),DATE(2028,8,1)&lt;='POA — Three year summary'!C5)="",FALSE,AND('POA — Three year summary'!B5&lt;=DATE(2028,8,1),DATE(2028,8,1)&lt;='POA — Three year summary'!C5)),'POA — Monthly financial forecas'!X55,"")),IF(IF(IF(AND('POA — Three year summary'!B5&lt;=DATE(2028,9,1),DATE(2028,9,1)&lt;='POA — Three year summary'!C5)="",FALSE,AND('POA — Three year summary'!B5&lt;=DATE(2028,9,1),DATE(2028,9,1)&lt;='POA — Three year summary'!C5)),'POA — Monthly financial forecas'!Y55,"")="",0,IF(IF(AND('POA — Three year summary'!B5&lt;=DATE(2028,9,1),DATE(2028,9,1)&lt;='POA — Three year summary'!C5)="",FALSE,AND('POA — Three year summary'!B5&lt;=DATE(2028,9,1),DATE(2028,9,1)&lt;='POA — Three year summary'!C5)),'POA — Monthly financial forecas'!Y55,"")),IF(IF(IF(AND('POA — Three year summary'!B5&lt;=DATE(2028,10,1),DATE(2028,10,1)&lt;='POA — Three year summary'!C5)="",FALSE,AND('POA — Three year summary'!B5&lt;=DATE(2028,10,1),DATE(2028,10,1)&lt;='POA — Three year summary'!C5)),'POA — Monthly financial forecas'!Z55,"")="",0,IF(IF(AND('POA — Three year summary'!B5&lt;=DATE(2028,10,1),DATE(2028,10,1)&lt;='POA — Three year summary'!C5)="",FALSE,AND('POA — Three year summary'!B5&lt;=DATE(2028,10,1),DATE(2028,10,1)&lt;='POA — Three year summary'!C5)),'POA — Monthly financial forecas'!Z55,"")),IF(IF(IF(AND('POA — Three year summary'!B5&lt;=DATE(2028,11,1),DATE(2028,11,1)&lt;='POA — Three year summary'!C5)="",FALSE,AND('POA — Three year summary'!B5&lt;=DATE(2028,11,1),DATE(2028,11,1)&lt;='POA — Three year summary'!C5)),'POA — Monthly financial forecas'!AA55,"")="",0,IF(IF(AND('POA — Three year summary'!B5&lt;=DATE(2028,11,1),DATE(2028,11,1)&lt;='POA — Three year summary'!C5)="",FALSE,AND('POA — Three year summary'!B5&lt;=DATE(2028,11,1),DATE(2028,11,1)&lt;='POA — Three year summary'!C5)),'POA — Monthly financial forecas'!AA55,"")),IF(IF(IF(AND('POA — Three year summary'!B5&lt;=DATE(2028,12,1),DATE(2028,12,1)&lt;='POA — Three year summary'!C5)="",FALSE,AND('POA — Three year summary'!B5&lt;=DATE(2028,12,1),DATE(2028,12,1)&lt;='POA — Three year summary'!C5)),'POA — Monthly financial forecas'!AB55,"")="",0,IF(IF(AND('POA — Three year summary'!B5&lt;=DATE(2028,12,1),DATE(2028,12,1)&lt;='POA — Three year summary'!C5)="",FALSE,AND('POA — Three year summary'!B5&lt;=DATE(2028,12,1),DATE(2028,12,1)&lt;='POA — Three year summary'!C5)),'POA — Monthly financial forecas'!AB55,"")),IF(IF(IF(AND('POA — Three year summary'!B5&lt;=DATE(2029,1,1),DATE(2029,1,1)&lt;='POA — Three year summary'!C5)="",FALSE,AND('POA — Three year summary'!B5&lt;=DATE(2029,1,1),DATE(2029,1,1)&lt;='POA — Three year summary'!C5)),'POA — Monthly financial forecas'!AC55,"")="",0,IF(IF(AND('POA — Three year summary'!B5&lt;=DATE(2029,1,1),DATE(2029,1,1)&lt;='POA — Three year summary'!C5)="",FALSE,AND('POA — Three year summary'!B5&lt;=DATE(2029,1,1),DATE(2029,1,1)&lt;='POA — Three year summary'!C5)),'POA — Monthly financial forecas'!AC55,"")),IF(IF(IF(AND('POA — Three year summary'!B5&lt;=DATE(2029,2,1),DATE(2029,2,1)&lt;='POA — Three year summary'!C5)="",FALSE,AND('POA — Three year summary'!B5&lt;=DATE(2029,2,1),DATE(2029,2,1)&lt;='POA — Three year summary'!C5)),'POA — Monthly financial forecas'!AD55,"")="",0,IF(IF(AND('POA — Three year summary'!B5&lt;=DATE(2029,2,1),DATE(2029,2,1)&lt;='POA — Three year summary'!C5)="",FALSE,AND('POA — Three year summary'!B5&lt;=DATE(2029,2,1),DATE(2029,2,1)&lt;='POA — Three year summary'!C5)),'POA — Monthly financial forecas'!AD55,"")),IF(IF(IF(AND('POA — Three year summary'!B5&lt;=DATE(2029,3,1),DATE(2029,3,1)&lt;='POA — Three year summary'!C5)="",FALSE,AND('POA — Three year summary'!B5&lt;=DATE(2029,3,1),DATE(2029,3,1)&lt;='POA — Three year summary'!C5)),'POA — Monthly financial forecas'!AE55,"")="",0,IF(IF(AND('POA — Three year summary'!B5&lt;=DATE(2029,3,1),DATE(2029,3,1)&lt;='POA — Three year summary'!C5)="",FALSE,AND('POA — Three year summary'!B5&lt;=DATE(2029,3,1),DATE(2029,3,1)&lt;='POA — Three year summary'!C5)),'POA — Monthly financial forecas'!AE55,"")))</f>
      </c>
    </row>
    <row r="152">
      <c r="A152" t="inlineStr" s="25">
        <is>
          <t xml:space="preserve">Calculation</t>
        </is>
      </c>
      <c r="B152" s="7">
        <f>SUM(IF(IF(IF(AND('POA — Three year summary'!B5&lt;=DATE(2029,4,1),DATE(2029,4,1)&lt;='POA — Three year summary'!C5)="",FALSE,AND('POA — Three year summary'!B5&lt;=DATE(2029,4,1),DATE(2029,4,1)&lt;='POA — Three year summary'!C5)),'POA — Monthly financial forecas'!AF55,"")="",0,IF(IF(AND('POA — Three year summary'!B5&lt;=DATE(2029,4,1),DATE(2029,4,1)&lt;='POA — Three year summary'!C5)="",FALSE,AND('POA — Three year summary'!B5&lt;=DATE(2029,4,1),DATE(2029,4,1)&lt;='POA — Three year summary'!C5)),'POA — Monthly financial forecas'!AF55,"")),IF(IF(IF(AND('POA — Three year summary'!B5&lt;=DATE(2029,5,1),DATE(2029,5,1)&lt;='POA — Three year summary'!C5)="",FALSE,AND('POA — Three year summary'!B5&lt;=DATE(2029,5,1),DATE(2029,5,1)&lt;='POA — Three year summary'!C5)),'POA — Monthly financial forecas'!AG55,"")="",0,IF(IF(AND('POA — Three year summary'!B5&lt;=DATE(2029,5,1),DATE(2029,5,1)&lt;='POA — Three year summary'!C5)="",FALSE,AND('POA — Three year summary'!B5&lt;=DATE(2029,5,1),DATE(2029,5,1)&lt;='POA — Three year summary'!C5)),'POA — Monthly financial forecas'!AG55,"")),IF(IF(IF(AND('POA — Three year summary'!B5&lt;=DATE(2029,6,1),DATE(2029,6,1)&lt;='POA — Three year summary'!C5)="",FALSE,AND('POA — Three year summary'!B5&lt;=DATE(2029,6,1),DATE(2029,6,1)&lt;='POA — Three year summary'!C5)),'POA — Monthly financial forecas'!AH55,"")="",0,IF(IF(AND('POA — Three year summary'!B5&lt;=DATE(2029,6,1),DATE(2029,6,1)&lt;='POA — Three year summary'!C5)="",FALSE,AND('POA — Three year summary'!B5&lt;=DATE(2029,6,1),DATE(2029,6,1)&lt;='POA — Three year summary'!C5)),'POA — Monthly financial forecas'!AH55,"")),IF(IF(IF(AND('POA — Three year summary'!B5&lt;=DATE(2029,7,1),DATE(2029,7,1)&lt;='POA — Three year summary'!C5)="",FALSE,AND('POA — Three year summary'!B5&lt;=DATE(2029,7,1),DATE(2029,7,1)&lt;='POA — Three year summary'!C5)),'POA — Monthly financial forecas'!AI55,"")="",0,IF(IF(AND('POA — Three year summary'!B5&lt;=DATE(2029,7,1),DATE(2029,7,1)&lt;='POA — Three year summary'!C5)="",FALSE,AND('POA — Three year summary'!B5&lt;=DATE(2029,7,1),DATE(2029,7,1)&lt;='POA — Three year summary'!C5)),'POA — Monthly financial forecas'!AI55,"")),IF(IF(IF(AND('POA — Three year summary'!B5&lt;=DATE(2029,8,1),DATE(2029,8,1)&lt;='POA — Three year summary'!C5)="",FALSE,AND('POA — Three year summary'!B5&lt;=DATE(2029,8,1),DATE(2029,8,1)&lt;='POA — Three year summary'!C5)),'POA — Monthly financial forecas'!AJ55,"")="",0,IF(IF(AND('POA — Three year summary'!B5&lt;=DATE(2029,8,1),DATE(2029,8,1)&lt;='POA — Three year summary'!C5)="",FALSE,AND('POA — Three year summary'!B5&lt;=DATE(2029,8,1),DATE(2029,8,1)&lt;='POA — Three year summary'!C5)),'POA — Monthly financial forecas'!AJ55,"")),IF(IF(IF(AND('POA — Three year summary'!B5&lt;=DATE(2029,9,1),DATE(2029,9,1)&lt;='POA — Three year summary'!C5)="",FALSE,AND('POA — Three year summary'!B5&lt;=DATE(2029,9,1),DATE(2029,9,1)&lt;='POA — Three year summary'!C5)),'POA — Monthly financial forecas'!AK55,"")="",0,IF(IF(AND('POA — Three year summary'!B5&lt;=DATE(2029,9,1),DATE(2029,9,1)&lt;='POA — Three year summary'!C5)="",FALSE,AND('POA — Three year summary'!B5&lt;=DATE(2029,9,1),DATE(2029,9,1)&lt;='POA — Three year summary'!C5)),'POA — Monthly financial forecas'!AK55,"")),IF(IF(IF(AND('POA — Three year summary'!B5&lt;=DATE(2026,9,1),DATE(2026,9,1)&lt;='POA — Three year summary'!C5)="",FALSE,AND('POA — Three year summary'!B5&lt;=DATE(2026,9,1),DATE(2026,9,1)&lt;='POA — Three year summary'!C5)),'Model inputs'!B45,"")="",0,IF(IF(AND('POA — Three year summary'!B5&lt;=DATE(2026,9,1),DATE(2026,9,1)&lt;='POA — Three year summary'!C5)="",FALSE,AND('POA — Three year summary'!B5&lt;=DATE(2026,9,1),DATE(2026,9,1)&lt;='POA — Three year summary'!C5)),'Model inputs'!B45,"")))</f>
      </c>
    </row>
    <row r="153">
      <c r="A153" t="inlineStr" s="25">
        <is>
          <t xml:space="preserve">Calculation</t>
        </is>
      </c>
      <c r="B153">
        <f>IF(IF(DATE(2026,10,1)='POA — Three year summary'!C5="",FALSE,DATE(2026,10,1)='POA — Three year summary'!C5),IF('POA — Monthly financial forecas'!B63="","",'POA — Monthly financial forecas'!B63),"")</f>
      </c>
    </row>
    <row r="154">
      <c r="A154" t="inlineStr" s="25">
        <is>
          <t xml:space="preserve">Calculation</t>
        </is>
      </c>
      <c r="B154">
        <f>IF(IF(DATE(2026,11,1)='POA — Three year summary'!C5="",FALSE,DATE(2026,11,1)='POA — Three year summary'!C5),IF('POA — Monthly financial forecas'!C63="","",'POA — Monthly financial forecas'!C63),"")</f>
      </c>
    </row>
    <row r="155">
      <c r="A155" t="inlineStr" s="25">
        <is>
          <t xml:space="preserve">Calculation</t>
        </is>
      </c>
      <c r="B155">
        <f>IF(IF(DATE(2026,12,1)='POA — Three year summary'!C5="",FALSE,DATE(2026,12,1)='POA — Three year summary'!C5),IF('POA — Monthly financial forecas'!D63="","",'POA — Monthly financial forecas'!D63),"")</f>
      </c>
    </row>
    <row r="156">
      <c r="A156" t="inlineStr" s="25">
        <is>
          <t xml:space="preserve">Calculation</t>
        </is>
      </c>
      <c r="B156">
        <f>IF(IF(DATE(2027,1,1)='POA — Three year summary'!C5="",FALSE,DATE(2027,1,1)='POA — Three year summary'!C5),IF('POA — Monthly financial forecas'!E63="","",'POA — Monthly financial forecas'!E63),"")</f>
      </c>
    </row>
    <row r="157">
      <c r="A157" t="inlineStr" s="25">
        <is>
          <t xml:space="preserve">Calculation</t>
        </is>
      </c>
      <c r="B157">
        <f>IF(IF(DATE(2027,2,1)='POA — Three year summary'!C5="",FALSE,DATE(2027,2,1)='POA — Three year summary'!C5),IF('POA — Monthly financial forecas'!F63="","",'POA — Monthly financial forecas'!F63),"")</f>
      </c>
    </row>
    <row r="158">
      <c r="A158" t="inlineStr" s="25">
        <is>
          <t xml:space="preserve">Calculation</t>
        </is>
      </c>
      <c r="B158">
        <f>IF(IF(DATE(2027,3,1)='POA — Three year summary'!C5="",FALSE,DATE(2027,3,1)='POA — Three year summary'!C5),IF('POA — Monthly financial forecas'!G63="","",'POA — Monthly financial forecas'!G63),"")</f>
      </c>
    </row>
    <row r="159">
      <c r="A159" t="inlineStr" s="25">
        <is>
          <t xml:space="preserve">Calculation</t>
        </is>
      </c>
      <c r="B159">
        <f>IF(IF(DATE(2027,4,1)='POA — Three year summary'!C5="",FALSE,DATE(2027,4,1)='POA — Three year summary'!C5),IF('POA — Monthly financial forecas'!H63="","",'POA — Monthly financial forecas'!H63),"")</f>
      </c>
    </row>
    <row r="160">
      <c r="A160" t="inlineStr" s="25">
        <is>
          <t xml:space="preserve">Calculation</t>
        </is>
      </c>
      <c r="B160">
        <f>IF(IF(DATE(2027,5,1)='POA — Three year summary'!C5="",FALSE,DATE(2027,5,1)='POA — Three year summary'!C5),IF('POA — Monthly financial forecas'!I63="","",'POA — Monthly financial forecas'!I63),"")</f>
      </c>
    </row>
    <row r="161">
      <c r="A161" t="inlineStr" s="25">
        <is>
          <t xml:space="preserve">Calculation</t>
        </is>
      </c>
      <c r="B161">
        <f>IF(IF(DATE(2027,6,1)='POA — Three year summary'!C5="",FALSE,DATE(2027,6,1)='POA — Three year summary'!C5),IF('POA — Monthly financial forecas'!J63="","",'POA — Monthly financial forecas'!J63),"")</f>
      </c>
    </row>
    <row r="162">
      <c r="A162" t="inlineStr" s="25">
        <is>
          <t xml:space="preserve">Calculation</t>
        </is>
      </c>
      <c r="B162">
        <f>IF(IF(DATE(2027,7,1)='POA — Three year summary'!C5="",FALSE,DATE(2027,7,1)='POA — Three year summary'!C5),IF('POA — Monthly financial forecas'!K63="","",'POA — Monthly financial forecas'!K63),"")</f>
      </c>
    </row>
    <row r="163">
      <c r="A163" t="inlineStr" s="25">
        <is>
          <t xml:space="preserve">Calculation</t>
        </is>
      </c>
      <c r="B163">
        <f>IF(IF(DATE(2027,8,1)='POA — Three year summary'!C5="",FALSE,DATE(2027,8,1)='POA — Three year summary'!C5),IF('POA — Monthly financial forecas'!L63="","",'POA — Monthly financial forecas'!L63),"")</f>
      </c>
    </row>
    <row r="164">
      <c r="A164" t="inlineStr" s="25">
        <is>
          <t xml:space="preserve">Calculation</t>
        </is>
      </c>
      <c r="B164">
        <f>IF(IF(DATE(2027,9,1)='POA — Three year summary'!C5="",FALSE,DATE(2027,9,1)='POA — Three year summary'!C5),IF('POA — Monthly financial forecas'!M63="","",'POA — Monthly financial forecas'!M63),"")</f>
      </c>
    </row>
    <row r="165">
      <c r="A165" t="inlineStr" s="25">
        <is>
          <t xml:space="preserve">Calculation</t>
        </is>
      </c>
      <c r="B165">
        <f>IF(IF(DATE(2027,10,1)='POA — Three year summary'!C5="",FALSE,DATE(2027,10,1)='POA — Three year summary'!C5),IF('POA — Monthly financial forecas'!N63="","",'POA — Monthly financial forecas'!N63),"")</f>
      </c>
    </row>
    <row r="166">
      <c r="A166" t="inlineStr" s="25">
        <is>
          <t xml:space="preserve">Calculation</t>
        </is>
      </c>
      <c r="B166">
        <f>IF(IF(DATE(2027,11,1)='POA — Three year summary'!C5="",FALSE,DATE(2027,11,1)='POA — Three year summary'!C5),IF('POA — Monthly financial forecas'!O63="","",'POA — Monthly financial forecas'!O63),"")</f>
      </c>
    </row>
    <row r="167">
      <c r="A167" t="inlineStr" s="25">
        <is>
          <t xml:space="preserve">Calculation</t>
        </is>
      </c>
      <c r="B167">
        <f>IF(IF(DATE(2027,12,1)='POA — Three year summary'!C5="",FALSE,DATE(2027,12,1)='POA — Three year summary'!C5),IF('POA — Monthly financial forecas'!P63="","",'POA — Monthly financial forecas'!P63),"")</f>
      </c>
    </row>
    <row r="168">
      <c r="A168" t="inlineStr" s="25">
        <is>
          <t xml:space="preserve">Calculation</t>
        </is>
      </c>
      <c r="B168">
        <f>IF(IF(DATE(2028,1,1)='POA — Three year summary'!C5="",FALSE,DATE(2028,1,1)='POA — Three year summary'!C5),IF('POA — Monthly financial forecas'!Q63="","",'POA — Monthly financial forecas'!Q63),"")</f>
      </c>
    </row>
    <row r="169">
      <c r="A169" t="inlineStr" s="25">
        <is>
          <t xml:space="preserve">Calculation</t>
        </is>
      </c>
      <c r="B169">
        <f>IF(IF(DATE(2028,2,1)='POA — Three year summary'!C5="",FALSE,DATE(2028,2,1)='POA — Three year summary'!C5),IF('POA — Monthly financial forecas'!R63="","",'POA — Monthly financial forecas'!R63),"")</f>
      </c>
    </row>
    <row r="170">
      <c r="A170" t="inlineStr" s="25">
        <is>
          <t xml:space="preserve">Calculation</t>
        </is>
      </c>
      <c r="B170">
        <f>IF(IF(DATE(2028,3,1)='POA — Three year summary'!C5="",FALSE,DATE(2028,3,1)='POA — Three year summary'!C5),IF('POA — Monthly financial forecas'!S63="","",'POA — Monthly financial forecas'!S63),"")</f>
      </c>
    </row>
    <row r="171">
      <c r="A171" t="inlineStr" s="25">
        <is>
          <t xml:space="preserve">Calculation</t>
        </is>
      </c>
      <c r="B171">
        <f>IF(IF(DATE(2028,4,1)='POA — Three year summary'!C5="",FALSE,DATE(2028,4,1)='POA — Three year summary'!C5),IF('POA — Monthly financial forecas'!T63="","",'POA — Monthly financial forecas'!T63),"")</f>
      </c>
    </row>
    <row r="172">
      <c r="A172" t="inlineStr" s="25">
        <is>
          <t xml:space="preserve">Calculation</t>
        </is>
      </c>
      <c r="B172">
        <f>IF(IF(DATE(2028,5,1)='POA — Three year summary'!C5="",FALSE,DATE(2028,5,1)='POA — Three year summary'!C5),IF('POA — Monthly financial forecas'!U63="","",'POA — Monthly financial forecas'!U63),"")</f>
      </c>
    </row>
    <row r="173">
      <c r="A173" t="inlineStr" s="25">
        <is>
          <t xml:space="preserve">Calculation</t>
        </is>
      </c>
      <c r="B173">
        <f>IF(IF(DATE(2028,6,1)='POA — Three year summary'!C5="",FALSE,DATE(2028,6,1)='POA — Three year summary'!C5),IF('POA — Monthly financial forecas'!V63="","",'POA — Monthly financial forecas'!V63),"")</f>
      </c>
    </row>
    <row r="174">
      <c r="A174" t="inlineStr" s="25">
        <is>
          <t xml:space="preserve">Calculation</t>
        </is>
      </c>
      <c r="B174">
        <f>IF(IF(DATE(2028,7,1)='POA — Three year summary'!C5="",FALSE,DATE(2028,7,1)='POA — Three year summary'!C5),IF('POA — Monthly financial forecas'!W63="","",'POA — Monthly financial forecas'!W63),"")</f>
      </c>
    </row>
    <row r="175">
      <c r="A175" t="inlineStr" s="25">
        <is>
          <t xml:space="preserve">Calculation</t>
        </is>
      </c>
      <c r="B175">
        <f>IF(IF(DATE(2028,8,1)='POA — Three year summary'!C5="",FALSE,DATE(2028,8,1)='POA — Three year summary'!C5),IF('POA — Monthly financial forecas'!X63="","",'POA — Monthly financial forecas'!X63),"")</f>
      </c>
    </row>
    <row r="176">
      <c r="A176" t="inlineStr" s="25">
        <is>
          <t xml:space="preserve">Calculation</t>
        </is>
      </c>
      <c r="B176">
        <f>IF(IF(DATE(2028,9,1)='POA — Three year summary'!C5="",FALSE,DATE(2028,9,1)='POA — Three year summary'!C5),IF('POA — Monthly financial forecas'!Y63="","",'POA — Monthly financial forecas'!Y63),"")</f>
      </c>
    </row>
    <row r="177">
      <c r="A177" t="inlineStr" s="25">
        <is>
          <t xml:space="preserve">Calculation</t>
        </is>
      </c>
      <c r="B177">
        <f>IF(IF(DATE(2028,10,1)='POA — Three year summary'!C5="",FALSE,DATE(2028,10,1)='POA — Three year summary'!C5),IF('POA — Monthly financial forecas'!Z63="","",'POA — Monthly financial forecas'!Z63),"")</f>
      </c>
    </row>
    <row r="178">
      <c r="A178" t="inlineStr" s="25">
        <is>
          <t xml:space="preserve">Calculation</t>
        </is>
      </c>
      <c r="B178">
        <f>IF(IF(DATE(2028,11,1)='POA — Three year summary'!C5="",FALSE,DATE(2028,11,1)='POA — Three year summary'!C5),IF('POA — Monthly financial forecas'!AA63="","",'POA — Monthly financial forecas'!AA63),"")</f>
      </c>
    </row>
    <row r="179">
      <c r="A179" t="inlineStr" s="25">
        <is>
          <t xml:space="preserve">Calculation</t>
        </is>
      </c>
      <c r="B179">
        <f>IF(IF(DATE(2028,12,1)='POA — Three year summary'!C5="",FALSE,DATE(2028,12,1)='POA — Three year summary'!C5),IF('POA — Monthly financial forecas'!AB63="","",'POA — Monthly financial forecas'!AB63),"")</f>
      </c>
    </row>
    <row r="180">
      <c r="A180" t="inlineStr" s="25">
        <is>
          <t xml:space="preserve">Calculation</t>
        </is>
      </c>
      <c r="B180">
        <f>IF(IF(DATE(2029,1,1)='POA — Three year summary'!C5="",FALSE,DATE(2029,1,1)='POA — Three year summary'!C5),IF('POA — Monthly financial forecas'!AC63="","",'POA — Monthly financial forecas'!AC63),"")</f>
      </c>
    </row>
    <row r="181">
      <c r="A181" t="inlineStr" s="25">
        <is>
          <t xml:space="preserve">Calculation</t>
        </is>
      </c>
      <c r="B181">
        <f>IF(IF(DATE(2029,2,1)='POA — Three year summary'!C5="",FALSE,DATE(2029,2,1)='POA — Three year summary'!C5),IF('POA — Monthly financial forecas'!AD63="","",'POA — Monthly financial forecas'!AD63),"")</f>
      </c>
    </row>
    <row r="182">
      <c r="A182" t="inlineStr" s="25">
        <is>
          <t xml:space="preserve">Calculation</t>
        </is>
      </c>
      <c r="B182">
        <f>IF(IF(DATE(2029,3,1)='POA — Three year summary'!C5="",FALSE,DATE(2029,3,1)='POA — Three year summary'!C5),IF('POA — Monthly financial forecas'!AE63="","",'POA — Monthly financial forecas'!AE63),"")</f>
      </c>
    </row>
    <row r="183">
      <c r="A183" t="inlineStr" s="25">
        <is>
          <t xml:space="preserve">Calculation</t>
        </is>
      </c>
      <c r="B183">
        <f>IF(IF(DATE(2029,4,1)='POA — Three year summary'!C5="",FALSE,DATE(2029,4,1)='POA — Three year summary'!C5),IF('POA — Monthly financial forecas'!AF63="","",'POA — Monthly financial forecas'!AF63),"")</f>
      </c>
    </row>
    <row r="184">
      <c r="A184" t="inlineStr" s="25">
        <is>
          <t xml:space="preserve">Calculation</t>
        </is>
      </c>
      <c r="B184">
        <f>IF(IF(DATE(2029,5,1)='POA — Three year summary'!C5="",FALSE,DATE(2029,5,1)='POA — Three year summary'!C5),IF('POA — Monthly financial forecas'!AG63="","",'POA — Monthly financial forecas'!AG63),"")</f>
      </c>
    </row>
    <row r="185">
      <c r="A185" t="inlineStr" s="25">
        <is>
          <t xml:space="preserve">Calculation</t>
        </is>
      </c>
      <c r="B185">
        <f>IF(IF(DATE(2029,6,1)='POA — Three year summary'!C5="",FALSE,DATE(2029,6,1)='POA — Three year summary'!C5),IF('POA — Monthly financial forecas'!AH63="","",'POA — Monthly financial forecas'!AH63),"")</f>
      </c>
    </row>
    <row r="186">
      <c r="A186" t="inlineStr" s="25">
        <is>
          <t xml:space="preserve">Calculation</t>
        </is>
      </c>
      <c r="B186">
        <f>IF(IF(DATE(2029,7,1)='POA — Three year summary'!C5="",FALSE,DATE(2029,7,1)='POA — Three year summary'!C5),IF('POA — Monthly financial forecas'!AI63="","",'POA — Monthly financial forecas'!AI63),"")</f>
      </c>
    </row>
    <row r="187">
      <c r="A187" t="inlineStr" s="25">
        <is>
          <t xml:space="preserve">Calculation</t>
        </is>
      </c>
      <c r="B187">
        <f>IF(IF(DATE(2029,8,1)='POA — Three year summary'!C5="",FALSE,DATE(2029,8,1)='POA — Three year summary'!C5),IF('POA — Monthly financial forecas'!AJ63="","",'POA — Monthly financial forecas'!AJ63),"")</f>
      </c>
    </row>
    <row r="188">
      <c r="A188" t="inlineStr" s="25">
        <is>
          <t xml:space="preserve">Calculation</t>
        </is>
      </c>
      <c r="B188">
        <f>IF(IF(DATE(2029,9,1)='POA — Three year summary'!C5="",FALSE,DATE(2029,9,1)='POA — Three year summary'!C5),IF('POA — Monthly financial forecas'!AK63="","",'POA — Monthly financial forecas'!AK63),"")</f>
      </c>
    </row>
    <row r="189">
      <c r="A189" t="inlineStr" s="25">
        <is>
          <t xml:space="preserve">Calculation</t>
        </is>
      </c>
      <c r="B189">
        <f>IF(IF(DATE(2026,9,1)='POA — Three year summary'!C5="",FALSE,DATE(2026,9,1)='POA — Three year summary'!C5),IF('Model inputs'!B34="","",'Model inputs'!B34),"")</f>
      </c>
    </row>
    <row r="190">
      <c r="A190" t="inlineStr" s="25">
        <is>
          <t xml:space="preserve">Calculation</t>
        </is>
      </c>
      <c r="B190">
        <f>SUM(IF(IF('Model inputs'!B153="",0,1)="",0,IF('Model inputs'!B153="",0,1)),IF(IF('Model inputs'!B154="",0,1)="",0,IF('Model inputs'!B154="",0,1)),IF(IF('Model inputs'!B155="",0,1)="",0,IF('Model inputs'!B155="",0,1)),IF(IF('Model inputs'!B156="",0,1)="",0,IF('Model inputs'!B156="",0,1)),IF(IF('Model inputs'!B157="",0,1)="",0,IF('Model inputs'!B157="",0,1)),IF(IF('Model inputs'!B158="",0,1)="",0,IF('Model inputs'!B158="",0,1)),IF(IF('Model inputs'!B159="",0,1)="",0,IF('Model inputs'!B159="",0,1)),IF(IF('Model inputs'!B160="",0,1)="",0,IF('Model inputs'!B160="",0,1)),IF(IF('Model inputs'!B161="",0,1)="",0,IF('Model inputs'!B161="",0,1)),IF(IF('Model inputs'!B162="",0,1)="",0,IF('Model inputs'!B162="",0,1)),IF(IF('Model inputs'!B163="",0,1)="",0,IF('Model inputs'!B163="",0,1)),IF(IF('Model inputs'!B164="",0,1)="",0,IF('Model inputs'!B164="",0,1)),IF(IF('Model inputs'!B165="",0,1)="",0,IF('Model inputs'!B165="",0,1)),IF(IF('Model inputs'!B166="",0,1)="",0,IF('Model inputs'!B166="",0,1)),IF(IF('Model inputs'!B167="",0,1)="",0,IF('Model inputs'!B167="",0,1)),IF(IF('Model inputs'!B168="",0,1)="",0,IF('Model inputs'!B168="",0,1)),IF(IF('Model inputs'!B169="",0,1)="",0,IF('Model inputs'!B169="",0,1)),IF(IF('Model inputs'!B170="",0,1)="",0,IF('Model inputs'!B170="",0,1)),IF(IF('Model inputs'!B171="",0,1)="",0,IF('Model inputs'!B171="",0,1)),IF(IF('Model inputs'!B172="",0,1)="",0,IF('Model inputs'!B172="",0,1)),IF(IF('Model inputs'!B173="",0,1)="",0,IF('Model inputs'!B173="",0,1)),IF(IF('Model inputs'!B174="",0,1)="",0,IF('Model inputs'!B174="",0,1)),IF(IF('Model inputs'!B175="",0,1)="",0,IF('Model inputs'!B175="",0,1)),IF(IF('Model inputs'!B176="",0,1)="",0,IF('Model inputs'!B176="",0,1)),IF(IF('Model inputs'!B177="",0,1)="",0,IF('Model inputs'!B177="",0,1)),IF(IF('Model inputs'!B178="",0,1)="",0,IF('Model inputs'!B178="",0,1)),IF(IF('Model inputs'!B179="",0,1)="",0,IF('Model inputs'!B179="",0,1)),IF(IF('Model inputs'!B180="",0,1)="",0,IF('Model inputs'!B180="",0,1)),IF(IF('Model inputs'!B181="",0,1)="",0,IF('Model inputs'!B181="",0,1)),IF(IF('Model inputs'!B182="",0,1)="",0,IF('Model inputs'!B182="",0,1)),IF(IF('Model inputs'!B183="",0,1)="",0,IF('Model inputs'!B183="",0,1)),IF(IF('Model inputs'!B184="",0,1)="",0,IF('Model inputs'!B184="",0,1)),IF(IF('Model inputs'!B185="",0,1)="",0,IF('Model inputs'!B185="",0,1)),IF(IF('Model inputs'!B186="",0,1)="",0,IF('Model inputs'!B186="",0,1)),IF(IF('Model inputs'!B187="",0,1)="",0,IF('Model inputs'!B187="",0,1)),IF(IF('Model inputs'!B188="",0,1)="",0,IF('Model inputs'!B188="",0,1)),IF(IF('Model inputs'!B189="",0,1)="",0,IF('Model inputs'!B189="",0,1)))</f>
      </c>
    </row>
    <row r="191">
      <c r="A191" t="inlineStr" s="25">
        <is>
          <t xml:space="preserve">Calculation</t>
        </is>
      </c>
      <c r="B191">
        <f>IF(IF(DATE(2026,10,1)='POA — Three year summary'!C5="",FALSE,DATE(2026,10,1)='POA — Three year summary'!C5),IF('POA — Monthly financial forecas'!B7="","",'POA — Monthly financial forecas'!B7),"")</f>
      </c>
    </row>
    <row r="192">
      <c r="A192" t="inlineStr" s="25">
        <is>
          <t xml:space="preserve">Calculation</t>
        </is>
      </c>
      <c r="B192">
        <f>IF(IF(DATE(2026,11,1)='POA — Three year summary'!C5="",FALSE,DATE(2026,11,1)='POA — Three year summary'!C5),IF('POA — Monthly financial forecas'!C7="","",'POA — Monthly financial forecas'!C7),"")</f>
      </c>
    </row>
    <row r="193">
      <c r="A193" t="inlineStr" s="25">
        <is>
          <t xml:space="preserve">Calculation</t>
        </is>
      </c>
      <c r="B193">
        <f>IF(IF(DATE(2026,12,1)='POA — Three year summary'!C5="",FALSE,DATE(2026,12,1)='POA — Three year summary'!C5),IF('POA — Monthly financial forecas'!D7="","",'POA — Monthly financial forecas'!D7),"")</f>
      </c>
    </row>
    <row r="194">
      <c r="A194" t="inlineStr" s="25">
        <is>
          <t xml:space="preserve">Calculation</t>
        </is>
      </c>
      <c r="B194">
        <f>IF(IF(DATE(2027,1,1)='POA — Three year summary'!C5="",FALSE,DATE(2027,1,1)='POA — Three year summary'!C5),IF('POA — Monthly financial forecas'!E7="","",'POA — Monthly financial forecas'!E7),"")</f>
      </c>
    </row>
    <row r="195">
      <c r="A195" t="inlineStr" s="25">
        <is>
          <t xml:space="preserve">Calculation</t>
        </is>
      </c>
      <c r="B195">
        <f>IF(IF(DATE(2027,2,1)='POA — Three year summary'!C5="",FALSE,DATE(2027,2,1)='POA — Three year summary'!C5),IF('POA — Monthly financial forecas'!F7="","",'POA — Monthly financial forecas'!F7),"")</f>
      </c>
    </row>
    <row r="196">
      <c r="A196" t="inlineStr" s="25">
        <is>
          <t xml:space="preserve">Calculation</t>
        </is>
      </c>
      <c r="B196">
        <f>IF(IF(DATE(2027,3,1)='POA — Three year summary'!C5="",FALSE,DATE(2027,3,1)='POA — Three year summary'!C5),IF('POA — Monthly financial forecas'!G7="","",'POA — Monthly financial forecas'!G7),"")</f>
      </c>
    </row>
    <row r="197">
      <c r="A197" t="inlineStr" s="25">
        <is>
          <t xml:space="preserve">Calculation</t>
        </is>
      </c>
      <c r="B197">
        <f>IF(IF(DATE(2027,4,1)='POA — Three year summary'!C5="",FALSE,DATE(2027,4,1)='POA — Three year summary'!C5),IF('POA — Monthly financial forecas'!H7="","",'POA — Monthly financial forecas'!H7),"")</f>
      </c>
    </row>
    <row r="198">
      <c r="A198" t="inlineStr" s="25">
        <is>
          <t xml:space="preserve">Calculation</t>
        </is>
      </c>
      <c r="B198">
        <f>IF(IF(DATE(2027,5,1)='POA — Three year summary'!C5="",FALSE,DATE(2027,5,1)='POA — Three year summary'!C5),IF('POA — Monthly financial forecas'!I7="","",'POA — Monthly financial forecas'!I7),"")</f>
      </c>
    </row>
    <row r="199">
      <c r="A199" t="inlineStr" s="25">
        <is>
          <t xml:space="preserve">Calculation</t>
        </is>
      </c>
      <c r="B199">
        <f>IF(IF(DATE(2027,6,1)='POA — Three year summary'!C5="",FALSE,DATE(2027,6,1)='POA — Three year summary'!C5),IF('POA — Monthly financial forecas'!J7="","",'POA — Monthly financial forecas'!J7),"")</f>
      </c>
    </row>
    <row r="200">
      <c r="A200" t="inlineStr" s="25">
        <is>
          <t xml:space="preserve">Calculation</t>
        </is>
      </c>
      <c r="B200">
        <f>IF(IF(DATE(2027,7,1)='POA — Three year summary'!C5="",FALSE,DATE(2027,7,1)='POA — Three year summary'!C5),IF('POA — Monthly financial forecas'!K7="","",'POA — Monthly financial forecas'!K7),"")</f>
      </c>
    </row>
    <row r="201">
      <c r="A201" t="inlineStr" s="25">
        <is>
          <t xml:space="preserve">Calculation</t>
        </is>
      </c>
      <c r="B201">
        <f>IF(IF(DATE(2027,8,1)='POA — Three year summary'!C5="",FALSE,DATE(2027,8,1)='POA — Three year summary'!C5),IF('POA — Monthly financial forecas'!L7="","",'POA — Monthly financial forecas'!L7),"")</f>
      </c>
    </row>
    <row r="202">
      <c r="A202" t="inlineStr" s="25">
        <is>
          <t xml:space="preserve">Calculation</t>
        </is>
      </c>
      <c r="B202">
        <f>IF(IF(DATE(2027,9,1)='POA — Three year summary'!C5="",FALSE,DATE(2027,9,1)='POA — Three year summary'!C5),IF('POA — Monthly financial forecas'!M7="","",'POA — Monthly financial forecas'!M7),"")</f>
      </c>
    </row>
    <row r="203">
      <c r="A203" t="inlineStr" s="25">
        <is>
          <t xml:space="preserve">Calculation</t>
        </is>
      </c>
      <c r="B203">
        <f>IF(IF(DATE(2027,10,1)='POA — Three year summary'!C5="",FALSE,DATE(2027,10,1)='POA — Three year summary'!C5),IF('POA — Monthly financial forecas'!N7="","",'POA — Monthly financial forecas'!N7),"")</f>
      </c>
    </row>
    <row r="204">
      <c r="A204" t="inlineStr" s="25">
        <is>
          <t xml:space="preserve">Calculation</t>
        </is>
      </c>
      <c r="B204">
        <f>IF(IF(DATE(2027,11,1)='POA — Three year summary'!C5="",FALSE,DATE(2027,11,1)='POA — Three year summary'!C5),IF('POA — Monthly financial forecas'!O7="","",'POA — Monthly financial forecas'!O7),"")</f>
      </c>
    </row>
    <row r="205">
      <c r="A205" t="inlineStr" s="25">
        <is>
          <t xml:space="preserve">Calculation</t>
        </is>
      </c>
      <c r="B205">
        <f>IF(IF(DATE(2027,12,1)='POA — Three year summary'!C5="",FALSE,DATE(2027,12,1)='POA — Three year summary'!C5),IF('POA — Monthly financial forecas'!P7="","",'POA — Monthly financial forecas'!P7),"")</f>
      </c>
    </row>
    <row r="206">
      <c r="A206" t="inlineStr" s="25">
        <is>
          <t xml:space="preserve">Calculation</t>
        </is>
      </c>
      <c r="B206">
        <f>IF(IF(DATE(2028,1,1)='POA — Three year summary'!C5="",FALSE,DATE(2028,1,1)='POA — Three year summary'!C5),IF('POA — Monthly financial forecas'!Q7="","",'POA — Monthly financial forecas'!Q7),"")</f>
      </c>
    </row>
    <row r="207">
      <c r="A207" t="inlineStr" s="25">
        <is>
          <t xml:space="preserve">Calculation</t>
        </is>
      </c>
      <c r="B207">
        <f>IF(IF(DATE(2028,2,1)='POA — Three year summary'!C5="",FALSE,DATE(2028,2,1)='POA — Three year summary'!C5),IF('POA — Monthly financial forecas'!R7="","",'POA — Monthly financial forecas'!R7),"")</f>
      </c>
    </row>
    <row r="208">
      <c r="A208" t="inlineStr" s="25">
        <is>
          <t xml:space="preserve">Calculation</t>
        </is>
      </c>
      <c r="B208">
        <f>IF(IF(DATE(2028,3,1)='POA — Three year summary'!C5="",FALSE,DATE(2028,3,1)='POA — Three year summary'!C5),IF('POA — Monthly financial forecas'!S7="","",'POA — Monthly financial forecas'!S7),"")</f>
      </c>
    </row>
    <row r="209">
      <c r="A209" t="inlineStr" s="25">
        <is>
          <t xml:space="preserve">Calculation</t>
        </is>
      </c>
      <c r="B209">
        <f>IF(IF(DATE(2028,4,1)='POA — Three year summary'!C5="",FALSE,DATE(2028,4,1)='POA — Three year summary'!C5),IF('POA — Monthly financial forecas'!T7="","",'POA — Monthly financial forecas'!T7),"")</f>
      </c>
    </row>
    <row r="210">
      <c r="A210" t="inlineStr" s="25">
        <is>
          <t xml:space="preserve">Calculation</t>
        </is>
      </c>
      <c r="B210">
        <f>IF(IF(DATE(2028,5,1)='POA — Three year summary'!C5="",FALSE,DATE(2028,5,1)='POA — Three year summary'!C5),IF('POA — Monthly financial forecas'!U7="","",'POA — Monthly financial forecas'!U7),"")</f>
      </c>
    </row>
    <row r="211">
      <c r="A211" t="inlineStr" s="25">
        <is>
          <t xml:space="preserve">Calculation</t>
        </is>
      </c>
      <c r="B211">
        <f>IF(IF(DATE(2028,6,1)='POA — Three year summary'!C5="",FALSE,DATE(2028,6,1)='POA — Three year summary'!C5),IF('POA — Monthly financial forecas'!V7="","",'POA — Monthly financial forecas'!V7),"")</f>
      </c>
    </row>
    <row r="212">
      <c r="A212" t="inlineStr" s="25">
        <is>
          <t xml:space="preserve">Calculation</t>
        </is>
      </c>
      <c r="B212">
        <f>IF(IF(DATE(2028,7,1)='POA — Three year summary'!C5="",FALSE,DATE(2028,7,1)='POA — Three year summary'!C5),IF('POA — Monthly financial forecas'!W7="","",'POA — Monthly financial forecas'!W7),"")</f>
      </c>
    </row>
    <row r="213">
      <c r="A213" t="inlineStr" s="25">
        <is>
          <t xml:space="preserve">Calculation</t>
        </is>
      </c>
      <c r="B213">
        <f>IF(IF(DATE(2028,8,1)='POA — Three year summary'!C5="",FALSE,DATE(2028,8,1)='POA — Three year summary'!C5),IF('POA — Monthly financial forecas'!X7="","",'POA — Monthly financial forecas'!X7),"")</f>
      </c>
    </row>
    <row r="214">
      <c r="A214" t="inlineStr" s="25">
        <is>
          <t xml:space="preserve">Calculation</t>
        </is>
      </c>
      <c r="B214">
        <f>IF(IF(DATE(2028,9,1)='POA — Three year summary'!C5="",FALSE,DATE(2028,9,1)='POA — Three year summary'!C5),IF('POA — Monthly financial forecas'!Y7="","",'POA — Monthly financial forecas'!Y7),"")</f>
      </c>
    </row>
    <row r="215">
      <c r="A215" t="inlineStr" s="25">
        <is>
          <t xml:space="preserve">Calculation</t>
        </is>
      </c>
      <c r="B215">
        <f>IF(IF(DATE(2028,10,1)='POA — Three year summary'!C5="",FALSE,DATE(2028,10,1)='POA — Three year summary'!C5),IF('POA — Monthly financial forecas'!Z7="","",'POA — Monthly financial forecas'!Z7),"")</f>
      </c>
    </row>
    <row r="216">
      <c r="A216" t="inlineStr" s="25">
        <is>
          <t xml:space="preserve">Calculation</t>
        </is>
      </c>
      <c r="B216">
        <f>IF(IF(DATE(2028,11,1)='POA — Three year summary'!C5="",FALSE,DATE(2028,11,1)='POA — Three year summary'!C5),IF('POA — Monthly financial forecas'!AA7="","",'POA — Monthly financial forecas'!AA7),"")</f>
      </c>
    </row>
    <row r="217">
      <c r="A217" t="inlineStr" s="25">
        <is>
          <t xml:space="preserve">Calculation</t>
        </is>
      </c>
      <c r="B217">
        <f>IF(IF(DATE(2028,12,1)='POA — Three year summary'!C5="",FALSE,DATE(2028,12,1)='POA — Three year summary'!C5),IF('POA — Monthly financial forecas'!AB7="","",'POA — Monthly financial forecas'!AB7),"")</f>
      </c>
    </row>
    <row r="218">
      <c r="A218" t="inlineStr" s="25">
        <is>
          <t xml:space="preserve">Calculation</t>
        </is>
      </c>
      <c r="B218">
        <f>IF(IF(DATE(2029,1,1)='POA — Three year summary'!C5="",FALSE,DATE(2029,1,1)='POA — Three year summary'!C5),IF('POA — Monthly financial forecas'!AC7="","",'POA — Monthly financial forecas'!AC7),"")</f>
      </c>
    </row>
    <row r="219">
      <c r="A219" t="inlineStr" s="25">
        <is>
          <t xml:space="preserve">Calculation</t>
        </is>
      </c>
      <c r="B219">
        <f>IF(IF(DATE(2029,2,1)='POA — Three year summary'!C5="",FALSE,DATE(2029,2,1)='POA — Three year summary'!C5),IF('POA — Monthly financial forecas'!AD7="","",'POA — Monthly financial forecas'!AD7),"")</f>
      </c>
    </row>
    <row r="220">
      <c r="A220" t="inlineStr" s="25">
        <is>
          <t xml:space="preserve">Calculation</t>
        </is>
      </c>
      <c r="B220">
        <f>IF(IF(DATE(2029,3,1)='POA — Three year summary'!C5="",FALSE,DATE(2029,3,1)='POA — Three year summary'!C5),IF('POA — Monthly financial forecas'!AE7="","",'POA — Monthly financial forecas'!AE7),"")</f>
      </c>
    </row>
    <row r="221">
      <c r="A221" t="inlineStr" s="25">
        <is>
          <t xml:space="preserve">Calculation</t>
        </is>
      </c>
      <c r="B221">
        <f>IF(IF(DATE(2029,4,1)='POA — Three year summary'!C5="",FALSE,DATE(2029,4,1)='POA — Three year summary'!C5),IF('POA — Monthly financial forecas'!AF7="","",'POA — Monthly financial forecas'!AF7),"")</f>
      </c>
    </row>
    <row r="222">
      <c r="A222" t="inlineStr" s="25">
        <is>
          <t xml:space="preserve">Calculation</t>
        </is>
      </c>
      <c r="B222">
        <f>IF(IF(DATE(2029,5,1)='POA — Three year summary'!C5="",FALSE,DATE(2029,5,1)='POA — Three year summary'!C5),IF('POA — Monthly financial forecas'!AG7="","",'POA — Monthly financial forecas'!AG7),"")</f>
      </c>
    </row>
    <row r="223">
      <c r="A223" t="inlineStr" s="25">
        <is>
          <t xml:space="preserve">Calculation</t>
        </is>
      </c>
      <c r="B223">
        <f>IF(IF(DATE(2029,6,1)='POA — Three year summary'!C5="",FALSE,DATE(2029,6,1)='POA — Three year summary'!C5),IF('POA — Monthly financial forecas'!AH7="","",'POA — Monthly financial forecas'!AH7),"")</f>
      </c>
    </row>
    <row r="224">
      <c r="A224" t="inlineStr" s="25">
        <is>
          <t xml:space="preserve">Calculation</t>
        </is>
      </c>
      <c r="B224">
        <f>IF(IF(DATE(2029,7,1)='POA — Three year summary'!C5="",FALSE,DATE(2029,7,1)='POA — Three year summary'!C5),IF('POA — Monthly financial forecas'!AI7="","",'POA — Monthly financial forecas'!AI7),"")</f>
      </c>
    </row>
    <row r="225">
      <c r="A225" t="inlineStr" s="25">
        <is>
          <t xml:space="preserve">Calculation</t>
        </is>
      </c>
      <c r="B225">
        <f>IF(IF(DATE(2029,8,1)='POA — Three year summary'!C5="",FALSE,DATE(2029,8,1)='POA — Three year summary'!C5),IF('POA — Monthly financial forecas'!AJ7="","",'POA — Monthly financial forecas'!AJ7),"")</f>
      </c>
    </row>
    <row r="226">
      <c r="A226" t="inlineStr" s="25">
        <is>
          <t xml:space="preserve">Calculation</t>
        </is>
      </c>
      <c r="B226">
        <f>IF(IF(DATE(2029,9,1)='POA — Three year summary'!C5="",FALSE,DATE(2029,9,1)='POA — Three year summary'!C5),IF('POA — Monthly financial forecas'!AK7="","",'POA — Monthly financial forecas'!AK7),"")</f>
      </c>
    </row>
    <row r="227">
      <c r="A227" t="inlineStr" s="25">
        <is>
          <t xml:space="preserve">Calculation</t>
        </is>
      </c>
      <c r="B227">
        <f>IF(IF(DATE(2026,9,1)='POA — Three year summary'!C5="",FALSE,DATE(2026,9,1)='POA — Three year summary'!C5),IF('Model inputs'!B7="","",'Model inputs'!B7),"")</f>
      </c>
    </row>
    <row r="228">
      <c r="A228" t="inlineStr" s="25">
        <is>
          <t xml:space="preserve">Calculation</t>
        </is>
      </c>
      <c r="B228">
        <f>SUM(IF(IF('Model inputs'!B191="",0,1)="",0,IF('Model inputs'!B191="",0,1)),IF(IF('Model inputs'!B192="",0,1)="",0,IF('Model inputs'!B192="",0,1)),IF(IF('Model inputs'!B193="",0,1)="",0,IF('Model inputs'!B193="",0,1)),IF(IF('Model inputs'!B194="",0,1)="",0,IF('Model inputs'!B194="",0,1)),IF(IF('Model inputs'!B195="",0,1)="",0,IF('Model inputs'!B195="",0,1)),IF(IF('Model inputs'!B196="",0,1)="",0,IF('Model inputs'!B196="",0,1)),IF(IF('Model inputs'!B197="",0,1)="",0,IF('Model inputs'!B197="",0,1)),IF(IF('Model inputs'!B198="",0,1)="",0,IF('Model inputs'!B198="",0,1)),IF(IF('Model inputs'!B199="",0,1)="",0,IF('Model inputs'!B199="",0,1)),IF(IF('Model inputs'!B200="",0,1)="",0,IF('Model inputs'!B200="",0,1)),IF(IF('Model inputs'!B201="",0,1)="",0,IF('Model inputs'!B201="",0,1)),IF(IF('Model inputs'!B202="",0,1)="",0,IF('Model inputs'!B202="",0,1)),IF(IF('Model inputs'!B203="",0,1)="",0,IF('Model inputs'!B203="",0,1)),IF(IF('Model inputs'!B204="",0,1)="",0,IF('Model inputs'!B204="",0,1)),IF(IF('Model inputs'!B205="",0,1)="",0,IF('Model inputs'!B205="",0,1)),IF(IF('Model inputs'!B206="",0,1)="",0,IF('Model inputs'!B206="",0,1)),IF(IF('Model inputs'!B207="",0,1)="",0,IF('Model inputs'!B207="",0,1)),IF(IF('Model inputs'!B208="",0,1)="",0,IF('Model inputs'!B208="",0,1)),IF(IF('Model inputs'!B209="",0,1)="",0,IF('Model inputs'!B209="",0,1)),IF(IF('Model inputs'!B210="",0,1)="",0,IF('Model inputs'!B210="",0,1)),IF(IF('Model inputs'!B211="",0,1)="",0,IF('Model inputs'!B211="",0,1)),IF(IF('Model inputs'!B212="",0,1)="",0,IF('Model inputs'!B212="",0,1)),IF(IF('Model inputs'!B213="",0,1)="",0,IF('Model inputs'!B213="",0,1)),IF(IF('Model inputs'!B214="",0,1)="",0,IF('Model inputs'!B214="",0,1)),IF(IF('Model inputs'!B215="",0,1)="",0,IF('Model inputs'!B215="",0,1)),IF(IF('Model inputs'!B216="",0,1)="",0,IF('Model inputs'!B216="",0,1)),IF(IF('Model inputs'!B217="",0,1)="",0,IF('Model inputs'!B217="",0,1)),IF(IF('Model inputs'!B218="",0,1)="",0,IF('Model inputs'!B218="",0,1)),IF(IF('Model inputs'!B219="",0,1)="",0,IF('Model inputs'!B219="",0,1)),IF(IF('Model inputs'!B220="",0,1)="",0,IF('Model inputs'!B220="",0,1)),IF(IF('Model inputs'!B221="",0,1)="",0,IF('Model inputs'!B221="",0,1)),IF(IF('Model inputs'!B222="",0,1)="",0,IF('Model inputs'!B222="",0,1)),IF(IF('Model inputs'!B223="",0,1)="",0,IF('Model inputs'!B223="",0,1)),IF(IF('Model inputs'!B224="",0,1)="",0,IF('Model inputs'!B224="",0,1)),IF(IF('Model inputs'!B225="",0,1)="",0,IF('Model inputs'!B225="",0,1)),IF(IF('Model inputs'!B226="",0,1)="",0,IF('Model inputs'!B226="",0,1)),IF(IF('Model inputs'!B227="",0,1)="",0,IF('Model inputs'!B227="",0,1)))</f>
      </c>
    </row>
    <row r="229">
      <c r="A229" t="inlineStr" s="25">
        <is>
          <t xml:space="preserve">Calculation</t>
        </is>
      </c>
      <c r="B229">
        <f>IF(IF(DATE(2026,10,1)='POA — Three year summary'!C5="",FALSE,DATE(2026,10,1)='POA — Three year summary'!C5),IF('POA — Monthly financial forecas'!B28="","",'POA — Monthly financial forecas'!B28),"")</f>
      </c>
    </row>
    <row r="230">
      <c r="A230" t="inlineStr" s="25">
        <is>
          <t xml:space="preserve">Calculation</t>
        </is>
      </c>
      <c r="B230">
        <f>IF(IF(DATE(2026,11,1)='POA — Three year summary'!C5="",FALSE,DATE(2026,11,1)='POA — Three year summary'!C5),IF('POA — Monthly financial forecas'!C28="","",'POA — Monthly financial forecas'!C28),"")</f>
      </c>
    </row>
    <row r="231">
      <c r="A231" t="inlineStr" s="25">
        <is>
          <t xml:space="preserve">Calculation</t>
        </is>
      </c>
      <c r="B231">
        <f>IF(IF(DATE(2026,12,1)='POA — Three year summary'!C5="",FALSE,DATE(2026,12,1)='POA — Three year summary'!C5),IF('POA — Monthly financial forecas'!D28="","",'POA — Monthly financial forecas'!D28),"")</f>
      </c>
    </row>
    <row r="232">
      <c r="A232" t="inlineStr" s="25">
        <is>
          <t xml:space="preserve">Calculation</t>
        </is>
      </c>
      <c r="B232">
        <f>IF(IF(DATE(2027,1,1)='POA — Three year summary'!C5="",FALSE,DATE(2027,1,1)='POA — Three year summary'!C5),IF('POA — Monthly financial forecas'!E28="","",'POA — Monthly financial forecas'!E28),"")</f>
      </c>
    </row>
    <row r="233">
      <c r="A233" t="inlineStr" s="25">
        <is>
          <t xml:space="preserve">Calculation</t>
        </is>
      </c>
      <c r="B233">
        <f>IF(IF(DATE(2027,2,1)='POA — Three year summary'!C5="",FALSE,DATE(2027,2,1)='POA — Three year summary'!C5),IF('POA — Monthly financial forecas'!F28="","",'POA — Monthly financial forecas'!F28),"")</f>
      </c>
    </row>
    <row r="234">
      <c r="A234" t="inlineStr" s="25">
        <is>
          <t xml:space="preserve">Calculation</t>
        </is>
      </c>
      <c r="B234">
        <f>IF(IF(DATE(2027,3,1)='POA — Three year summary'!C5="",FALSE,DATE(2027,3,1)='POA — Three year summary'!C5),IF('POA — Monthly financial forecas'!G28="","",'POA — Monthly financial forecas'!G28),"")</f>
      </c>
    </row>
    <row r="235">
      <c r="A235" t="inlineStr" s="25">
        <is>
          <t xml:space="preserve">Calculation</t>
        </is>
      </c>
      <c r="B235">
        <f>IF(IF(DATE(2027,4,1)='POA — Three year summary'!C5="",FALSE,DATE(2027,4,1)='POA — Three year summary'!C5),IF('POA — Monthly financial forecas'!H28="","",'POA — Monthly financial forecas'!H28),"")</f>
      </c>
    </row>
    <row r="236">
      <c r="A236" t="inlineStr" s="25">
        <is>
          <t xml:space="preserve">Calculation</t>
        </is>
      </c>
      <c r="B236">
        <f>IF(IF(DATE(2027,5,1)='POA — Three year summary'!C5="",FALSE,DATE(2027,5,1)='POA — Three year summary'!C5),IF('POA — Monthly financial forecas'!I28="","",'POA — Monthly financial forecas'!I28),"")</f>
      </c>
    </row>
    <row r="237">
      <c r="A237" t="inlineStr" s="25">
        <is>
          <t xml:space="preserve">Calculation</t>
        </is>
      </c>
      <c r="B237">
        <f>IF(IF(DATE(2027,6,1)='POA — Three year summary'!C5="",FALSE,DATE(2027,6,1)='POA — Three year summary'!C5),IF('POA — Monthly financial forecas'!J28="","",'POA — Monthly financial forecas'!J28),"")</f>
      </c>
    </row>
    <row r="238">
      <c r="A238" t="inlineStr" s="25">
        <is>
          <t xml:space="preserve">Calculation</t>
        </is>
      </c>
      <c r="B238">
        <f>IF(IF(DATE(2027,7,1)='POA — Three year summary'!C5="",FALSE,DATE(2027,7,1)='POA — Three year summary'!C5),IF('POA — Monthly financial forecas'!K28="","",'POA — Monthly financial forecas'!K28),"")</f>
      </c>
    </row>
    <row r="239">
      <c r="A239" t="inlineStr" s="25">
        <is>
          <t xml:space="preserve">Calculation</t>
        </is>
      </c>
      <c r="B239">
        <f>IF(IF(DATE(2027,8,1)='POA — Three year summary'!C5="",FALSE,DATE(2027,8,1)='POA — Three year summary'!C5),IF('POA — Monthly financial forecas'!L28="","",'POA — Monthly financial forecas'!L28),"")</f>
      </c>
    </row>
    <row r="240">
      <c r="A240" t="inlineStr" s="25">
        <is>
          <t xml:space="preserve">Calculation</t>
        </is>
      </c>
      <c r="B240">
        <f>IF(IF(DATE(2027,9,1)='POA — Three year summary'!C5="",FALSE,DATE(2027,9,1)='POA — Three year summary'!C5),IF('POA — Monthly financial forecas'!M28="","",'POA — Monthly financial forecas'!M28),"")</f>
      </c>
    </row>
    <row r="241">
      <c r="A241" t="inlineStr" s="25">
        <is>
          <t xml:space="preserve">Calculation</t>
        </is>
      </c>
      <c r="B241">
        <f>IF(IF(DATE(2027,10,1)='POA — Three year summary'!C5="",FALSE,DATE(2027,10,1)='POA — Three year summary'!C5),IF('POA — Monthly financial forecas'!N28="","",'POA — Monthly financial forecas'!N28),"")</f>
      </c>
    </row>
    <row r="242">
      <c r="A242" t="inlineStr" s="25">
        <is>
          <t xml:space="preserve">Calculation</t>
        </is>
      </c>
      <c r="B242">
        <f>IF(IF(DATE(2027,11,1)='POA — Three year summary'!C5="",FALSE,DATE(2027,11,1)='POA — Three year summary'!C5),IF('POA — Monthly financial forecas'!O28="","",'POA — Monthly financial forecas'!O28),"")</f>
      </c>
    </row>
    <row r="243">
      <c r="A243" t="inlineStr" s="25">
        <is>
          <t xml:space="preserve">Calculation</t>
        </is>
      </c>
      <c r="B243">
        <f>IF(IF(DATE(2027,12,1)='POA — Three year summary'!C5="",FALSE,DATE(2027,12,1)='POA — Three year summary'!C5),IF('POA — Monthly financial forecas'!P28="","",'POA — Monthly financial forecas'!P28),"")</f>
      </c>
    </row>
    <row r="244">
      <c r="A244" t="inlineStr" s="25">
        <is>
          <t xml:space="preserve">Calculation</t>
        </is>
      </c>
      <c r="B244">
        <f>IF(IF(DATE(2028,1,1)='POA — Three year summary'!C5="",FALSE,DATE(2028,1,1)='POA — Three year summary'!C5),IF('POA — Monthly financial forecas'!Q28="","",'POA — Monthly financial forecas'!Q28),"")</f>
      </c>
    </row>
    <row r="245">
      <c r="A245" t="inlineStr" s="25">
        <is>
          <t xml:space="preserve">Calculation</t>
        </is>
      </c>
      <c r="B245">
        <f>IF(IF(DATE(2028,2,1)='POA — Three year summary'!C5="",FALSE,DATE(2028,2,1)='POA — Three year summary'!C5),IF('POA — Monthly financial forecas'!R28="","",'POA — Monthly financial forecas'!R28),"")</f>
      </c>
    </row>
    <row r="246">
      <c r="A246" t="inlineStr" s="25">
        <is>
          <t xml:space="preserve">Calculation</t>
        </is>
      </c>
      <c r="B246">
        <f>IF(IF(DATE(2028,3,1)='POA — Three year summary'!C5="",FALSE,DATE(2028,3,1)='POA — Three year summary'!C5),IF('POA — Monthly financial forecas'!S28="","",'POA — Monthly financial forecas'!S28),"")</f>
      </c>
    </row>
    <row r="247">
      <c r="A247" t="inlineStr" s="25">
        <is>
          <t xml:space="preserve">Calculation</t>
        </is>
      </c>
      <c r="B247">
        <f>IF(IF(DATE(2028,4,1)='POA — Three year summary'!C5="",FALSE,DATE(2028,4,1)='POA — Three year summary'!C5),IF('POA — Monthly financial forecas'!T28="","",'POA — Monthly financial forecas'!T28),"")</f>
      </c>
    </row>
    <row r="248">
      <c r="A248" t="inlineStr" s="25">
        <is>
          <t xml:space="preserve">Calculation</t>
        </is>
      </c>
      <c r="B248">
        <f>IF(IF(DATE(2028,5,1)='POA — Three year summary'!C5="",FALSE,DATE(2028,5,1)='POA — Three year summary'!C5),IF('POA — Monthly financial forecas'!U28="","",'POA — Monthly financial forecas'!U28),"")</f>
      </c>
    </row>
    <row r="249">
      <c r="A249" t="inlineStr" s="25">
        <is>
          <t xml:space="preserve">Calculation</t>
        </is>
      </c>
      <c r="B249">
        <f>IF(IF(DATE(2028,6,1)='POA — Three year summary'!C5="",FALSE,DATE(2028,6,1)='POA — Three year summary'!C5),IF('POA — Monthly financial forecas'!V28="","",'POA — Monthly financial forecas'!V28),"")</f>
      </c>
    </row>
    <row r="250">
      <c r="A250" t="inlineStr" s="25">
        <is>
          <t xml:space="preserve">Calculation</t>
        </is>
      </c>
      <c r="B250">
        <f>IF(IF(DATE(2028,7,1)='POA — Three year summary'!C5="",FALSE,DATE(2028,7,1)='POA — Three year summary'!C5),IF('POA — Monthly financial forecas'!W28="","",'POA — Monthly financial forecas'!W28),"")</f>
      </c>
    </row>
    <row r="251">
      <c r="A251" t="inlineStr" s="25">
        <is>
          <t xml:space="preserve">Calculation</t>
        </is>
      </c>
      <c r="B251">
        <f>IF(IF(DATE(2028,8,1)='POA — Three year summary'!C5="",FALSE,DATE(2028,8,1)='POA — Three year summary'!C5),IF('POA — Monthly financial forecas'!X28="","",'POA — Monthly financial forecas'!X28),"")</f>
      </c>
    </row>
    <row r="252">
      <c r="A252" t="inlineStr" s="25">
        <is>
          <t xml:space="preserve">Calculation</t>
        </is>
      </c>
      <c r="B252">
        <f>IF(IF(DATE(2028,9,1)='POA — Three year summary'!C5="",FALSE,DATE(2028,9,1)='POA — Three year summary'!C5),IF('POA — Monthly financial forecas'!Y28="","",'POA — Monthly financial forecas'!Y28),"")</f>
      </c>
    </row>
    <row r="253">
      <c r="A253" t="inlineStr" s="25">
        <is>
          <t xml:space="preserve">Calculation</t>
        </is>
      </c>
      <c r="B253">
        <f>IF(IF(DATE(2028,10,1)='POA — Three year summary'!C5="",FALSE,DATE(2028,10,1)='POA — Three year summary'!C5),IF('POA — Monthly financial forecas'!Z28="","",'POA — Monthly financial forecas'!Z28),"")</f>
      </c>
    </row>
    <row r="254">
      <c r="A254" t="inlineStr" s="25">
        <is>
          <t xml:space="preserve">Calculation</t>
        </is>
      </c>
      <c r="B254">
        <f>IF(IF(DATE(2028,11,1)='POA — Three year summary'!C5="",FALSE,DATE(2028,11,1)='POA — Three year summary'!C5),IF('POA — Monthly financial forecas'!AA28="","",'POA — Monthly financial forecas'!AA28),"")</f>
      </c>
    </row>
    <row r="255">
      <c r="A255" t="inlineStr" s="25">
        <is>
          <t xml:space="preserve">Calculation</t>
        </is>
      </c>
      <c r="B255">
        <f>IF(IF(DATE(2028,12,1)='POA — Three year summary'!C5="",FALSE,DATE(2028,12,1)='POA — Three year summary'!C5),IF('POA — Monthly financial forecas'!AB28="","",'POA — Monthly financial forecas'!AB28),"")</f>
      </c>
    </row>
    <row r="256">
      <c r="A256" t="inlineStr" s="25">
        <is>
          <t xml:space="preserve">Calculation</t>
        </is>
      </c>
      <c r="B256">
        <f>IF(IF(DATE(2029,1,1)='POA — Three year summary'!C5="",FALSE,DATE(2029,1,1)='POA — Three year summary'!C5),IF('POA — Monthly financial forecas'!AC28="","",'POA — Monthly financial forecas'!AC28),"")</f>
      </c>
    </row>
    <row r="257">
      <c r="A257" t="inlineStr" s="25">
        <is>
          <t xml:space="preserve">Calculation</t>
        </is>
      </c>
      <c r="B257">
        <f>IF(IF(DATE(2029,2,1)='POA — Three year summary'!C5="",FALSE,DATE(2029,2,1)='POA — Three year summary'!C5),IF('POA — Monthly financial forecas'!AD28="","",'POA — Monthly financial forecas'!AD28),"")</f>
      </c>
    </row>
    <row r="258">
      <c r="A258" t="inlineStr" s="25">
        <is>
          <t xml:space="preserve">Calculation</t>
        </is>
      </c>
      <c r="B258">
        <f>IF(IF(DATE(2029,3,1)='POA — Three year summary'!C5="",FALSE,DATE(2029,3,1)='POA — Three year summary'!C5),IF('POA — Monthly financial forecas'!AE28="","",'POA — Monthly financial forecas'!AE28),"")</f>
      </c>
    </row>
    <row r="259">
      <c r="A259" t="inlineStr" s="25">
        <is>
          <t xml:space="preserve">Calculation</t>
        </is>
      </c>
      <c r="B259">
        <f>IF(IF(DATE(2029,4,1)='POA — Three year summary'!C5="",FALSE,DATE(2029,4,1)='POA — Three year summary'!C5),IF('POA — Monthly financial forecas'!AF28="","",'POA — Monthly financial forecas'!AF28),"")</f>
      </c>
    </row>
    <row r="260">
      <c r="A260" t="inlineStr" s="25">
        <is>
          <t xml:space="preserve">Calculation</t>
        </is>
      </c>
      <c r="B260">
        <f>IF(IF(DATE(2029,5,1)='POA — Three year summary'!C5="",FALSE,DATE(2029,5,1)='POA — Three year summary'!C5),IF('POA — Monthly financial forecas'!AG28="","",'POA — Monthly financial forecas'!AG28),"")</f>
      </c>
    </row>
    <row r="261">
      <c r="A261" t="inlineStr" s="25">
        <is>
          <t xml:space="preserve">Calculation</t>
        </is>
      </c>
      <c r="B261">
        <f>IF(IF(DATE(2029,6,1)='POA — Three year summary'!C5="",FALSE,DATE(2029,6,1)='POA — Three year summary'!C5),IF('POA — Monthly financial forecas'!AH28="","",'POA — Monthly financial forecas'!AH28),"")</f>
      </c>
    </row>
    <row r="262">
      <c r="A262" t="inlineStr" s="25">
        <is>
          <t xml:space="preserve">Calculation</t>
        </is>
      </c>
      <c r="B262">
        <f>IF(IF(DATE(2029,7,1)='POA — Three year summary'!C5="",FALSE,DATE(2029,7,1)='POA — Three year summary'!C5),IF('POA — Monthly financial forecas'!AI28="","",'POA — Monthly financial forecas'!AI28),"")</f>
      </c>
    </row>
    <row r="263">
      <c r="A263" t="inlineStr" s="25">
        <is>
          <t xml:space="preserve">Calculation</t>
        </is>
      </c>
      <c r="B263">
        <f>IF(IF(DATE(2029,8,1)='POA — Three year summary'!C5="",FALSE,DATE(2029,8,1)='POA — Three year summary'!C5),IF('POA — Monthly financial forecas'!AJ28="","",'POA — Monthly financial forecas'!AJ28),"")</f>
      </c>
    </row>
    <row r="264">
      <c r="A264" t="inlineStr" s="25">
        <is>
          <t xml:space="preserve">Calculation</t>
        </is>
      </c>
      <c r="B264">
        <f>IF(IF(DATE(2029,9,1)='POA — Three year summary'!C5="",FALSE,DATE(2029,9,1)='POA — Three year summary'!C5),IF('POA — Monthly financial forecas'!AK28="","",'POA — Monthly financial forecas'!AK28),"")</f>
      </c>
    </row>
    <row r="265">
      <c r="A265" t="inlineStr" s="25">
        <is>
          <t xml:space="preserve">Calculation</t>
        </is>
      </c>
      <c r="B265">
        <f>SUM(IF(IF('Model inputs'!B229="",0,1)="",0,IF('Model inputs'!B229="",0,1)),IF(IF('Model inputs'!B230="",0,1)="",0,IF('Model inputs'!B230="",0,1)),IF(IF('Model inputs'!B231="",0,1)="",0,IF('Model inputs'!B231="",0,1)),IF(IF('Model inputs'!B232="",0,1)="",0,IF('Model inputs'!B232="",0,1)),IF(IF('Model inputs'!B233="",0,1)="",0,IF('Model inputs'!B233="",0,1)),IF(IF('Model inputs'!B234="",0,1)="",0,IF('Model inputs'!B234="",0,1)),IF(IF('Model inputs'!B235="",0,1)="",0,IF('Model inputs'!B235="",0,1)),IF(IF('Model inputs'!B236="",0,1)="",0,IF('Model inputs'!B236="",0,1)),IF(IF('Model inputs'!B237="",0,1)="",0,IF('Model inputs'!B237="",0,1)),IF(IF('Model inputs'!B238="",0,1)="",0,IF('Model inputs'!B238="",0,1)),IF(IF('Model inputs'!B239="",0,1)="",0,IF('Model inputs'!B239="",0,1)),IF(IF('Model inputs'!B240="",0,1)="",0,IF('Model inputs'!B240="",0,1)),IF(IF('Model inputs'!B241="",0,1)="",0,IF('Model inputs'!B241="",0,1)),IF(IF('Model inputs'!B242="",0,1)="",0,IF('Model inputs'!B242="",0,1)),IF(IF('Model inputs'!B243="",0,1)="",0,IF('Model inputs'!B243="",0,1)),IF(IF('Model inputs'!B244="",0,1)="",0,IF('Model inputs'!B244="",0,1)),IF(IF('Model inputs'!B245="",0,1)="",0,IF('Model inputs'!B245="",0,1)),IF(IF('Model inputs'!B246="",0,1)="",0,IF('Model inputs'!B246="",0,1)),IF(IF('Model inputs'!B247="",0,1)="",0,IF('Model inputs'!B247="",0,1)),IF(IF('Model inputs'!B248="",0,1)="",0,IF('Model inputs'!B248="",0,1)),IF(IF('Model inputs'!B249="",0,1)="",0,IF('Model inputs'!B249="",0,1)),IF(IF('Model inputs'!B250="",0,1)="",0,IF('Model inputs'!B250="",0,1)),IF(IF('Model inputs'!B251="",0,1)="",0,IF('Model inputs'!B251="",0,1)),IF(IF('Model inputs'!B252="",0,1)="",0,IF('Model inputs'!B252="",0,1)),IF(IF('Model inputs'!B253="",0,1)="",0,IF('Model inputs'!B253="",0,1)),IF(IF('Model inputs'!B254="",0,1)="",0,IF('Model inputs'!B254="",0,1)),IF(IF('Model inputs'!B255="",0,1)="",0,IF('Model inputs'!B255="",0,1)),IF(IF('Model inputs'!B256="",0,1)="",0,IF('Model inputs'!B256="",0,1)),IF(IF('Model inputs'!B257="",0,1)="",0,IF('Model inputs'!B257="",0,1)),IF(IF('Model inputs'!B258="",0,1)="",0,IF('Model inputs'!B258="",0,1)),IF(IF('Model inputs'!B259="",0,1)="",0,IF('Model inputs'!B259="",0,1)),IF(IF('Model inputs'!B260="",0,1)="",0,IF('Model inputs'!B260="",0,1)),IF(IF('Model inputs'!B261="",0,1)="",0,IF('Model inputs'!B261="",0,1)),IF(IF('Model inputs'!B262="",0,1)="",0,IF('Model inputs'!B262="",0,1)),IF(IF('Model inputs'!B263="",0,1)="",0,IF('Model inputs'!B263="",0,1)),IF(IF('Model inputs'!B264="",0,1)="",0,IF('Model inputs'!B264="",0,1)))</f>
      </c>
    </row>
    <row r="266">
      <c r="A266" t="inlineStr" s="25">
        <is>
          <t xml:space="preserve">Calculation</t>
        </is>
      </c>
      <c r="B266">
        <f>IF(IF(DATE(2026,10,1)='POA — Three year summary'!C5="",FALSE,DATE(2026,10,1)='POA — Three year summary'!C5),IF('POA — Monthly financial forecas'!B29="","",'POA — Monthly financial forecas'!B29),"")</f>
      </c>
    </row>
    <row r="267">
      <c r="A267" t="inlineStr" s="25">
        <is>
          <t xml:space="preserve">Calculation</t>
        </is>
      </c>
      <c r="B267">
        <f>IF(IF(DATE(2026,11,1)='POA — Three year summary'!C5="",FALSE,DATE(2026,11,1)='POA — Three year summary'!C5),IF('POA — Monthly financial forecas'!C29="","",'POA — Monthly financial forecas'!C29),"")</f>
      </c>
    </row>
    <row r="268">
      <c r="A268" t="inlineStr" s="25">
        <is>
          <t xml:space="preserve">Calculation</t>
        </is>
      </c>
      <c r="B268">
        <f>IF(IF(DATE(2026,12,1)='POA — Three year summary'!C5="",FALSE,DATE(2026,12,1)='POA — Three year summary'!C5),IF('POA — Monthly financial forecas'!D29="","",'POA — Monthly financial forecas'!D29),"")</f>
      </c>
    </row>
    <row r="269">
      <c r="A269" t="inlineStr" s="25">
        <is>
          <t xml:space="preserve">Calculation</t>
        </is>
      </c>
      <c r="B269">
        <f>IF(IF(DATE(2027,1,1)='POA — Three year summary'!C5="",FALSE,DATE(2027,1,1)='POA — Three year summary'!C5),IF('POA — Monthly financial forecas'!E29="","",'POA — Monthly financial forecas'!E29),"")</f>
      </c>
    </row>
    <row r="270">
      <c r="A270" t="inlineStr" s="25">
        <is>
          <t xml:space="preserve">Calculation</t>
        </is>
      </c>
      <c r="B270">
        <f>IF(IF(DATE(2027,2,1)='POA — Three year summary'!C5="",FALSE,DATE(2027,2,1)='POA — Three year summary'!C5),IF('POA — Monthly financial forecas'!F29="","",'POA — Monthly financial forecas'!F29),"")</f>
      </c>
    </row>
    <row r="271">
      <c r="A271" t="inlineStr" s="25">
        <is>
          <t xml:space="preserve">Calculation</t>
        </is>
      </c>
      <c r="B271">
        <f>IF(IF(DATE(2027,3,1)='POA — Three year summary'!C5="",FALSE,DATE(2027,3,1)='POA — Three year summary'!C5),IF('POA — Monthly financial forecas'!G29="","",'POA — Monthly financial forecas'!G29),"")</f>
      </c>
    </row>
    <row r="272">
      <c r="A272" t="inlineStr" s="25">
        <is>
          <t xml:space="preserve">Calculation</t>
        </is>
      </c>
      <c r="B272">
        <f>IF(IF(DATE(2027,4,1)='POA — Three year summary'!C5="",FALSE,DATE(2027,4,1)='POA — Three year summary'!C5),IF('POA — Monthly financial forecas'!H29="","",'POA — Monthly financial forecas'!H29),"")</f>
      </c>
    </row>
    <row r="273">
      <c r="A273" t="inlineStr" s="25">
        <is>
          <t xml:space="preserve">Calculation</t>
        </is>
      </c>
      <c r="B273">
        <f>IF(IF(DATE(2027,5,1)='POA — Three year summary'!C5="",FALSE,DATE(2027,5,1)='POA — Three year summary'!C5),IF('POA — Monthly financial forecas'!I29="","",'POA — Monthly financial forecas'!I29),"")</f>
      </c>
    </row>
    <row r="274">
      <c r="A274" t="inlineStr" s="25">
        <is>
          <t xml:space="preserve">Calculation</t>
        </is>
      </c>
      <c r="B274">
        <f>IF(IF(DATE(2027,6,1)='POA — Three year summary'!C5="",FALSE,DATE(2027,6,1)='POA — Three year summary'!C5),IF('POA — Monthly financial forecas'!J29="","",'POA — Monthly financial forecas'!J29),"")</f>
      </c>
    </row>
    <row r="275">
      <c r="A275" t="inlineStr" s="25">
        <is>
          <t xml:space="preserve">Calculation</t>
        </is>
      </c>
      <c r="B275">
        <f>IF(IF(DATE(2027,7,1)='POA — Three year summary'!C5="",FALSE,DATE(2027,7,1)='POA — Three year summary'!C5),IF('POA — Monthly financial forecas'!K29="","",'POA — Monthly financial forecas'!K29),"")</f>
      </c>
    </row>
    <row r="276">
      <c r="A276" t="inlineStr" s="25">
        <is>
          <t xml:space="preserve">Calculation</t>
        </is>
      </c>
      <c r="B276">
        <f>IF(IF(DATE(2027,8,1)='POA — Three year summary'!C5="",FALSE,DATE(2027,8,1)='POA — Three year summary'!C5),IF('POA — Monthly financial forecas'!L29="","",'POA — Monthly financial forecas'!L29),"")</f>
      </c>
    </row>
    <row r="277">
      <c r="A277" t="inlineStr" s="25">
        <is>
          <t xml:space="preserve">Calculation</t>
        </is>
      </c>
      <c r="B277">
        <f>IF(IF(DATE(2027,9,1)='POA — Three year summary'!C5="",FALSE,DATE(2027,9,1)='POA — Three year summary'!C5),IF('POA — Monthly financial forecas'!M29="","",'POA — Monthly financial forecas'!M29),"")</f>
      </c>
    </row>
    <row r="278">
      <c r="A278" t="inlineStr" s="25">
        <is>
          <t xml:space="preserve">Calculation</t>
        </is>
      </c>
      <c r="B278">
        <f>IF(IF(DATE(2027,10,1)='POA — Three year summary'!C5="",FALSE,DATE(2027,10,1)='POA — Three year summary'!C5),IF('POA — Monthly financial forecas'!N29="","",'POA — Monthly financial forecas'!N29),"")</f>
      </c>
    </row>
    <row r="279">
      <c r="A279" t="inlineStr" s="25">
        <is>
          <t xml:space="preserve">Calculation</t>
        </is>
      </c>
      <c r="B279">
        <f>IF(IF(DATE(2027,11,1)='POA — Three year summary'!C5="",FALSE,DATE(2027,11,1)='POA — Three year summary'!C5),IF('POA — Monthly financial forecas'!O29="","",'POA — Monthly financial forecas'!O29),"")</f>
      </c>
    </row>
    <row r="280">
      <c r="A280" t="inlineStr" s="25">
        <is>
          <t xml:space="preserve">Calculation</t>
        </is>
      </c>
      <c r="B280">
        <f>IF(IF(DATE(2027,12,1)='POA — Three year summary'!C5="",FALSE,DATE(2027,12,1)='POA — Three year summary'!C5),IF('POA — Monthly financial forecas'!P29="","",'POA — Monthly financial forecas'!P29),"")</f>
      </c>
    </row>
    <row r="281">
      <c r="A281" t="inlineStr" s="25">
        <is>
          <t xml:space="preserve">Calculation</t>
        </is>
      </c>
      <c r="B281">
        <f>IF(IF(DATE(2028,1,1)='POA — Three year summary'!C5="",FALSE,DATE(2028,1,1)='POA — Three year summary'!C5),IF('POA — Monthly financial forecas'!Q29="","",'POA — Monthly financial forecas'!Q29),"")</f>
      </c>
    </row>
    <row r="282">
      <c r="A282" t="inlineStr" s="25">
        <is>
          <t xml:space="preserve">Calculation</t>
        </is>
      </c>
      <c r="B282">
        <f>IF(IF(DATE(2028,2,1)='POA — Three year summary'!C5="",FALSE,DATE(2028,2,1)='POA — Three year summary'!C5),IF('POA — Monthly financial forecas'!R29="","",'POA — Monthly financial forecas'!R29),"")</f>
      </c>
    </row>
    <row r="283">
      <c r="A283" t="inlineStr" s="25">
        <is>
          <t xml:space="preserve">Calculation</t>
        </is>
      </c>
      <c r="B283">
        <f>IF(IF(DATE(2028,3,1)='POA — Three year summary'!C5="",FALSE,DATE(2028,3,1)='POA — Three year summary'!C5),IF('POA — Monthly financial forecas'!S29="","",'POA — Monthly financial forecas'!S29),"")</f>
      </c>
    </row>
    <row r="284">
      <c r="A284" t="inlineStr" s="25">
        <is>
          <t xml:space="preserve">Calculation</t>
        </is>
      </c>
      <c r="B284">
        <f>IF(IF(DATE(2028,4,1)='POA — Three year summary'!C5="",FALSE,DATE(2028,4,1)='POA — Three year summary'!C5),IF('POA — Monthly financial forecas'!T29="","",'POA — Monthly financial forecas'!T29),"")</f>
      </c>
    </row>
    <row r="285">
      <c r="A285" t="inlineStr" s="25">
        <is>
          <t xml:space="preserve">Calculation</t>
        </is>
      </c>
      <c r="B285">
        <f>IF(IF(DATE(2028,5,1)='POA — Three year summary'!C5="",FALSE,DATE(2028,5,1)='POA — Three year summary'!C5),IF('POA — Monthly financial forecas'!U29="","",'POA — Monthly financial forecas'!U29),"")</f>
      </c>
    </row>
    <row r="286">
      <c r="A286" t="inlineStr" s="25">
        <is>
          <t xml:space="preserve">Calculation</t>
        </is>
      </c>
      <c r="B286">
        <f>IF(IF(DATE(2028,6,1)='POA — Three year summary'!C5="",FALSE,DATE(2028,6,1)='POA — Three year summary'!C5),IF('POA — Monthly financial forecas'!V29="","",'POA — Monthly financial forecas'!V29),"")</f>
      </c>
    </row>
    <row r="287">
      <c r="A287" t="inlineStr" s="25">
        <is>
          <t xml:space="preserve">Calculation</t>
        </is>
      </c>
      <c r="B287">
        <f>IF(IF(DATE(2028,7,1)='POA — Three year summary'!C5="",FALSE,DATE(2028,7,1)='POA — Three year summary'!C5),IF('POA — Monthly financial forecas'!W29="","",'POA — Monthly financial forecas'!W29),"")</f>
      </c>
    </row>
    <row r="288">
      <c r="A288" t="inlineStr" s="25">
        <is>
          <t xml:space="preserve">Calculation</t>
        </is>
      </c>
      <c r="B288">
        <f>IF(IF(DATE(2028,8,1)='POA — Three year summary'!C5="",FALSE,DATE(2028,8,1)='POA — Three year summary'!C5),IF('POA — Monthly financial forecas'!X29="","",'POA — Monthly financial forecas'!X29),"")</f>
      </c>
    </row>
    <row r="289">
      <c r="A289" t="inlineStr" s="25">
        <is>
          <t xml:space="preserve">Calculation</t>
        </is>
      </c>
      <c r="B289">
        <f>IF(IF(DATE(2028,9,1)='POA — Three year summary'!C5="",FALSE,DATE(2028,9,1)='POA — Three year summary'!C5),IF('POA — Monthly financial forecas'!Y29="","",'POA — Monthly financial forecas'!Y29),"")</f>
      </c>
    </row>
    <row r="290">
      <c r="A290" t="inlineStr" s="25">
        <is>
          <t xml:space="preserve">Calculation</t>
        </is>
      </c>
      <c r="B290">
        <f>IF(IF(DATE(2028,10,1)='POA — Three year summary'!C5="",FALSE,DATE(2028,10,1)='POA — Three year summary'!C5),IF('POA — Monthly financial forecas'!Z29="","",'POA — Monthly financial forecas'!Z29),"")</f>
      </c>
    </row>
    <row r="291">
      <c r="A291" t="inlineStr" s="25">
        <is>
          <t xml:space="preserve">Calculation</t>
        </is>
      </c>
      <c r="B291">
        <f>IF(IF(DATE(2028,11,1)='POA — Three year summary'!C5="",FALSE,DATE(2028,11,1)='POA — Three year summary'!C5),IF('POA — Monthly financial forecas'!AA29="","",'POA — Monthly financial forecas'!AA29),"")</f>
      </c>
    </row>
    <row r="292">
      <c r="A292" t="inlineStr" s="25">
        <is>
          <t xml:space="preserve">Calculation</t>
        </is>
      </c>
      <c r="B292">
        <f>IF(IF(DATE(2028,12,1)='POA — Three year summary'!C5="",FALSE,DATE(2028,12,1)='POA — Three year summary'!C5),IF('POA — Monthly financial forecas'!AB29="","",'POA — Monthly financial forecas'!AB29),"")</f>
      </c>
    </row>
    <row r="293">
      <c r="A293" t="inlineStr" s="25">
        <is>
          <t xml:space="preserve">Calculation</t>
        </is>
      </c>
      <c r="B293">
        <f>IF(IF(DATE(2029,1,1)='POA — Three year summary'!C5="",FALSE,DATE(2029,1,1)='POA — Three year summary'!C5),IF('POA — Monthly financial forecas'!AC29="","",'POA — Monthly financial forecas'!AC29),"")</f>
      </c>
    </row>
    <row r="294">
      <c r="A294" t="inlineStr" s="25">
        <is>
          <t xml:space="preserve">Calculation</t>
        </is>
      </c>
      <c r="B294">
        <f>IF(IF(DATE(2029,2,1)='POA — Three year summary'!C5="",FALSE,DATE(2029,2,1)='POA — Three year summary'!C5),IF('POA — Monthly financial forecas'!AD29="","",'POA — Monthly financial forecas'!AD29),"")</f>
      </c>
    </row>
    <row r="295">
      <c r="A295" t="inlineStr" s="25">
        <is>
          <t xml:space="preserve">Calculation</t>
        </is>
      </c>
      <c r="B295">
        <f>IF(IF(DATE(2029,3,1)='POA — Three year summary'!C5="",FALSE,DATE(2029,3,1)='POA — Three year summary'!C5),IF('POA — Monthly financial forecas'!AE29="","",'POA — Monthly financial forecas'!AE29),"")</f>
      </c>
    </row>
    <row r="296">
      <c r="A296" t="inlineStr" s="25">
        <is>
          <t xml:space="preserve">Calculation</t>
        </is>
      </c>
      <c r="B296">
        <f>IF(IF(DATE(2029,4,1)='POA — Three year summary'!C5="",FALSE,DATE(2029,4,1)='POA — Three year summary'!C5),IF('POA — Monthly financial forecas'!AF29="","",'POA — Monthly financial forecas'!AF29),"")</f>
      </c>
    </row>
    <row r="297">
      <c r="A297" t="inlineStr" s="25">
        <is>
          <t xml:space="preserve">Calculation</t>
        </is>
      </c>
      <c r="B297">
        <f>IF(IF(DATE(2029,5,1)='POA — Three year summary'!C5="",FALSE,DATE(2029,5,1)='POA — Three year summary'!C5),IF('POA — Monthly financial forecas'!AG29="","",'POA — Monthly financial forecas'!AG29),"")</f>
      </c>
    </row>
    <row r="298">
      <c r="A298" t="inlineStr" s="25">
        <is>
          <t xml:space="preserve">Calculation</t>
        </is>
      </c>
      <c r="B298">
        <f>IF(IF(DATE(2029,6,1)='POA — Three year summary'!C5="",FALSE,DATE(2029,6,1)='POA — Three year summary'!C5),IF('POA — Monthly financial forecas'!AH29="","",'POA — Monthly financial forecas'!AH29),"")</f>
      </c>
    </row>
    <row r="299">
      <c r="A299" t="inlineStr" s="25">
        <is>
          <t xml:space="preserve">Calculation</t>
        </is>
      </c>
      <c r="B299">
        <f>IF(IF(DATE(2029,7,1)='POA — Three year summary'!C5="",FALSE,DATE(2029,7,1)='POA — Three year summary'!C5),IF('POA — Monthly financial forecas'!AI29="","",'POA — Monthly financial forecas'!AI29),"")</f>
      </c>
    </row>
    <row r="300">
      <c r="A300" t="inlineStr" s="25">
        <is>
          <t xml:space="preserve">Calculation</t>
        </is>
      </c>
      <c r="B300">
        <f>IF(IF(DATE(2029,8,1)='POA — Three year summary'!C5="",FALSE,DATE(2029,8,1)='POA — Three year summary'!C5),IF('POA — Monthly financial forecas'!AJ29="","",'POA — Monthly financial forecas'!AJ29),"")</f>
      </c>
    </row>
    <row r="301">
      <c r="A301" t="inlineStr" s="25">
        <is>
          <t xml:space="preserve">Calculation</t>
        </is>
      </c>
      <c r="B301">
        <f>IF(IF(DATE(2029,9,1)='POA — Three year summary'!C5="",FALSE,DATE(2029,9,1)='POA — Three year summary'!C5),IF('POA — Monthly financial forecas'!AK29="","",'POA — Monthly financial forecas'!AK29),"")</f>
      </c>
    </row>
    <row r="302">
      <c r="A302" t="inlineStr" s="25">
        <is>
          <t xml:space="preserve">Calculation</t>
        </is>
      </c>
      <c r="B302">
        <f>SUM(IF(IF('Model inputs'!B266="",0,1)="",0,IF('Model inputs'!B266="",0,1)),IF(IF('Model inputs'!B267="",0,1)="",0,IF('Model inputs'!B267="",0,1)),IF(IF('Model inputs'!B268="",0,1)="",0,IF('Model inputs'!B268="",0,1)),IF(IF('Model inputs'!B269="",0,1)="",0,IF('Model inputs'!B269="",0,1)),IF(IF('Model inputs'!B270="",0,1)="",0,IF('Model inputs'!B270="",0,1)),IF(IF('Model inputs'!B271="",0,1)="",0,IF('Model inputs'!B271="",0,1)),IF(IF('Model inputs'!B272="",0,1)="",0,IF('Model inputs'!B272="",0,1)),IF(IF('Model inputs'!B273="",0,1)="",0,IF('Model inputs'!B273="",0,1)),IF(IF('Model inputs'!B274="",0,1)="",0,IF('Model inputs'!B274="",0,1)),IF(IF('Model inputs'!B275="",0,1)="",0,IF('Model inputs'!B275="",0,1)),IF(IF('Model inputs'!B276="",0,1)="",0,IF('Model inputs'!B276="",0,1)),IF(IF('Model inputs'!B277="",0,1)="",0,IF('Model inputs'!B277="",0,1)),IF(IF('Model inputs'!B278="",0,1)="",0,IF('Model inputs'!B278="",0,1)),IF(IF('Model inputs'!B279="",0,1)="",0,IF('Model inputs'!B279="",0,1)),IF(IF('Model inputs'!B280="",0,1)="",0,IF('Model inputs'!B280="",0,1)),IF(IF('Model inputs'!B281="",0,1)="",0,IF('Model inputs'!B281="",0,1)),IF(IF('Model inputs'!B282="",0,1)="",0,IF('Model inputs'!B282="",0,1)),IF(IF('Model inputs'!B283="",0,1)="",0,IF('Model inputs'!B283="",0,1)),IF(IF('Model inputs'!B284="",0,1)="",0,IF('Model inputs'!B284="",0,1)),IF(IF('Model inputs'!B285="",0,1)="",0,IF('Model inputs'!B285="",0,1)),IF(IF('Model inputs'!B286="",0,1)="",0,IF('Model inputs'!B286="",0,1)),IF(IF('Model inputs'!B287="",0,1)="",0,IF('Model inputs'!B287="",0,1)),IF(IF('Model inputs'!B288="",0,1)="",0,IF('Model inputs'!B288="",0,1)),IF(IF('Model inputs'!B289="",0,1)="",0,IF('Model inputs'!B289="",0,1)),IF(IF('Model inputs'!B290="",0,1)="",0,IF('Model inputs'!B290="",0,1)),IF(IF('Model inputs'!B291="",0,1)="",0,IF('Model inputs'!B291="",0,1)),IF(IF('Model inputs'!B292="",0,1)="",0,IF('Model inputs'!B292="",0,1)),IF(IF('Model inputs'!B293="",0,1)="",0,IF('Model inputs'!B293="",0,1)),IF(IF('Model inputs'!B294="",0,1)="",0,IF('Model inputs'!B294="",0,1)),IF(IF('Model inputs'!B295="",0,1)="",0,IF('Model inputs'!B295="",0,1)),IF(IF('Model inputs'!B296="",0,1)="",0,IF('Model inputs'!B296="",0,1)),IF(IF('Model inputs'!B297="",0,1)="",0,IF('Model inputs'!B297="",0,1)),IF(IF('Model inputs'!B298="",0,1)="",0,IF('Model inputs'!B298="",0,1)),IF(IF('Model inputs'!B299="",0,1)="",0,IF('Model inputs'!B299="",0,1)),IF(IF('Model inputs'!B300="",0,1)="",0,IF('Model inputs'!B300="",0,1)),IF(IF('Model inputs'!B301="",0,1)="",0,IF('Model inputs'!B301="",0,1)))</f>
      </c>
    </row>
    <row r="303">
      <c r="A303" t="inlineStr" s="25">
        <is>
          <t xml:space="preserve">Calculation</t>
        </is>
      </c>
      <c r="B303" s="11">
        <f>SUM(IF(IF(IF(AND('POA — Three year summary'!B6&lt;=DATE(2026,10,1),DATE(2026,10,1)&lt;='POA — Three year summary'!C6)="",FALSE,AND('POA — Three year summary'!B6&lt;=DATE(2026,10,1),DATE(2026,10,1)&lt;='POA — Three year summary'!C6)),'POA — Monthly financial forecas'!B18,"")="",0,IF(IF(AND('POA — Three year summary'!B6&lt;=DATE(2026,10,1),DATE(2026,10,1)&lt;='POA — Three year summary'!C6)="",FALSE,AND('POA — Three year summary'!B6&lt;=DATE(2026,10,1),DATE(2026,10,1)&lt;='POA — Three year summary'!C6)),'POA — Monthly financial forecas'!B18,"")),IF(IF(IF(AND('POA — Three year summary'!B6&lt;=DATE(2026,11,1),DATE(2026,11,1)&lt;='POA — Three year summary'!C6)="",FALSE,AND('POA — Three year summary'!B6&lt;=DATE(2026,11,1),DATE(2026,11,1)&lt;='POA — Three year summary'!C6)),'POA — Monthly financial forecas'!C18,"")="",0,IF(IF(AND('POA — Three year summary'!B6&lt;=DATE(2026,11,1),DATE(2026,11,1)&lt;='POA — Three year summary'!C6)="",FALSE,AND('POA — Three year summary'!B6&lt;=DATE(2026,11,1),DATE(2026,11,1)&lt;='POA — Three year summary'!C6)),'POA — Monthly financial forecas'!C18,"")),IF(IF(IF(AND('POA — Three year summary'!B6&lt;=DATE(2026,12,1),DATE(2026,12,1)&lt;='POA — Three year summary'!C6)="",FALSE,AND('POA — Three year summary'!B6&lt;=DATE(2026,12,1),DATE(2026,12,1)&lt;='POA — Three year summary'!C6)),'POA — Monthly financial forecas'!D18,"")="",0,IF(IF(AND('POA — Three year summary'!B6&lt;=DATE(2026,12,1),DATE(2026,12,1)&lt;='POA — Three year summary'!C6)="",FALSE,AND('POA — Three year summary'!B6&lt;=DATE(2026,12,1),DATE(2026,12,1)&lt;='POA — Three year summary'!C6)),'POA — Monthly financial forecas'!D18,"")),IF(IF(IF(AND('POA — Three year summary'!B6&lt;=DATE(2027,1,1),DATE(2027,1,1)&lt;='POA — Three year summary'!C6)="",FALSE,AND('POA — Three year summary'!B6&lt;=DATE(2027,1,1),DATE(2027,1,1)&lt;='POA — Three year summary'!C6)),'POA — Monthly financial forecas'!E18,"")="",0,IF(IF(AND('POA — Three year summary'!B6&lt;=DATE(2027,1,1),DATE(2027,1,1)&lt;='POA — Three year summary'!C6)="",FALSE,AND('POA — Three year summary'!B6&lt;=DATE(2027,1,1),DATE(2027,1,1)&lt;='POA — Three year summary'!C6)),'POA — Monthly financial forecas'!E18,"")),IF(IF(IF(AND('POA — Three year summary'!B6&lt;=DATE(2027,2,1),DATE(2027,2,1)&lt;='POA — Three year summary'!C6)="",FALSE,AND('POA — Three year summary'!B6&lt;=DATE(2027,2,1),DATE(2027,2,1)&lt;='POA — Three year summary'!C6)),'POA — Monthly financial forecas'!F18,"")="",0,IF(IF(AND('POA — Three year summary'!B6&lt;=DATE(2027,2,1),DATE(2027,2,1)&lt;='POA — Three year summary'!C6)="",FALSE,AND('POA — Three year summary'!B6&lt;=DATE(2027,2,1),DATE(2027,2,1)&lt;='POA — Three year summary'!C6)),'POA — Monthly financial forecas'!F18,"")),IF(IF(IF(AND('POA — Three year summary'!B6&lt;=DATE(2027,3,1),DATE(2027,3,1)&lt;='POA — Three year summary'!C6)="",FALSE,AND('POA — Three year summary'!B6&lt;=DATE(2027,3,1),DATE(2027,3,1)&lt;='POA — Three year summary'!C6)),'POA — Monthly financial forecas'!G18,"")="",0,IF(IF(AND('POA — Three year summary'!B6&lt;=DATE(2027,3,1),DATE(2027,3,1)&lt;='POA — Three year summary'!C6)="",FALSE,AND('POA — Three year summary'!B6&lt;=DATE(2027,3,1),DATE(2027,3,1)&lt;='POA — Three year summary'!C6)),'POA — Monthly financial forecas'!G18,"")),IF(IF(IF(AND('POA — Three year summary'!B6&lt;=DATE(2027,4,1),DATE(2027,4,1)&lt;='POA — Three year summary'!C6)="",FALSE,AND('POA — Three year summary'!B6&lt;=DATE(2027,4,1),DATE(2027,4,1)&lt;='POA — Three year summary'!C6)),'POA — Monthly financial forecas'!H18,"")="",0,IF(IF(AND('POA — Three year summary'!B6&lt;=DATE(2027,4,1),DATE(2027,4,1)&lt;='POA — Three year summary'!C6)="",FALSE,AND('POA — Three year summary'!B6&lt;=DATE(2027,4,1),DATE(2027,4,1)&lt;='POA — Three year summary'!C6)),'POA — Monthly financial forecas'!H18,"")),IF(IF(IF(AND('POA — Three year summary'!B6&lt;=DATE(2027,5,1),DATE(2027,5,1)&lt;='POA — Three year summary'!C6)="",FALSE,AND('POA — Three year summary'!B6&lt;=DATE(2027,5,1),DATE(2027,5,1)&lt;='POA — Three year summary'!C6)),'POA — Monthly financial forecas'!I18,"")="",0,IF(IF(AND('POA — Three year summary'!B6&lt;=DATE(2027,5,1),DATE(2027,5,1)&lt;='POA — Three year summary'!C6)="",FALSE,AND('POA — Three year summary'!B6&lt;=DATE(2027,5,1),DATE(2027,5,1)&lt;='POA — Three year summary'!C6)),'POA — Monthly financial forecas'!I18,"")),IF(IF(IF(AND('POA — Three year summary'!B6&lt;=DATE(2027,6,1),DATE(2027,6,1)&lt;='POA — Three year summary'!C6)="",FALSE,AND('POA — Three year summary'!B6&lt;=DATE(2027,6,1),DATE(2027,6,1)&lt;='POA — Three year summary'!C6)),'POA — Monthly financial forecas'!J18,"")="",0,IF(IF(AND('POA — Three year summary'!B6&lt;=DATE(2027,6,1),DATE(2027,6,1)&lt;='POA — Three year summary'!C6)="",FALSE,AND('POA — Three year summary'!B6&lt;=DATE(2027,6,1),DATE(2027,6,1)&lt;='POA — Three year summary'!C6)),'POA — Monthly financial forecas'!J18,"")),IF(IF(IF(AND('POA — Three year summary'!B6&lt;=DATE(2027,7,1),DATE(2027,7,1)&lt;='POA — Three year summary'!C6)="",FALSE,AND('POA — Three year summary'!B6&lt;=DATE(2027,7,1),DATE(2027,7,1)&lt;='POA — Three year summary'!C6)),'POA — Monthly financial forecas'!K18,"")="",0,IF(IF(AND('POA — Three year summary'!B6&lt;=DATE(2027,7,1),DATE(2027,7,1)&lt;='POA — Three year summary'!C6)="",FALSE,AND('POA — Three year summary'!B6&lt;=DATE(2027,7,1),DATE(2027,7,1)&lt;='POA — Three year summary'!C6)),'POA — Monthly financial forecas'!K18,"")),IF(IF(IF(AND('POA — Three year summary'!B6&lt;=DATE(2027,8,1),DATE(2027,8,1)&lt;='POA — Three year summary'!C6)="",FALSE,AND('POA — Three year summary'!B6&lt;=DATE(2027,8,1),DATE(2027,8,1)&lt;='POA — Three year summary'!C6)),'POA — Monthly financial forecas'!L18,"")="",0,IF(IF(AND('POA — Three year summary'!B6&lt;=DATE(2027,8,1),DATE(2027,8,1)&lt;='POA — Three year summary'!C6)="",FALSE,AND('POA — Three year summary'!B6&lt;=DATE(2027,8,1),DATE(2027,8,1)&lt;='POA — Three year summary'!C6)),'POA — Monthly financial forecas'!L18,"")),IF(IF(IF(AND('POA — Three year summary'!B6&lt;=DATE(2027,9,1),DATE(2027,9,1)&lt;='POA — Three year summary'!C6)="",FALSE,AND('POA — Three year summary'!B6&lt;=DATE(2027,9,1),DATE(2027,9,1)&lt;='POA — Three year summary'!C6)),'POA — Monthly financial forecas'!M18,"")="",0,IF(IF(AND('POA — Three year summary'!B6&lt;=DATE(2027,9,1),DATE(2027,9,1)&lt;='POA — Three year summary'!C6)="",FALSE,AND('POA — Three year summary'!B6&lt;=DATE(2027,9,1),DATE(2027,9,1)&lt;='POA — Three year summary'!C6)),'POA — Monthly financial forecas'!M18,"")),IF(IF(IF(AND('POA — Three year summary'!B6&lt;=DATE(2027,10,1),DATE(2027,10,1)&lt;='POA — Three year summary'!C6)="",FALSE,AND('POA — Three year summary'!B6&lt;=DATE(2027,10,1),DATE(2027,10,1)&lt;='POA — Three year summary'!C6)),'POA — Monthly financial forecas'!N18,"")="",0,IF(IF(AND('POA — Three year summary'!B6&lt;=DATE(2027,10,1),DATE(2027,10,1)&lt;='POA — Three year summary'!C6)="",FALSE,AND('POA — Three year summary'!B6&lt;=DATE(2027,10,1),DATE(2027,10,1)&lt;='POA — Three year summary'!C6)),'POA — Monthly financial forecas'!N18,"")),IF(IF(IF(AND('POA — Three year summary'!B6&lt;=DATE(2027,11,1),DATE(2027,11,1)&lt;='POA — Three year summary'!C6)="",FALSE,AND('POA — Three year summary'!B6&lt;=DATE(2027,11,1),DATE(2027,11,1)&lt;='POA — Three year summary'!C6)),'POA — Monthly financial forecas'!O18,"")="",0,IF(IF(AND('POA — Three year summary'!B6&lt;=DATE(2027,11,1),DATE(2027,11,1)&lt;='POA — Three year summary'!C6)="",FALSE,AND('POA — Three year summary'!B6&lt;=DATE(2027,11,1),DATE(2027,11,1)&lt;='POA — Three year summary'!C6)),'POA — Monthly financial forecas'!O18,"")),IF(IF(IF(AND('POA — Three year summary'!B6&lt;=DATE(2027,12,1),DATE(2027,12,1)&lt;='POA — Three year summary'!C6)="",FALSE,AND('POA — Three year summary'!B6&lt;=DATE(2027,12,1),DATE(2027,12,1)&lt;='POA — Three year summary'!C6)),'POA — Monthly financial forecas'!P18,"")="",0,IF(IF(AND('POA — Three year summary'!B6&lt;=DATE(2027,12,1),DATE(2027,12,1)&lt;='POA — Three year summary'!C6)="",FALSE,AND('POA — Three year summary'!B6&lt;=DATE(2027,12,1),DATE(2027,12,1)&lt;='POA — Three year summary'!C6)),'POA — Monthly financial forecas'!P18,"")))</f>
      </c>
    </row>
    <row r="304">
      <c r="A304" t="inlineStr" s="25">
        <is>
          <t xml:space="preserve">Calculation</t>
        </is>
      </c>
      <c r="B304" s="11">
        <f>SUM(IF(IF(IF(AND('POA — Three year summary'!B6&lt;=DATE(2028,1,1),DATE(2028,1,1)&lt;='POA — Three year summary'!C6)="",FALSE,AND('POA — Three year summary'!B6&lt;=DATE(2028,1,1),DATE(2028,1,1)&lt;='POA — Three year summary'!C6)),'POA — Monthly financial forecas'!Q18,"")="",0,IF(IF(AND('POA — Three year summary'!B6&lt;=DATE(2028,1,1),DATE(2028,1,1)&lt;='POA — Three year summary'!C6)="",FALSE,AND('POA — Three year summary'!B6&lt;=DATE(2028,1,1),DATE(2028,1,1)&lt;='POA — Three year summary'!C6)),'POA — Monthly financial forecas'!Q18,"")),IF(IF(IF(AND('POA — Three year summary'!B6&lt;=DATE(2028,2,1),DATE(2028,2,1)&lt;='POA — Three year summary'!C6)="",FALSE,AND('POA — Three year summary'!B6&lt;=DATE(2028,2,1),DATE(2028,2,1)&lt;='POA — Three year summary'!C6)),'POA — Monthly financial forecas'!R18,"")="",0,IF(IF(AND('POA — Three year summary'!B6&lt;=DATE(2028,2,1),DATE(2028,2,1)&lt;='POA — Three year summary'!C6)="",FALSE,AND('POA — Three year summary'!B6&lt;=DATE(2028,2,1),DATE(2028,2,1)&lt;='POA — Three year summary'!C6)),'POA — Monthly financial forecas'!R18,"")),IF(IF(IF(AND('POA — Three year summary'!B6&lt;=DATE(2028,3,1),DATE(2028,3,1)&lt;='POA — Three year summary'!C6)="",FALSE,AND('POA — Three year summary'!B6&lt;=DATE(2028,3,1),DATE(2028,3,1)&lt;='POA — Three year summary'!C6)),'POA — Monthly financial forecas'!S18,"")="",0,IF(IF(AND('POA — Three year summary'!B6&lt;=DATE(2028,3,1),DATE(2028,3,1)&lt;='POA — Three year summary'!C6)="",FALSE,AND('POA — Three year summary'!B6&lt;=DATE(2028,3,1),DATE(2028,3,1)&lt;='POA — Three year summary'!C6)),'POA — Monthly financial forecas'!S18,"")),IF(IF(IF(AND('POA — Three year summary'!B6&lt;=DATE(2028,4,1),DATE(2028,4,1)&lt;='POA — Three year summary'!C6)="",FALSE,AND('POA — Three year summary'!B6&lt;=DATE(2028,4,1),DATE(2028,4,1)&lt;='POA — Three year summary'!C6)),'POA — Monthly financial forecas'!T18,"")="",0,IF(IF(AND('POA — Three year summary'!B6&lt;=DATE(2028,4,1),DATE(2028,4,1)&lt;='POA — Three year summary'!C6)="",FALSE,AND('POA — Three year summary'!B6&lt;=DATE(2028,4,1),DATE(2028,4,1)&lt;='POA — Three year summary'!C6)),'POA — Monthly financial forecas'!T18,"")),IF(IF(IF(AND('POA — Three year summary'!B6&lt;=DATE(2028,5,1),DATE(2028,5,1)&lt;='POA — Three year summary'!C6)="",FALSE,AND('POA — Three year summary'!B6&lt;=DATE(2028,5,1),DATE(2028,5,1)&lt;='POA — Three year summary'!C6)),'POA — Monthly financial forecas'!U18,"")="",0,IF(IF(AND('POA — Three year summary'!B6&lt;=DATE(2028,5,1),DATE(2028,5,1)&lt;='POA — Three year summary'!C6)="",FALSE,AND('POA — Three year summary'!B6&lt;=DATE(2028,5,1),DATE(2028,5,1)&lt;='POA — Three year summary'!C6)),'POA — Monthly financial forecas'!U18,"")),IF(IF(IF(AND('POA — Three year summary'!B6&lt;=DATE(2028,6,1),DATE(2028,6,1)&lt;='POA — Three year summary'!C6)="",FALSE,AND('POA — Three year summary'!B6&lt;=DATE(2028,6,1),DATE(2028,6,1)&lt;='POA — Three year summary'!C6)),'POA — Monthly financial forecas'!V18,"")="",0,IF(IF(AND('POA — Three year summary'!B6&lt;=DATE(2028,6,1),DATE(2028,6,1)&lt;='POA — Three year summary'!C6)="",FALSE,AND('POA — Three year summary'!B6&lt;=DATE(2028,6,1),DATE(2028,6,1)&lt;='POA — Three year summary'!C6)),'POA — Monthly financial forecas'!V18,"")),IF(IF(IF(AND('POA — Three year summary'!B6&lt;=DATE(2028,7,1),DATE(2028,7,1)&lt;='POA — Three year summary'!C6)="",FALSE,AND('POA — Three year summary'!B6&lt;=DATE(2028,7,1),DATE(2028,7,1)&lt;='POA — Three year summary'!C6)),'POA — Monthly financial forecas'!W18,"")="",0,IF(IF(AND('POA — Three year summary'!B6&lt;=DATE(2028,7,1),DATE(2028,7,1)&lt;='POA — Three year summary'!C6)="",FALSE,AND('POA — Three year summary'!B6&lt;=DATE(2028,7,1),DATE(2028,7,1)&lt;='POA — Three year summary'!C6)),'POA — Monthly financial forecas'!W18,"")),IF(IF(IF(AND('POA — Three year summary'!B6&lt;=DATE(2028,8,1),DATE(2028,8,1)&lt;='POA — Three year summary'!C6)="",FALSE,AND('POA — Three year summary'!B6&lt;=DATE(2028,8,1),DATE(2028,8,1)&lt;='POA — Three year summary'!C6)),'POA — Monthly financial forecas'!X18,"")="",0,IF(IF(AND('POA — Three year summary'!B6&lt;=DATE(2028,8,1),DATE(2028,8,1)&lt;='POA — Three year summary'!C6)="",FALSE,AND('POA — Three year summary'!B6&lt;=DATE(2028,8,1),DATE(2028,8,1)&lt;='POA — Three year summary'!C6)),'POA — Monthly financial forecas'!X18,"")),IF(IF(IF(AND('POA — Three year summary'!B6&lt;=DATE(2028,9,1),DATE(2028,9,1)&lt;='POA — Three year summary'!C6)="",FALSE,AND('POA — Three year summary'!B6&lt;=DATE(2028,9,1),DATE(2028,9,1)&lt;='POA — Three year summary'!C6)),'POA — Monthly financial forecas'!Y18,"")="",0,IF(IF(AND('POA — Three year summary'!B6&lt;=DATE(2028,9,1),DATE(2028,9,1)&lt;='POA — Three year summary'!C6)="",FALSE,AND('POA — Three year summary'!B6&lt;=DATE(2028,9,1),DATE(2028,9,1)&lt;='POA — Three year summary'!C6)),'POA — Monthly financial forecas'!Y18,"")),IF(IF(IF(AND('POA — Three year summary'!B6&lt;=DATE(2028,10,1),DATE(2028,10,1)&lt;='POA — Three year summary'!C6)="",FALSE,AND('POA — Three year summary'!B6&lt;=DATE(2028,10,1),DATE(2028,10,1)&lt;='POA — Three year summary'!C6)),'POA — Monthly financial forecas'!Z18,"")="",0,IF(IF(AND('POA — Three year summary'!B6&lt;=DATE(2028,10,1),DATE(2028,10,1)&lt;='POA — Three year summary'!C6)="",FALSE,AND('POA — Three year summary'!B6&lt;=DATE(2028,10,1),DATE(2028,10,1)&lt;='POA — Three year summary'!C6)),'POA — Monthly financial forecas'!Z18,"")),IF(IF(IF(AND('POA — Three year summary'!B6&lt;=DATE(2028,11,1),DATE(2028,11,1)&lt;='POA — Three year summary'!C6)="",FALSE,AND('POA — Three year summary'!B6&lt;=DATE(2028,11,1),DATE(2028,11,1)&lt;='POA — Three year summary'!C6)),'POA — Monthly financial forecas'!AA18,"")="",0,IF(IF(AND('POA — Three year summary'!B6&lt;=DATE(2028,11,1),DATE(2028,11,1)&lt;='POA — Three year summary'!C6)="",FALSE,AND('POA — Three year summary'!B6&lt;=DATE(2028,11,1),DATE(2028,11,1)&lt;='POA — Three year summary'!C6)),'POA — Monthly financial forecas'!AA18,"")),IF(IF(IF(AND('POA — Three year summary'!B6&lt;=DATE(2028,12,1),DATE(2028,12,1)&lt;='POA — Three year summary'!C6)="",FALSE,AND('POA — Three year summary'!B6&lt;=DATE(2028,12,1),DATE(2028,12,1)&lt;='POA — Three year summary'!C6)),'POA — Monthly financial forecas'!AB18,"")="",0,IF(IF(AND('POA — Three year summary'!B6&lt;=DATE(2028,12,1),DATE(2028,12,1)&lt;='POA — Three year summary'!C6)="",FALSE,AND('POA — Three year summary'!B6&lt;=DATE(2028,12,1),DATE(2028,12,1)&lt;='POA — Three year summary'!C6)),'POA — Monthly financial forecas'!AB18,"")),IF(IF(IF(AND('POA — Three year summary'!B6&lt;=DATE(2029,1,1),DATE(2029,1,1)&lt;='POA — Three year summary'!C6)="",FALSE,AND('POA — Three year summary'!B6&lt;=DATE(2029,1,1),DATE(2029,1,1)&lt;='POA — Three year summary'!C6)),'POA — Monthly financial forecas'!AC18,"")="",0,IF(IF(AND('POA — Three year summary'!B6&lt;=DATE(2029,1,1),DATE(2029,1,1)&lt;='POA — Three year summary'!C6)="",FALSE,AND('POA — Three year summary'!B6&lt;=DATE(2029,1,1),DATE(2029,1,1)&lt;='POA — Three year summary'!C6)),'POA — Monthly financial forecas'!AC18,"")),IF(IF(IF(AND('POA — Three year summary'!B6&lt;=DATE(2029,2,1),DATE(2029,2,1)&lt;='POA — Three year summary'!C6)="",FALSE,AND('POA — Three year summary'!B6&lt;=DATE(2029,2,1),DATE(2029,2,1)&lt;='POA — Three year summary'!C6)),'POA — Monthly financial forecas'!AD18,"")="",0,IF(IF(AND('POA — Three year summary'!B6&lt;=DATE(2029,2,1),DATE(2029,2,1)&lt;='POA — Three year summary'!C6)="",FALSE,AND('POA — Three year summary'!B6&lt;=DATE(2029,2,1),DATE(2029,2,1)&lt;='POA — Three year summary'!C6)),'POA — Monthly financial forecas'!AD18,"")),IF(IF(IF(AND('POA — Three year summary'!B6&lt;=DATE(2029,3,1),DATE(2029,3,1)&lt;='POA — Three year summary'!C6)="",FALSE,AND('POA — Three year summary'!B6&lt;=DATE(2029,3,1),DATE(2029,3,1)&lt;='POA — Three year summary'!C6)),'POA — Monthly financial forecas'!AE18,"")="",0,IF(IF(AND('POA — Three year summary'!B6&lt;=DATE(2029,3,1),DATE(2029,3,1)&lt;='POA — Three year summary'!C6)="",FALSE,AND('POA — Three year summary'!B6&lt;=DATE(2029,3,1),DATE(2029,3,1)&lt;='POA — Three year summary'!C6)),'POA — Monthly financial forecas'!AE18,"")))</f>
      </c>
    </row>
    <row r="305">
      <c r="A305" t="inlineStr" s="25">
        <is>
          <t xml:space="preserve">Calculation</t>
        </is>
      </c>
      <c r="B305" s="11">
        <f>SUM(IF(IF(IF(AND('POA — Three year summary'!B6&lt;=DATE(2029,4,1),DATE(2029,4,1)&lt;='POA — Three year summary'!C6)="",FALSE,AND('POA — Three year summary'!B6&lt;=DATE(2029,4,1),DATE(2029,4,1)&lt;='POA — Three year summary'!C6)),'POA — Monthly financial forecas'!AF18,"")="",0,IF(IF(AND('POA — Three year summary'!B6&lt;=DATE(2029,4,1),DATE(2029,4,1)&lt;='POA — Three year summary'!C6)="",FALSE,AND('POA — Three year summary'!B6&lt;=DATE(2029,4,1),DATE(2029,4,1)&lt;='POA — Three year summary'!C6)),'POA — Monthly financial forecas'!AF18,"")),IF(IF(IF(AND('POA — Three year summary'!B6&lt;=DATE(2029,5,1),DATE(2029,5,1)&lt;='POA — Three year summary'!C6)="",FALSE,AND('POA — Three year summary'!B6&lt;=DATE(2029,5,1),DATE(2029,5,1)&lt;='POA — Three year summary'!C6)),'POA — Monthly financial forecas'!AG18,"")="",0,IF(IF(AND('POA — Three year summary'!B6&lt;=DATE(2029,5,1),DATE(2029,5,1)&lt;='POA — Three year summary'!C6)="",FALSE,AND('POA — Three year summary'!B6&lt;=DATE(2029,5,1),DATE(2029,5,1)&lt;='POA — Three year summary'!C6)),'POA — Monthly financial forecas'!AG18,"")),IF(IF(IF(AND('POA — Three year summary'!B6&lt;=DATE(2029,6,1),DATE(2029,6,1)&lt;='POA — Three year summary'!C6)="",FALSE,AND('POA — Three year summary'!B6&lt;=DATE(2029,6,1),DATE(2029,6,1)&lt;='POA — Three year summary'!C6)),'POA — Monthly financial forecas'!AH18,"")="",0,IF(IF(AND('POA — Three year summary'!B6&lt;=DATE(2029,6,1),DATE(2029,6,1)&lt;='POA — Three year summary'!C6)="",FALSE,AND('POA — Three year summary'!B6&lt;=DATE(2029,6,1),DATE(2029,6,1)&lt;='POA — Three year summary'!C6)),'POA — Monthly financial forecas'!AH18,"")),IF(IF(IF(AND('POA — Three year summary'!B6&lt;=DATE(2029,7,1),DATE(2029,7,1)&lt;='POA — Three year summary'!C6)="",FALSE,AND('POA — Three year summary'!B6&lt;=DATE(2029,7,1),DATE(2029,7,1)&lt;='POA — Three year summary'!C6)),'POA — Monthly financial forecas'!AI18,"")="",0,IF(IF(AND('POA — Three year summary'!B6&lt;=DATE(2029,7,1),DATE(2029,7,1)&lt;='POA — Three year summary'!C6)="",FALSE,AND('POA — Three year summary'!B6&lt;=DATE(2029,7,1),DATE(2029,7,1)&lt;='POA — Three year summary'!C6)),'POA — Monthly financial forecas'!AI18,"")),IF(IF(IF(AND('POA — Three year summary'!B6&lt;=DATE(2029,8,1),DATE(2029,8,1)&lt;='POA — Three year summary'!C6)="",FALSE,AND('POA — Three year summary'!B6&lt;=DATE(2029,8,1),DATE(2029,8,1)&lt;='POA — Three year summary'!C6)),'POA — Monthly financial forecas'!AJ18,"")="",0,IF(IF(AND('POA — Three year summary'!B6&lt;=DATE(2029,8,1),DATE(2029,8,1)&lt;='POA — Three year summary'!C6)="",FALSE,AND('POA — Three year summary'!B6&lt;=DATE(2029,8,1),DATE(2029,8,1)&lt;='POA — Three year summary'!C6)),'POA — Monthly financial forecas'!AJ18,"")),IF(IF(IF(AND('POA — Three year summary'!B6&lt;=DATE(2029,9,1),DATE(2029,9,1)&lt;='POA — Three year summary'!C6)="",FALSE,AND('POA — Three year summary'!B6&lt;=DATE(2029,9,1),DATE(2029,9,1)&lt;='POA — Three year summary'!C6)),'POA — Monthly financial forecas'!AK18,"")="",0,IF(IF(AND('POA — Three year summary'!B6&lt;=DATE(2029,9,1),DATE(2029,9,1)&lt;='POA — Three year summary'!C6)="",FALSE,AND('POA — Three year summary'!B6&lt;=DATE(2029,9,1),DATE(2029,9,1)&lt;='POA — Three year summary'!C6)),'POA — Monthly financial forecas'!AK18,"")),IF(IF(IF(AND('POA — Three year summary'!B6&lt;=DATE(2026,9,1),DATE(2026,9,1)&lt;='POA — Three year summary'!C6)="",FALSE,AND('POA — Three year summary'!B6&lt;=DATE(2026,9,1),DATE(2026,9,1)&lt;='POA — Three year summary'!C6)),'Model inputs'!B79,"")="",0,IF(IF(AND('POA — Three year summary'!B6&lt;=DATE(2026,9,1),DATE(2026,9,1)&lt;='POA — Three year summary'!C6)="",FALSE,AND('POA — Three year summary'!B6&lt;=DATE(2026,9,1),DATE(2026,9,1)&lt;='POA — Three year summary'!C6)),'Model inputs'!B79,"")))</f>
      </c>
    </row>
    <row r="306">
      <c r="A306" t="inlineStr" s="25">
        <is>
          <t xml:space="preserve">Calculation</t>
        </is>
      </c>
      <c r="B306" s="11">
        <f>SUM(IF(IF(IF(AND('POA — Three year summary'!B6&lt;=DATE(2026,10,1),DATE(2026,10,1)&lt;='POA — Three year summary'!C6)="",FALSE,AND('POA — Three year summary'!B6&lt;=DATE(2026,10,1),DATE(2026,10,1)&lt;='POA — Three year summary'!C6)),'POA — Monthly financial forecas'!B22,"")="",0,IF(IF(AND('POA — Three year summary'!B6&lt;=DATE(2026,10,1),DATE(2026,10,1)&lt;='POA — Three year summary'!C6)="",FALSE,AND('POA — Three year summary'!B6&lt;=DATE(2026,10,1),DATE(2026,10,1)&lt;='POA — Three year summary'!C6)),'POA — Monthly financial forecas'!B22,"")),IF(IF(IF(AND('POA — Three year summary'!B6&lt;=DATE(2026,11,1),DATE(2026,11,1)&lt;='POA — Three year summary'!C6)="",FALSE,AND('POA — Three year summary'!B6&lt;=DATE(2026,11,1),DATE(2026,11,1)&lt;='POA — Three year summary'!C6)),'POA — Monthly financial forecas'!C22,"")="",0,IF(IF(AND('POA — Three year summary'!B6&lt;=DATE(2026,11,1),DATE(2026,11,1)&lt;='POA — Three year summary'!C6)="",FALSE,AND('POA — Three year summary'!B6&lt;=DATE(2026,11,1),DATE(2026,11,1)&lt;='POA — Three year summary'!C6)),'POA — Monthly financial forecas'!C22,"")),IF(IF(IF(AND('POA — Three year summary'!B6&lt;=DATE(2026,12,1),DATE(2026,12,1)&lt;='POA — Three year summary'!C6)="",FALSE,AND('POA — Three year summary'!B6&lt;=DATE(2026,12,1),DATE(2026,12,1)&lt;='POA — Three year summary'!C6)),'POA — Monthly financial forecas'!D22,"")="",0,IF(IF(AND('POA — Three year summary'!B6&lt;=DATE(2026,12,1),DATE(2026,12,1)&lt;='POA — Three year summary'!C6)="",FALSE,AND('POA — Three year summary'!B6&lt;=DATE(2026,12,1),DATE(2026,12,1)&lt;='POA — Three year summary'!C6)),'POA — Monthly financial forecas'!D22,"")),IF(IF(IF(AND('POA — Three year summary'!B6&lt;=DATE(2027,1,1),DATE(2027,1,1)&lt;='POA — Three year summary'!C6)="",FALSE,AND('POA — Three year summary'!B6&lt;=DATE(2027,1,1),DATE(2027,1,1)&lt;='POA — Three year summary'!C6)),'POA — Monthly financial forecas'!E22,"")="",0,IF(IF(AND('POA — Three year summary'!B6&lt;=DATE(2027,1,1),DATE(2027,1,1)&lt;='POA — Three year summary'!C6)="",FALSE,AND('POA — Three year summary'!B6&lt;=DATE(2027,1,1),DATE(2027,1,1)&lt;='POA — Three year summary'!C6)),'POA — Monthly financial forecas'!E22,"")),IF(IF(IF(AND('POA — Three year summary'!B6&lt;=DATE(2027,2,1),DATE(2027,2,1)&lt;='POA — Three year summary'!C6)="",FALSE,AND('POA — Three year summary'!B6&lt;=DATE(2027,2,1),DATE(2027,2,1)&lt;='POA — Three year summary'!C6)),'POA — Monthly financial forecas'!F22,"")="",0,IF(IF(AND('POA — Three year summary'!B6&lt;=DATE(2027,2,1),DATE(2027,2,1)&lt;='POA — Three year summary'!C6)="",FALSE,AND('POA — Three year summary'!B6&lt;=DATE(2027,2,1),DATE(2027,2,1)&lt;='POA — Three year summary'!C6)),'POA — Monthly financial forecas'!F22,"")),IF(IF(IF(AND('POA — Three year summary'!B6&lt;=DATE(2027,3,1),DATE(2027,3,1)&lt;='POA — Three year summary'!C6)="",FALSE,AND('POA — Three year summary'!B6&lt;=DATE(2027,3,1),DATE(2027,3,1)&lt;='POA — Three year summary'!C6)),'POA — Monthly financial forecas'!G22,"")="",0,IF(IF(AND('POA — Three year summary'!B6&lt;=DATE(2027,3,1),DATE(2027,3,1)&lt;='POA — Three year summary'!C6)="",FALSE,AND('POA — Three year summary'!B6&lt;=DATE(2027,3,1),DATE(2027,3,1)&lt;='POA — Three year summary'!C6)),'POA — Monthly financial forecas'!G22,"")),IF(IF(IF(AND('POA — Three year summary'!B6&lt;=DATE(2027,4,1),DATE(2027,4,1)&lt;='POA — Three year summary'!C6)="",FALSE,AND('POA — Three year summary'!B6&lt;=DATE(2027,4,1),DATE(2027,4,1)&lt;='POA — Three year summary'!C6)),'POA — Monthly financial forecas'!H22,"")="",0,IF(IF(AND('POA — Three year summary'!B6&lt;=DATE(2027,4,1),DATE(2027,4,1)&lt;='POA — Three year summary'!C6)="",FALSE,AND('POA — Three year summary'!B6&lt;=DATE(2027,4,1),DATE(2027,4,1)&lt;='POA — Three year summary'!C6)),'POA — Monthly financial forecas'!H22,"")),IF(IF(IF(AND('POA — Three year summary'!B6&lt;=DATE(2027,5,1),DATE(2027,5,1)&lt;='POA — Three year summary'!C6)="",FALSE,AND('POA — Three year summary'!B6&lt;=DATE(2027,5,1),DATE(2027,5,1)&lt;='POA — Three year summary'!C6)),'POA — Monthly financial forecas'!I22,"")="",0,IF(IF(AND('POA — Three year summary'!B6&lt;=DATE(2027,5,1),DATE(2027,5,1)&lt;='POA — Three year summary'!C6)="",FALSE,AND('POA — Three year summary'!B6&lt;=DATE(2027,5,1),DATE(2027,5,1)&lt;='POA — Three year summary'!C6)),'POA — Monthly financial forecas'!I22,"")),IF(IF(IF(AND('POA — Three year summary'!B6&lt;=DATE(2027,6,1),DATE(2027,6,1)&lt;='POA — Three year summary'!C6)="",FALSE,AND('POA — Three year summary'!B6&lt;=DATE(2027,6,1),DATE(2027,6,1)&lt;='POA — Three year summary'!C6)),'POA — Monthly financial forecas'!J22,"")="",0,IF(IF(AND('POA — Three year summary'!B6&lt;=DATE(2027,6,1),DATE(2027,6,1)&lt;='POA — Three year summary'!C6)="",FALSE,AND('POA — Three year summary'!B6&lt;=DATE(2027,6,1),DATE(2027,6,1)&lt;='POA — Three year summary'!C6)),'POA — Monthly financial forecas'!J22,"")),IF(IF(IF(AND('POA — Three year summary'!B6&lt;=DATE(2027,7,1),DATE(2027,7,1)&lt;='POA — Three year summary'!C6)="",FALSE,AND('POA — Three year summary'!B6&lt;=DATE(2027,7,1),DATE(2027,7,1)&lt;='POA — Three year summary'!C6)),'POA — Monthly financial forecas'!K22,"")="",0,IF(IF(AND('POA — Three year summary'!B6&lt;=DATE(2027,7,1),DATE(2027,7,1)&lt;='POA — Three year summary'!C6)="",FALSE,AND('POA — Three year summary'!B6&lt;=DATE(2027,7,1),DATE(2027,7,1)&lt;='POA — Three year summary'!C6)),'POA — Monthly financial forecas'!K22,"")),IF(IF(IF(AND('POA — Three year summary'!B6&lt;=DATE(2027,8,1),DATE(2027,8,1)&lt;='POA — Three year summary'!C6)="",FALSE,AND('POA — Three year summary'!B6&lt;=DATE(2027,8,1),DATE(2027,8,1)&lt;='POA — Three year summary'!C6)),'POA — Monthly financial forecas'!L22,"")="",0,IF(IF(AND('POA — Three year summary'!B6&lt;=DATE(2027,8,1),DATE(2027,8,1)&lt;='POA — Three year summary'!C6)="",FALSE,AND('POA — Three year summary'!B6&lt;=DATE(2027,8,1),DATE(2027,8,1)&lt;='POA — Three year summary'!C6)),'POA — Monthly financial forecas'!L22,"")),IF(IF(IF(AND('POA — Three year summary'!B6&lt;=DATE(2027,9,1),DATE(2027,9,1)&lt;='POA — Three year summary'!C6)="",FALSE,AND('POA — Three year summary'!B6&lt;=DATE(2027,9,1),DATE(2027,9,1)&lt;='POA — Three year summary'!C6)),'POA — Monthly financial forecas'!M22,"")="",0,IF(IF(AND('POA — Three year summary'!B6&lt;=DATE(2027,9,1),DATE(2027,9,1)&lt;='POA — Three year summary'!C6)="",FALSE,AND('POA — Three year summary'!B6&lt;=DATE(2027,9,1),DATE(2027,9,1)&lt;='POA — Three year summary'!C6)),'POA — Monthly financial forecas'!M22,"")),IF(IF(IF(AND('POA — Three year summary'!B6&lt;=DATE(2027,10,1),DATE(2027,10,1)&lt;='POA — Three year summary'!C6)="",FALSE,AND('POA — Three year summary'!B6&lt;=DATE(2027,10,1),DATE(2027,10,1)&lt;='POA — Three year summary'!C6)),'POA — Monthly financial forecas'!N22,"")="",0,IF(IF(AND('POA — Three year summary'!B6&lt;=DATE(2027,10,1),DATE(2027,10,1)&lt;='POA — Three year summary'!C6)="",FALSE,AND('POA — Three year summary'!B6&lt;=DATE(2027,10,1),DATE(2027,10,1)&lt;='POA — Three year summary'!C6)),'POA — Monthly financial forecas'!N22,"")),IF(IF(IF(AND('POA — Three year summary'!B6&lt;=DATE(2027,11,1),DATE(2027,11,1)&lt;='POA — Three year summary'!C6)="",FALSE,AND('POA — Three year summary'!B6&lt;=DATE(2027,11,1),DATE(2027,11,1)&lt;='POA — Three year summary'!C6)),'POA — Monthly financial forecas'!O22,"")="",0,IF(IF(AND('POA — Three year summary'!B6&lt;=DATE(2027,11,1),DATE(2027,11,1)&lt;='POA — Three year summary'!C6)="",FALSE,AND('POA — Three year summary'!B6&lt;=DATE(2027,11,1),DATE(2027,11,1)&lt;='POA — Three year summary'!C6)),'POA — Monthly financial forecas'!O22,"")),IF(IF(IF(AND('POA — Three year summary'!B6&lt;=DATE(2027,12,1),DATE(2027,12,1)&lt;='POA — Three year summary'!C6)="",FALSE,AND('POA — Three year summary'!B6&lt;=DATE(2027,12,1),DATE(2027,12,1)&lt;='POA — Three year summary'!C6)),'POA — Monthly financial forecas'!P22,"")="",0,IF(IF(AND('POA — Three year summary'!B6&lt;=DATE(2027,12,1),DATE(2027,12,1)&lt;='POA — Three year summary'!C6)="",FALSE,AND('POA — Three year summary'!B6&lt;=DATE(2027,12,1),DATE(2027,12,1)&lt;='POA — Three year summary'!C6)),'POA — Monthly financial forecas'!P22,"")))</f>
      </c>
    </row>
    <row r="307">
      <c r="A307" t="inlineStr" s="25">
        <is>
          <t xml:space="preserve">Calculation</t>
        </is>
      </c>
      <c r="B307" s="11">
        <f>SUM(IF(IF(IF(AND('POA — Three year summary'!B6&lt;=DATE(2028,1,1),DATE(2028,1,1)&lt;='POA — Three year summary'!C6)="",FALSE,AND('POA — Three year summary'!B6&lt;=DATE(2028,1,1),DATE(2028,1,1)&lt;='POA — Three year summary'!C6)),'POA — Monthly financial forecas'!Q22,"")="",0,IF(IF(AND('POA — Three year summary'!B6&lt;=DATE(2028,1,1),DATE(2028,1,1)&lt;='POA — Three year summary'!C6)="",FALSE,AND('POA — Three year summary'!B6&lt;=DATE(2028,1,1),DATE(2028,1,1)&lt;='POA — Three year summary'!C6)),'POA — Monthly financial forecas'!Q22,"")),IF(IF(IF(AND('POA — Three year summary'!B6&lt;=DATE(2028,2,1),DATE(2028,2,1)&lt;='POA — Three year summary'!C6)="",FALSE,AND('POA — Three year summary'!B6&lt;=DATE(2028,2,1),DATE(2028,2,1)&lt;='POA — Three year summary'!C6)),'POA — Monthly financial forecas'!R22,"")="",0,IF(IF(AND('POA — Three year summary'!B6&lt;=DATE(2028,2,1),DATE(2028,2,1)&lt;='POA — Three year summary'!C6)="",FALSE,AND('POA — Three year summary'!B6&lt;=DATE(2028,2,1),DATE(2028,2,1)&lt;='POA — Three year summary'!C6)),'POA — Monthly financial forecas'!R22,"")),IF(IF(IF(AND('POA — Three year summary'!B6&lt;=DATE(2028,3,1),DATE(2028,3,1)&lt;='POA — Three year summary'!C6)="",FALSE,AND('POA — Three year summary'!B6&lt;=DATE(2028,3,1),DATE(2028,3,1)&lt;='POA — Three year summary'!C6)),'POA — Monthly financial forecas'!S22,"")="",0,IF(IF(AND('POA — Three year summary'!B6&lt;=DATE(2028,3,1),DATE(2028,3,1)&lt;='POA — Three year summary'!C6)="",FALSE,AND('POA — Three year summary'!B6&lt;=DATE(2028,3,1),DATE(2028,3,1)&lt;='POA — Three year summary'!C6)),'POA — Monthly financial forecas'!S22,"")),IF(IF(IF(AND('POA — Three year summary'!B6&lt;=DATE(2028,4,1),DATE(2028,4,1)&lt;='POA — Three year summary'!C6)="",FALSE,AND('POA — Three year summary'!B6&lt;=DATE(2028,4,1),DATE(2028,4,1)&lt;='POA — Three year summary'!C6)),'POA — Monthly financial forecas'!T22,"")="",0,IF(IF(AND('POA — Three year summary'!B6&lt;=DATE(2028,4,1),DATE(2028,4,1)&lt;='POA — Three year summary'!C6)="",FALSE,AND('POA — Three year summary'!B6&lt;=DATE(2028,4,1),DATE(2028,4,1)&lt;='POA — Three year summary'!C6)),'POA — Monthly financial forecas'!T22,"")),IF(IF(IF(AND('POA — Three year summary'!B6&lt;=DATE(2028,5,1),DATE(2028,5,1)&lt;='POA — Three year summary'!C6)="",FALSE,AND('POA — Three year summary'!B6&lt;=DATE(2028,5,1),DATE(2028,5,1)&lt;='POA — Three year summary'!C6)),'POA — Monthly financial forecas'!U22,"")="",0,IF(IF(AND('POA — Three year summary'!B6&lt;=DATE(2028,5,1),DATE(2028,5,1)&lt;='POA — Three year summary'!C6)="",FALSE,AND('POA — Three year summary'!B6&lt;=DATE(2028,5,1),DATE(2028,5,1)&lt;='POA — Three year summary'!C6)),'POA — Monthly financial forecas'!U22,"")),IF(IF(IF(AND('POA — Three year summary'!B6&lt;=DATE(2028,6,1),DATE(2028,6,1)&lt;='POA — Three year summary'!C6)="",FALSE,AND('POA — Three year summary'!B6&lt;=DATE(2028,6,1),DATE(2028,6,1)&lt;='POA — Three year summary'!C6)),'POA — Monthly financial forecas'!V22,"")="",0,IF(IF(AND('POA — Three year summary'!B6&lt;=DATE(2028,6,1),DATE(2028,6,1)&lt;='POA — Three year summary'!C6)="",FALSE,AND('POA — Three year summary'!B6&lt;=DATE(2028,6,1),DATE(2028,6,1)&lt;='POA — Three year summary'!C6)),'POA — Monthly financial forecas'!V22,"")),IF(IF(IF(AND('POA — Three year summary'!B6&lt;=DATE(2028,7,1),DATE(2028,7,1)&lt;='POA — Three year summary'!C6)="",FALSE,AND('POA — Three year summary'!B6&lt;=DATE(2028,7,1),DATE(2028,7,1)&lt;='POA — Three year summary'!C6)),'POA — Monthly financial forecas'!W22,"")="",0,IF(IF(AND('POA — Three year summary'!B6&lt;=DATE(2028,7,1),DATE(2028,7,1)&lt;='POA — Three year summary'!C6)="",FALSE,AND('POA — Three year summary'!B6&lt;=DATE(2028,7,1),DATE(2028,7,1)&lt;='POA — Three year summary'!C6)),'POA — Monthly financial forecas'!W22,"")),IF(IF(IF(AND('POA — Three year summary'!B6&lt;=DATE(2028,8,1),DATE(2028,8,1)&lt;='POA — Three year summary'!C6)="",FALSE,AND('POA — Three year summary'!B6&lt;=DATE(2028,8,1),DATE(2028,8,1)&lt;='POA — Three year summary'!C6)),'POA — Monthly financial forecas'!X22,"")="",0,IF(IF(AND('POA — Three year summary'!B6&lt;=DATE(2028,8,1),DATE(2028,8,1)&lt;='POA — Three year summary'!C6)="",FALSE,AND('POA — Three year summary'!B6&lt;=DATE(2028,8,1),DATE(2028,8,1)&lt;='POA — Three year summary'!C6)),'POA — Monthly financial forecas'!X22,"")),IF(IF(IF(AND('POA — Three year summary'!B6&lt;=DATE(2028,9,1),DATE(2028,9,1)&lt;='POA — Three year summary'!C6)="",FALSE,AND('POA — Three year summary'!B6&lt;=DATE(2028,9,1),DATE(2028,9,1)&lt;='POA — Three year summary'!C6)),'POA — Monthly financial forecas'!Y22,"")="",0,IF(IF(AND('POA — Three year summary'!B6&lt;=DATE(2028,9,1),DATE(2028,9,1)&lt;='POA — Three year summary'!C6)="",FALSE,AND('POA — Three year summary'!B6&lt;=DATE(2028,9,1),DATE(2028,9,1)&lt;='POA — Three year summary'!C6)),'POA — Monthly financial forecas'!Y22,"")),IF(IF(IF(AND('POA — Three year summary'!B6&lt;=DATE(2028,10,1),DATE(2028,10,1)&lt;='POA — Three year summary'!C6)="",FALSE,AND('POA — Three year summary'!B6&lt;=DATE(2028,10,1),DATE(2028,10,1)&lt;='POA — Three year summary'!C6)),'POA — Monthly financial forecas'!Z22,"")="",0,IF(IF(AND('POA — Three year summary'!B6&lt;=DATE(2028,10,1),DATE(2028,10,1)&lt;='POA — Three year summary'!C6)="",FALSE,AND('POA — Three year summary'!B6&lt;=DATE(2028,10,1),DATE(2028,10,1)&lt;='POA — Three year summary'!C6)),'POA — Monthly financial forecas'!Z22,"")),IF(IF(IF(AND('POA — Three year summary'!B6&lt;=DATE(2028,11,1),DATE(2028,11,1)&lt;='POA — Three year summary'!C6)="",FALSE,AND('POA — Three year summary'!B6&lt;=DATE(2028,11,1),DATE(2028,11,1)&lt;='POA — Three year summary'!C6)),'POA — Monthly financial forecas'!AA22,"")="",0,IF(IF(AND('POA — Three year summary'!B6&lt;=DATE(2028,11,1),DATE(2028,11,1)&lt;='POA — Three year summary'!C6)="",FALSE,AND('POA — Three year summary'!B6&lt;=DATE(2028,11,1),DATE(2028,11,1)&lt;='POA — Three year summary'!C6)),'POA — Monthly financial forecas'!AA22,"")),IF(IF(IF(AND('POA — Three year summary'!B6&lt;=DATE(2028,12,1),DATE(2028,12,1)&lt;='POA — Three year summary'!C6)="",FALSE,AND('POA — Three year summary'!B6&lt;=DATE(2028,12,1),DATE(2028,12,1)&lt;='POA — Three year summary'!C6)),'POA — Monthly financial forecas'!AB22,"")="",0,IF(IF(AND('POA — Three year summary'!B6&lt;=DATE(2028,12,1),DATE(2028,12,1)&lt;='POA — Three year summary'!C6)="",FALSE,AND('POA — Three year summary'!B6&lt;=DATE(2028,12,1),DATE(2028,12,1)&lt;='POA — Three year summary'!C6)),'POA — Monthly financial forecas'!AB22,"")),IF(IF(IF(AND('POA — Three year summary'!B6&lt;=DATE(2029,1,1),DATE(2029,1,1)&lt;='POA — Three year summary'!C6)="",FALSE,AND('POA — Three year summary'!B6&lt;=DATE(2029,1,1),DATE(2029,1,1)&lt;='POA — Three year summary'!C6)),'POA — Monthly financial forecas'!AC22,"")="",0,IF(IF(AND('POA — Three year summary'!B6&lt;=DATE(2029,1,1),DATE(2029,1,1)&lt;='POA — Three year summary'!C6)="",FALSE,AND('POA — Three year summary'!B6&lt;=DATE(2029,1,1),DATE(2029,1,1)&lt;='POA — Three year summary'!C6)),'POA — Monthly financial forecas'!AC22,"")),IF(IF(IF(AND('POA — Three year summary'!B6&lt;=DATE(2029,2,1),DATE(2029,2,1)&lt;='POA — Three year summary'!C6)="",FALSE,AND('POA — Three year summary'!B6&lt;=DATE(2029,2,1),DATE(2029,2,1)&lt;='POA — Three year summary'!C6)),'POA — Monthly financial forecas'!AD22,"")="",0,IF(IF(AND('POA — Three year summary'!B6&lt;=DATE(2029,2,1),DATE(2029,2,1)&lt;='POA — Three year summary'!C6)="",FALSE,AND('POA — Three year summary'!B6&lt;=DATE(2029,2,1),DATE(2029,2,1)&lt;='POA — Three year summary'!C6)),'POA — Monthly financial forecas'!AD22,"")),IF(IF(IF(AND('POA — Three year summary'!B6&lt;=DATE(2029,3,1),DATE(2029,3,1)&lt;='POA — Three year summary'!C6)="",FALSE,AND('POA — Three year summary'!B6&lt;=DATE(2029,3,1),DATE(2029,3,1)&lt;='POA — Three year summary'!C6)),'POA — Monthly financial forecas'!AE22,"")="",0,IF(IF(AND('POA — Three year summary'!B6&lt;=DATE(2029,3,1),DATE(2029,3,1)&lt;='POA — Three year summary'!C6)="",FALSE,AND('POA — Three year summary'!B6&lt;=DATE(2029,3,1),DATE(2029,3,1)&lt;='POA — Three year summary'!C6)),'POA — Monthly financial forecas'!AE22,"")))</f>
      </c>
    </row>
    <row r="308">
      <c r="A308" t="inlineStr" s="25">
        <is>
          <t xml:space="preserve">Calculation</t>
        </is>
      </c>
      <c r="B308" s="11">
        <f>SUM(IF(IF(IF(AND('POA — Three year summary'!B6&lt;=DATE(2029,4,1),DATE(2029,4,1)&lt;='POA — Three year summary'!C6)="",FALSE,AND('POA — Three year summary'!B6&lt;=DATE(2029,4,1),DATE(2029,4,1)&lt;='POA — Three year summary'!C6)),'POA — Monthly financial forecas'!AF22,"")="",0,IF(IF(AND('POA — Three year summary'!B6&lt;=DATE(2029,4,1),DATE(2029,4,1)&lt;='POA — Three year summary'!C6)="",FALSE,AND('POA — Three year summary'!B6&lt;=DATE(2029,4,1),DATE(2029,4,1)&lt;='POA — Three year summary'!C6)),'POA — Monthly financial forecas'!AF22,"")),IF(IF(IF(AND('POA — Three year summary'!B6&lt;=DATE(2029,5,1),DATE(2029,5,1)&lt;='POA — Three year summary'!C6)="",FALSE,AND('POA — Three year summary'!B6&lt;=DATE(2029,5,1),DATE(2029,5,1)&lt;='POA — Three year summary'!C6)),'POA — Monthly financial forecas'!AG22,"")="",0,IF(IF(AND('POA — Three year summary'!B6&lt;=DATE(2029,5,1),DATE(2029,5,1)&lt;='POA — Three year summary'!C6)="",FALSE,AND('POA — Three year summary'!B6&lt;=DATE(2029,5,1),DATE(2029,5,1)&lt;='POA — Three year summary'!C6)),'POA — Monthly financial forecas'!AG22,"")),IF(IF(IF(AND('POA — Three year summary'!B6&lt;=DATE(2029,6,1),DATE(2029,6,1)&lt;='POA — Three year summary'!C6)="",FALSE,AND('POA — Three year summary'!B6&lt;=DATE(2029,6,1),DATE(2029,6,1)&lt;='POA — Three year summary'!C6)),'POA — Monthly financial forecas'!AH22,"")="",0,IF(IF(AND('POA — Three year summary'!B6&lt;=DATE(2029,6,1),DATE(2029,6,1)&lt;='POA — Three year summary'!C6)="",FALSE,AND('POA — Three year summary'!B6&lt;=DATE(2029,6,1),DATE(2029,6,1)&lt;='POA — Three year summary'!C6)),'POA — Monthly financial forecas'!AH22,"")),IF(IF(IF(AND('POA — Three year summary'!B6&lt;=DATE(2029,7,1),DATE(2029,7,1)&lt;='POA — Three year summary'!C6)="",FALSE,AND('POA — Three year summary'!B6&lt;=DATE(2029,7,1),DATE(2029,7,1)&lt;='POA — Three year summary'!C6)),'POA — Monthly financial forecas'!AI22,"")="",0,IF(IF(AND('POA — Three year summary'!B6&lt;=DATE(2029,7,1),DATE(2029,7,1)&lt;='POA — Three year summary'!C6)="",FALSE,AND('POA — Three year summary'!B6&lt;=DATE(2029,7,1),DATE(2029,7,1)&lt;='POA — Three year summary'!C6)),'POA — Monthly financial forecas'!AI22,"")),IF(IF(IF(AND('POA — Three year summary'!B6&lt;=DATE(2029,8,1),DATE(2029,8,1)&lt;='POA — Three year summary'!C6)="",FALSE,AND('POA — Three year summary'!B6&lt;=DATE(2029,8,1),DATE(2029,8,1)&lt;='POA — Three year summary'!C6)),'POA — Monthly financial forecas'!AJ22,"")="",0,IF(IF(AND('POA — Three year summary'!B6&lt;=DATE(2029,8,1),DATE(2029,8,1)&lt;='POA — Three year summary'!C6)="",FALSE,AND('POA — Three year summary'!B6&lt;=DATE(2029,8,1),DATE(2029,8,1)&lt;='POA — Three year summary'!C6)),'POA — Monthly financial forecas'!AJ22,"")),IF(IF(IF(AND('POA — Three year summary'!B6&lt;=DATE(2029,9,1),DATE(2029,9,1)&lt;='POA — Three year summary'!C6)="",FALSE,AND('POA — Three year summary'!B6&lt;=DATE(2029,9,1),DATE(2029,9,1)&lt;='POA — Three year summary'!C6)),'POA — Monthly financial forecas'!AK22,"")="",0,IF(IF(AND('POA — Three year summary'!B6&lt;=DATE(2029,9,1),DATE(2029,9,1)&lt;='POA — Three year summary'!C6)="",FALSE,AND('POA — Three year summary'!B6&lt;=DATE(2029,9,1),DATE(2029,9,1)&lt;='POA — Three year summary'!C6)),'POA — Monthly financial forecas'!AK22,"")),IF(IF(IF(AND('POA — Three year summary'!B6&lt;=DATE(2026,9,1),DATE(2026,9,1)&lt;='POA — Three year summary'!C6)="",FALSE,AND('POA — Three year summary'!B6&lt;=DATE(2026,9,1),DATE(2026,9,1)&lt;='POA — Three year summary'!C6)),'Model inputs'!B15,"")="",0,IF(IF(AND('POA — Three year summary'!B6&lt;=DATE(2026,9,1),DATE(2026,9,1)&lt;='POA — Three year summary'!C6)="",FALSE,AND('POA — Three year summary'!B6&lt;=DATE(2026,9,1),DATE(2026,9,1)&lt;='POA — Three year summary'!C6)),'Model inputs'!B15,"")))</f>
      </c>
    </row>
    <row r="309">
      <c r="A309" t="inlineStr" s="25">
        <is>
          <t xml:space="preserve">Calculation</t>
        </is>
      </c>
      <c r="B309" s="11">
        <f>SUM(IF(IF(IF(AND('POA — Three year summary'!B6&lt;=DATE(2026,10,1),DATE(2026,10,1)&lt;='POA — Three year summary'!C6)="",FALSE,AND('POA — Three year summary'!B6&lt;=DATE(2026,10,1),DATE(2026,10,1)&lt;='POA — Three year summary'!C6)),'POA — Monthly financial forecas'!B27,"")="",0,IF(IF(AND('POA — Three year summary'!B6&lt;=DATE(2026,10,1),DATE(2026,10,1)&lt;='POA — Three year summary'!C6)="",FALSE,AND('POA — Three year summary'!B6&lt;=DATE(2026,10,1),DATE(2026,10,1)&lt;='POA — Three year summary'!C6)),'POA — Monthly financial forecas'!B27,"")),IF(IF(IF(AND('POA — Three year summary'!B6&lt;=DATE(2026,11,1),DATE(2026,11,1)&lt;='POA — Three year summary'!C6)="",FALSE,AND('POA — Three year summary'!B6&lt;=DATE(2026,11,1),DATE(2026,11,1)&lt;='POA — Three year summary'!C6)),'POA — Monthly financial forecas'!C27,"")="",0,IF(IF(AND('POA — Three year summary'!B6&lt;=DATE(2026,11,1),DATE(2026,11,1)&lt;='POA — Three year summary'!C6)="",FALSE,AND('POA — Three year summary'!B6&lt;=DATE(2026,11,1),DATE(2026,11,1)&lt;='POA — Three year summary'!C6)),'POA — Monthly financial forecas'!C27,"")),IF(IF(IF(AND('POA — Three year summary'!B6&lt;=DATE(2026,12,1),DATE(2026,12,1)&lt;='POA — Three year summary'!C6)="",FALSE,AND('POA — Three year summary'!B6&lt;=DATE(2026,12,1),DATE(2026,12,1)&lt;='POA — Three year summary'!C6)),'POA — Monthly financial forecas'!D27,"")="",0,IF(IF(AND('POA — Three year summary'!B6&lt;=DATE(2026,12,1),DATE(2026,12,1)&lt;='POA — Three year summary'!C6)="",FALSE,AND('POA — Three year summary'!B6&lt;=DATE(2026,12,1),DATE(2026,12,1)&lt;='POA — Three year summary'!C6)),'POA — Monthly financial forecas'!D27,"")),IF(IF(IF(AND('POA — Three year summary'!B6&lt;=DATE(2027,1,1),DATE(2027,1,1)&lt;='POA — Three year summary'!C6)="",FALSE,AND('POA — Three year summary'!B6&lt;=DATE(2027,1,1),DATE(2027,1,1)&lt;='POA — Three year summary'!C6)),'POA — Monthly financial forecas'!E27,"")="",0,IF(IF(AND('POA — Three year summary'!B6&lt;=DATE(2027,1,1),DATE(2027,1,1)&lt;='POA — Three year summary'!C6)="",FALSE,AND('POA — Three year summary'!B6&lt;=DATE(2027,1,1),DATE(2027,1,1)&lt;='POA — Three year summary'!C6)),'POA — Monthly financial forecas'!E27,"")),IF(IF(IF(AND('POA — Three year summary'!B6&lt;=DATE(2027,2,1),DATE(2027,2,1)&lt;='POA — Three year summary'!C6)="",FALSE,AND('POA — Three year summary'!B6&lt;=DATE(2027,2,1),DATE(2027,2,1)&lt;='POA — Three year summary'!C6)),'POA — Monthly financial forecas'!F27,"")="",0,IF(IF(AND('POA — Three year summary'!B6&lt;=DATE(2027,2,1),DATE(2027,2,1)&lt;='POA — Three year summary'!C6)="",FALSE,AND('POA — Three year summary'!B6&lt;=DATE(2027,2,1),DATE(2027,2,1)&lt;='POA — Three year summary'!C6)),'POA — Monthly financial forecas'!F27,"")),IF(IF(IF(AND('POA — Three year summary'!B6&lt;=DATE(2027,3,1),DATE(2027,3,1)&lt;='POA — Three year summary'!C6)="",FALSE,AND('POA — Three year summary'!B6&lt;=DATE(2027,3,1),DATE(2027,3,1)&lt;='POA — Three year summary'!C6)),'POA — Monthly financial forecas'!G27,"")="",0,IF(IF(AND('POA — Three year summary'!B6&lt;=DATE(2027,3,1),DATE(2027,3,1)&lt;='POA — Three year summary'!C6)="",FALSE,AND('POA — Three year summary'!B6&lt;=DATE(2027,3,1),DATE(2027,3,1)&lt;='POA — Three year summary'!C6)),'POA — Monthly financial forecas'!G27,"")),IF(IF(IF(AND('POA — Three year summary'!B6&lt;=DATE(2027,4,1),DATE(2027,4,1)&lt;='POA — Three year summary'!C6)="",FALSE,AND('POA — Three year summary'!B6&lt;=DATE(2027,4,1),DATE(2027,4,1)&lt;='POA — Three year summary'!C6)),'POA — Monthly financial forecas'!H27,"")="",0,IF(IF(AND('POA — Three year summary'!B6&lt;=DATE(2027,4,1),DATE(2027,4,1)&lt;='POA — Three year summary'!C6)="",FALSE,AND('POA — Three year summary'!B6&lt;=DATE(2027,4,1),DATE(2027,4,1)&lt;='POA — Three year summary'!C6)),'POA — Monthly financial forecas'!H27,"")),IF(IF(IF(AND('POA — Three year summary'!B6&lt;=DATE(2027,5,1),DATE(2027,5,1)&lt;='POA — Three year summary'!C6)="",FALSE,AND('POA — Three year summary'!B6&lt;=DATE(2027,5,1),DATE(2027,5,1)&lt;='POA — Three year summary'!C6)),'POA — Monthly financial forecas'!I27,"")="",0,IF(IF(AND('POA — Three year summary'!B6&lt;=DATE(2027,5,1),DATE(2027,5,1)&lt;='POA — Three year summary'!C6)="",FALSE,AND('POA — Three year summary'!B6&lt;=DATE(2027,5,1),DATE(2027,5,1)&lt;='POA — Three year summary'!C6)),'POA — Monthly financial forecas'!I27,"")),IF(IF(IF(AND('POA — Three year summary'!B6&lt;=DATE(2027,6,1),DATE(2027,6,1)&lt;='POA — Three year summary'!C6)="",FALSE,AND('POA — Three year summary'!B6&lt;=DATE(2027,6,1),DATE(2027,6,1)&lt;='POA — Three year summary'!C6)),'POA — Monthly financial forecas'!J27,"")="",0,IF(IF(AND('POA — Three year summary'!B6&lt;=DATE(2027,6,1),DATE(2027,6,1)&lt;='POA — Three year summary'!C6)="",FALSE,AND('POA — Three year summary'!B6&lt;=DATE(2027,6,1),DATE(2027,6,1)&lt;='POA — Three year summary'!C6)),'POA — Monthly financial forecas'!J27,"")),IF(IF(IF(AND('POA — Three year summary'!B6&lt;=DATE(2027,7,1),DATE(2027,7,1)&lt;='POA — Three year summary'!C6)="",FALSE,AND('POA — Three year summary'!B6&lt;=DATE(2027,7,1),DATE(2027,7,1)&lt;='POA — Three year summary'!C6)),'POA — Monthly financial forecas'!K27,"")="",0,IF(IF(AND('POA — Three year summary'!B6&lt;=DATE(2027,7,1),DATE(2027,7,1)&lt;='POA — Three year summary'!C6)="",FALSE,AND('POA — Three year summary'!B6&lt;=DATE(2027,7,1),DATE(2027,7,1)&lt;='POA — Three year summary'!C6)),'POA — Monthly financial forecas'!K27,"")),IF(IF(IF(AND('POA — Three year summary'!B6&lt;=DATE(2027,8,1),DATE(2027,8,1)&lt;='POA — Three year summary'!C6)="",FALSE,AND('POA — Three year summary'!B6&lt;=DATE(2027,8,1),DATE(2027,8,1)&lt;='POA — Three year summary'!C6)),'POA — Monthly financial forecas'!L27,"")="",0,IF(IF(AND('POA — Three year summary'!B6&lt;=DATE(2027,8,1),DATE(2027,8,1)&lt;='POA — Three year summary'!C6)="",FALSE,AND('POA — Three year summary'!B6&lt;=DATE(2027,8,1),DATE(2027,8,1)&lt;='POA — Three year summary'!C6)),'POA — Monthly financial forecas'!L27,"")),IF(IF(IF(AND('POA — Three year summary'!B6&lt;=DATE(2027,9,1),DATE(2027,9,1)&lt;='POA — Three year summary'!C6)="",FALSE,AND('POA — Three year summary'!B6&lt;=DATE(2027,9,1),DATE(2027,9,1)&lt;='POA — Three year summary'!C6)),'POA — Monthly financial forecas'!M27,"")="",0,IF(IF(AND('POA — Three year summary'!B6&lt;=DATE(2027,9,1),DATE(2027,9,1)&lt;='POA — Three year summary'!C6)="",FALSE,AND('POA — Three year summary'!B6&lt;=DATE(2027,9,1),DATE(2027,9,1)&lt;='POA — Three year summary'!C6)),'POA — Monthly financial forecas'!M27,"")),IF(IF(IF(AND('POA — Three year summary'!B6&lt;=DATE(2027,10,1),DATE(2027,10,1)&lt;='POA — Three year summary'!C6)="",FALSE,AND('POA — Three year summary'!B6&lt;=DATE(2027,10,1),DATE(2027,10,1)&lt;='POA — Three year summary'!C6)),'POA — Monthly financial forecas'!N27,"")="",0,IF(IF(AND('POA — Three year summary'!B6&lt;=DATE(2027,10,1),DATE(2027,10,1)&lt;='POA — Three year summary'!C6)="",FALSE,AND('POA — Three year summary'!B6&lt;=DATE(2027,10,1),DATE(2027,10,1)&lt;='POA — Three year summary'!C6)),'POA — Monthly financial forecas'!N27,"")),IF(IF(IF(AND('POA — Three year summary'!B6&lt;=DATE(2027,11,1),DATE(2027,11,1)&lt;='POA — Three year summary'!C6)="",FALSE,AND('POA — Three year summary'!B6&lt;=DATE(2027,11,1),DATE(2027,11,1)&lt;='POA — Three year summary'!C6)),'POA — Monthly financial forecas'!O27,"")="",0,IF(IF(AND('POA — Three year summary'!B6&lt;=DATE(2027,11,1),DATE(2027,11,1)&lt;='POA — Three year summary'!C6)="",FALSE,AND('POA — Three year summary'!B6&lt;=DATE(2027,11,1),DATE(2027,11,1)&lt;='POA — Three year summary'!C6)),'POA — Monthly financial forecas'!O27,"")),IF(IF(IF(AND('POA — Three year summary'!B6&lt;=DATE(2027,12,1),DATE(2027,12,1)&lt;='POA — Three year summary'!C6)="",FALSE,AND('POA — Three year summary'!B6&lt;=DATE(2027,12,1),DATE(2027,12,1)&lt;='POA — Three year summary'!C6)),'POA — Monthly financial forecas'!P27,"")="",0,IF(IF(AND('POA — Three year summary'!B6&lt;=DATE(2027,12,1),DATE(2027,12,1)&lt;='POA — Three year summary'!C6)="",FALSE,AND('POA — Three year summary'!B6&lt;=DATE(2027,12,1),DATE(2027,12,1)&lt;='POA — Three year summary'!C6)),'POA — Monthly financial forecas'!P27,"")))</f>
      </c>
    </row>
    <row r="310">
      <c r="A310" t="inlineStr" s="25">
        <is>
          <t xml:space="preserve">Calculation</t>
        </is>
      </c>
      <c r="B310" s="11">
        <f>SUM(IF(IF(IF(AND('POA — Three year summary'!B6&lt;=DATE(2028,1,1),DATE(2028,1,1)&lt;='POA — Three year summary'!C6)="",FALSE,AND('POA — Three year summary'!B6&lt;=DATE(2028,1,1),DATE(2028,1,1)&lt;='POA — Three year summary'!C6)),'POA — Monthly financial forecas'!Q27,"")="",0,IF(IF(AND('POA — Three year summary'!B6&lt;=DATE(2028,1,1),DATE(2028,1,1)&lt;='POA — Three year summary'!C6)="",FALSE,AND('POA — Three year summary'!B6&lt;=DATE(2028,1,1),DATE(2028,1,1)&lt;='POA — Three year summary'!C6)),'POA — Monthly financial forecas'!Q27,"")),IF(IF(IF(AND('POA — Three year summary'!B6&lt;=DATE(2028,2,1),DATE(2028,2,1)&lt;='POA — Three year summary'!C6)="",FALSE,AND('POA — Three year summary'!B6&lt;=DATE(2028,2,1),DATE(2028,2,1)&lt;='POA — Three year summary'!C6)),'POA — Monthly financial forecas'!R27,"")="",0,IF(IF(AND('POA — Three year summary'!B6&lt;=DATE(2028,2,1),DATE(2028,2,1)&lt;='POA — Three year summary'!C6)="",FALSE,AND('POA — Three year summary'!B6&lt;=DATE(2028,2,1),DATE(2028,2,1)&lt;='POA — Three year summary'!C6)),'POA — Monthly financial forecas'!R27,"")),IF(IF(IF(AND('POA — Three year summary'!B6&lt;=DATE(2028,3,1),DATE(2028,3,1)&lt;='POA — Three year summary'!C6)="",FALSE,AND('POA — Three year summary'!B6&lt;=DATE(2028,3,1),DATE(2028,3,1)&lt;='POA — Three year summary'!C6)),'POA — Monthly financial forecas'!S27,"")="",0,IF(IF(AND('POA — Three year summary'!B6&lt;=DATE(2028,3,1),DATE(2028,3,1)&lt;='POA — Three year summary'!C6)="",FALSE,AND('POA — Three year summary'!B6&lt;=DATE(2028,3,1),DATE(2028,3,1)&lt;='POA — Three year summary'!C6)),'POA — Monthly financial forecas'!S27,"")),IF(IF(IF(AND('POA — Three year summary'!B6&lt;=DATE(2028,4,1),DATE(2028,4,1)&lt;='POA — Three year summary'!C6)="",FALSE,AND('POA — Three year summary'!B6&lt;=DATE(2028,4,1),DATE(2028,4,1)&lt;='POA — Three year summary'!C6)),'POA — Monthly financial forecas'!T27,"")="",0,IF(IF(AND('POA — Three year summary'!B6&lt;=DATE(2028,4,1),DATE(2028,4,1)&lt;='POA — Three year summary'!C6)="",FALSE,AND('POA — Three year summary'!B6&lt;=DATE(2028,4,1),DATE(2028,4,1)&lt;='POA — Three year summary'!C6)),'POA — Monthly financial forecas'!T27,"")),IF(IF(IF(AND('POA — Three year summary'!B6&lt;=DATE(2028,5,1),DATE(2028,5,1)&lt;='POA — Three year summary'!C6)="",FALSE,AND('POA — Three year summary'!B6&lt;=DATE(2028,5,1),DATE(2028,5,1)&lt;='POA — Three year summary'!C6)),'POA — Monthly financial forecas'!U27,"")="",0,IF(IF(AND('POA — Three year summary'!B6&lt;=DATE(2028,5,1),DATE(2028,5,1)&lt;='POA — Three year summary'!C6)="",FALSE,AND('POA — Three year summary'!B6&lt;=DATE(2028,5,1),DATE(2028,5,1)&lt;='POA — Three year summary'!C6)),'POA — Monthly financial forecas'!U27,"")),IF(IF(IF(AND('POA — Three year summary'!B6&lt;=DATE(2028,6,1),DATE(2028,6,1)&lt;='POA — Three year summary'!C6)="",FALSE,AND('POA — Three year summary'!B6&lt;=DATE(2028,6,1),DATE(2028,6,1)&lt;='POA — Three year summary'!C6)),'POA — Monthly financial forecas'!V27,"")="",0,IF(IF(AND('POA — Three year summary'!B6&lt;=DATE(2028,6,1),DATE(2028,6,1)&lt;='POA — Three year summary'!C6)="",FALSE,AND('POA — Three year summary'!B6&lt;=DATE(2028,6,1),DATE(2028,6,1)&lt;='POA — Three year summary'!C6)),'POA — Monthly financial forecas'!V27,"")),IF(IF(IF(AND('POA — Three year summary'!B6&lt;=DATE(2028,7,1),DATE(2028,7,1)&lt;='POA — Three year summary'!C6)="",FALSE,AND('POA — Three year summary'!B6&lt;=DATE(2028,7,1),DATE(2028,7,1)&lt;='POA — Three year summary'!C6)),'POA — Monthly financial forecas'!W27,"")="",0,IF(IF(AND('POA — Three year summary'!B6&lt;=DATE(2028,7,1),DATE(2028,7,1)&lt;='POA — Three year summary'!C6)="",FALSE,AND('POA — Three year summary'!B6&lt;=DATE(2028,7,1),DATE(2028,7,1)&lt;='POA — Three year summary'!C6)),'POA — Monthly financial forecas'!W27,"")),IF(IF(IF(AND('POA — Three year summary'!B6&lt;=DATE(2028,8,1),DATE(2028,8,1)&lt;='POA — Three year summary'!C6)="",FALSE,AND('POA — Three year summary'!B6&lt;=DATE(2028,8,1),DATE(2028,8,1)&lt;='POA — Three year summary'!C6)),'POA — Monthly financial forecas'!X27,"")="",0,IF(IF(AND('POA — Three year summary'!B6&lt;=DATE(2028,8,1),DATE(2028,8,1)&lt;='POA — Three year summary'!C6)="",FALSE,AND('POA — Three year summary'!B6&lt;=DATE(2028,8,1),DATE(2028,8,1)&lt;='POA — Three year summary'!C6)),'POA — Monthly financial forecas'!X27,"")),IF(IF(IF(AND('POA — Three year summary'!B6&lt;=DATE(2028,9,1),DATE(2028,9,1)&lt;='POA — Three year summary'!C6)="",FALSE,AND('POA — Three year summary'!B6&lt;=DATE(2028,9,1),DATE(2028,9,1)&lt;='POA — Three year summary'!C6)),'POA — Monthly financial forecas'!Y27,"")="",0,IF(IF(AND('POA — Three year summary'!B6&lt;=DATE(2028,9,1),DATE(2028,9,1)&lt;='POA — Three year summary'!C6)="",FALSE,AND('POA — Three year summary'!B6&lt;=DATE(2028,9,1),DATE(2028,9,1)&lt;='POA — Three year summary'!C6)),'POA — Monthly financial forecas'!Y27,"")),IF(IF(IF(AND('POA — Three year summary'!B6&lt;=DATE(2028,10,1),DATE(2028,10,1)&lt;='POA — Three year summary'!C6)="",FALSE,AND('POA — Three year summary'!B6&lt;=DATE(2028,10,1),DATE(2028,10,1)&lt;='POA — Three year summary'!C6)),'POA — Monthly financial forecas'!Z27,"")="",0,IF(IF(AND('POA — Three year summary'!B6&lt;=DATE(2028,10,1),DATE(2028,10,1)&lt;='POA — Three year summary'!C6)="",FALSE,AND('POA — Three year summary'!B6&lt;=DATE(2028,10,1),DATE(2028,10,1)&lt;='POA — Three year summary'!C6)),'POA — Monthly financial forecas'!Z27,"")),IF(IF(IF(AND('POA — Three year summary'!B6&lt;=DATE(2028,11,1),DATE(2028,11,1)&lt;='POA — Three year summary'!C6)="",FALSE,AND('POA — Three year summary'!B6&lt;=DATE(2028,11,1),DATE(2028,11,1)&lt;='POA — Three year summary'!C6)),'POA — Monthly financial forecas'!AA27,"")="",0,IF(IF(AND('POA — Three year summary'!B6&lt;=DATE(2028,11,1),DATE(2028,11,1)&lt;='POA — Three year summary'!C6)="",FALSE,AND('POA — Three year summary'!B6&lt;=DATE(2028,11,1),DATE(2028,11,1)&lt;='POA — Three year summary'!C6)),'POA — Monthly financial forecas'!AA27,"")),IF(IF(IF(AND('POA — Three year summary'!B6&lt;=DATE(2028,12,1),DATE(2028,12,1)&lt;='POA — Three year summary'!C6)="",FALSE,AND('POA — Three year summary'!B6&lt;=DATE(2028,12,1),DATE(2028,12,1)&lt;='POA — Three year summary'!C6)),'POA — Monthly financial forecas'!AB27,"")="",0,IF(IF(AND('POA — Three year summary'!B6&lt;=DATE(2028,12,1),DATE(2028,12,1)&lt;='POA — Three year summary'!C6)="",FALSE,AND('POA — Three year summary'!B6&lt;=DATE(2028,12,1),DATE(2028,12,1)&lt;='POA — Three year summary'!C6)),'POA — Monthly financial forecas'!AB27,"")),IF(IF(IF(AND('POA — Three year summary'!B6&lt;=DATE(2029,1,1),DATE(2029,1,1)&lt;='POA — Three year summary'!C6)="",FALSE,AND('POA — Three year summary'!B6&lt;=DATE(2029,1,1),DATE(2029,1,1)&lt;='POA — Three year summary'!C6)),'POA — Monthly financial forecas'!AC27,"")="",0,IF(IF(AND('POA — Three year summary'!B6&lt;=DATE(2029,1,1),DATE(2029,1,1)&lt;='POA — Three year summary'!C6)="",FALSE,AND('POA — Three year summary'!B6&lt;=DATE(2029,1,1),DATE(2029,1,1)&lt;='POA — Three year summary'!C6)),'POA — Monthly financial forecas'!AC27,"")),IF(IF(IF(AND('POA — Three year summary'!B6&lt;=DATE(2029,2,1),DATE(2029,2,1)&lt;='POA — Three year summary'!C6)="",FALSE,AND('POA — Three year summary'!B6&lt;=DATE(2029,2,1),DATE(2029,2,1)&lt;='POA — Three year summary'!C6)),'POA — Monthly financial forecas'!AD27,"")="",0,IF(IF(AND('POA — Three year summary'!B6&lt;=DATE(2029,2,1),DATE(2029,2,1)&lt;='POA — Three year summary'!C6)="",FALSE,AND('POA — Three year summary'!B6&lt;=DATE(2029,2,1),DATE(2029,2,1)&lt;='POA — Three year summary'!C6)),'POA — Monthly financial forecas'!AD27,"")),IF(IF(IF(AND('POA — Three year summary'!B6&lt;=DATE(2029,3,1),DATE(2029,3,1)&lt;='POA — Three year summary'!C6)="",FALSE,AND('POA — Three year summary'!B6&lt;=DATE(2029,3,1),DATE(2029,3,1)&lt;='POA — Three year summary'!C6)),'POA — Monthly financial forecas'!AE27,"")="",0,IF(IF(AND('POA — Three year summary'!B6&lt;=DATE(2029,3,1),DATE(2029,3,1)&lt;='POA — Three year summary'!C6)="",FALSE,AND('POA — Three year summary'!B6&lt;=DATE(2029,3,1),DATE(2029,3,1)&lt;='POA — Three year summary'!C6)),'POA — Monthly financial forecas'!AE27,"")))</f>
      </c>
    </row>
    <row r="311">
      <c r="A311" t="inlineStr" s="25">
        <is>
          <t xml:space="preserve">Calculation</t>
        </is>
      </c>
      <c r="B311" s="11">
        <f>SUM(IF(IF(IF(AND('POA — Three year summary'!B6&lt;=DATE(2029,4,1),DATE(2029,4,1)&lt;='POA — Three year summary'!C6)="",FALSE,AND('POA — Three year summary'!B6&lt;=DATE(2029,4,1),DATE(2029,4,1)&lt;='POA — Three year summary'!C6)),'POA — Monthly financial forecas'!AF27,"")="",0,IF(IF(AND('POA — Three year summary'!B6&lt;=DATE(2029,4,1),DATE(2029,4,1)&lt;='POA — Three year summary'!C6)="",FALSE,AND('POA — Three year summary'!B6&lt;=DATE(2029,4,1),DATE(2029,4,1)&lt;='POA — Three year summary'!C6)),'POA — Monthly financial forecas'!AF27,"")),IF(IF(IF(AND('POA — Three year summary'!B6&lt;=DATE(2029,5,1),DATE(2029,5,1)&lt;='POA — Three year summary'!C6)="",FALSE,AND('POA — Three year summary'!B6&lt;=DATE(2029,5,1),DATE(2029,5,1)&lt;='POA — Three year summary'!C6)),'POA — Monthly financial forecas'!AG27,"")="",0,IF(IF(AND('POA — Three year summary'!B6&lt;=DATE(2029,5,1),DATE(2029,5,1)&lt;='POA — Three year summary'!C6)="",FALSE,AND('POA — Three year summary'!B6&lt;=DATE(2029,5,1),DATE(2029,5,1)&lt;='POA — Three year summary'!C6)),'POA — Monthly financial forecas'!AG27,"")),IF(IF(IF(AND('POA — Three year summary'!B6&lt;=DATE(2029,6,1),DATE(2029,6,1)&lt;='POA — Three year summary'!C6)="",FALSE,AND('POA — Three year summary'!B6&lt;=DATE(2029,6,1),DATE(2029,6,1)&lt;='POA — Three year summary'!C6)),'POA — Monthly financial forecas'!AH27,"")="",0,IF(IF(AND('POA — Three year summary'!B6&lt;=DATE(2029,6,1),DATE(2029,6,1)&lt;='POA — Three year summary'!C6)="",FALSE,AND('POA — Three year summary'!B6&lt;=DATE(2029,6,1),DATE(2029,6,1)&lt;='POA — Three year summary'!C6)),'POA — Monthly financial forecas'!AH27,"")),IF(IF(IF(AND('POA — Three year summary'!B6&lt;=DATE(2029,7,1),DATE(2029,7,1)&lt;='POA — Three year summary'!C6)="",FALSE,AND('POA — Three year summary'!B6&lt;=DATE(2029,7,1),DATE(2029,7,1)&lt;='POA — Three year summary'!C6)),'POA — Monthly financial forecas'!AI27,"")="",0,IF(IF(AND('POA — Three year summary'!B6&lt;=DATE(2029,7,1),DATE(2029,7,1)&lt;='POA — Three year summary'!C6)="",FALSE,AND('POA — Three year summary'!B6&lt;=DATE(2029,7,1),DATE(2029,7,1)&lt;='POA — Three year summary'!C6)),'POA — Monthly financial forecas'!AI27,"")),IF(IF(IF(AND('POA — Three year summary'!B6&lt;=DATE(2029,8,1),DATE(2029,8,1)&lt;='POA — Three year summary'!C6)="",FALSE,AND('POA — Three year summary'!B6&lt;=DATE(2029,8,1),DATE(2029,8,1)&lt;='POA — Three year summary'!C6)),'POA — Monthly financial forecas'!AJ27,"")="",0,IF(IF(AND('POA — Three year summary'!B6&lt;=DATE(2029,8,1),DATE(2029,8,1)&lt;='POA — Three year summary'!C6)="",FALSE,AND('POA — Three year summary'!B6&lt;=DATE(2029,8,1),DATE(2029,8,1)&lt;='POA — Three year summary'!C6)),'POA — Monthly financial forecas'!AJ27,"")),IF(IF(IF(AND('POA — Three year summary'!B6&lt;=DATE(2029,9,1),DATE(2029,9,1)&lt;='POA — Three year summary'!C6)="",FALSE,AND('POA — Three year summary'!B6&lt;=DATE(2029,9,1),DATE(2029,9,1)&lt;='POA — Three year summary'!C6)),'POA — Monthly financial forecas'!AK27,"")="",0,IF(IF(AND('POA — Three year summary'!B6&lt;=DATE(2029,9,1),DATE(2029,9,1)&lt;='POA — Three year summary'!C6)="",FALSE,AND('POA — Three year summary'!B6&lt;=DATE(2029,9,1),DATE(2029,9,1)&lt;='POA — Three year summary'!C6)),'POA — Monthly financial forecas'!AK27,"")),IF(IF(IF(AND('POA — Three year summary'!B6&lt;=DATE(2026,9,1),DATE(2026,9,1)&lt;='POA — Three year summary'!C6)="",FALSE,AND('POA — Three year summary'!B6&lt;=DATE(2026,9,1),DATE(2026,9,1)&lt;='POA — Three year summary'!C6)),'Model inputs'!B85,"")="",0,IF(IF(AND('POA — Three year summary'!B6&lt;=DATE(2026,9,1),DATE(2026,9,1)&lt;='POA — Three year summary'!C6)="",FALSE,AND('POA — Three year summary'!B6&lt;=DATE(2026,9,1),DATE(2026,9,1)&lt;='POA — Three year summary'!C6)),'Model inputs'!B85,"")))</f>
      </c>
    </row>
    <row r="312">
      <c r="A312" t="inlineStr" s="25">
        <is>
          <t xml:space="preserve">Calculation</t>
        </is>
      </c>
      <c r="B312" s="11">
        <f>SUM(IF(IF(IF(AND('POA — Three year summary'!B6&lt;=DATE(2026,10,1),DATE(2026,10,1)&lt;='POA — Three year summary'!C6)="",FALSE,AND('POA — Three year summary'!B6&lt;=DATE(2026,10,1),DATE(2026,10,1)&lt;='POA — Three year summary'!C6)),'POA — Monthly financial forecas'!B38,"")="",0,IF(IF(AND('POA — Three year summary'!B6&lt;=DATE(2026,10,1),DATE(2026,10,1)&lt;='POA — Three year summary'!C6)="",FALSE,AND('POA — Three year summary'!B6&lt;=DATE(2026,10,1),DATE(2026,10,1)&lt;='POA — Three year summary'!C6)),'POA — Monthly financial forecas'!B38,"")),IF(IF(IF(AND('POA — Three year summary'!B6&lt;=DATE(2026,11,1),DATE(2026,11,1)&lt;='POA — Three year summary'!C6)="",FALSE,AND('POA — Three year summary'!B6&lt;=DATE(2026,11,1),DATE(2026,11,1)&lt;='POA — Three year summary'!C6)),'POA — Monthly financial forecas'!C38,"")="",0,IF(IF(AND('POA — Three year summary'!B6&lt;=DATE(2026,11,1),DATE(2026,11,1)&lt;='POA — Three year summary'!C6)="",FALSE,AND('POA — Three year summary'!B6&lt;=DATE(2026,11,1),DATE(2026,11,1)&lt;='POA — Three year summary'!C6)),'POA — Monthly financial forecas'!C38,"")),IF(IF(IF(AND('POA — Three year summary'!B6&lt;=DATE(2026,12,1),DATE(2026,12,1)&lt;='POA — Three year summary'!C6)="",FALSE,AND('POA — Three year summary'!B6&lt;=DATE(2026,12,1),DATE(2026,12,1)&lt;='POA — Three year summary'!C6)),'POA — Monthly financial forecas'!D38,"")="",0,IF(IF(AND('POA — Three year summary'!B6&lt;=DATE(2026,12,1),DATE(2026,12,1)&lt;='POA — Three year summary'!C6)="",FALSE,AND('POA — Three year summary'!B6&lt;=DATE(2026,12,1),DATE(2026,12,1)&lt;='POA — Three year summary'!C6)),'POA — Monthly financial forecas'!D38,"")),IF(IF(IF(AND('POA — Three year summary'!B6&lt;=DATE(2027,1,1),DATE(2027,1,1)&lt;='POA — Three year summary'!C6)="",FALSE,AND('POA — Three year summary'!B6&lt;=DATE(2027,1,1),DATE(2027,1,1)&lt;='POA — Three year summary'!C6)),'POA — Monthly financial forecas'!E38,"")="",0,IF(IF(AND('POA — Three year summary'!B6&lt;=DATE(2027,1,1),DATE(2027,1,1)&lt;='POA — Three year summary'!C6)="",FALSE,AND('POA — Three year summary'!B6&lt;=DATE(2027,1,1),DATE(2027,1,1)&lt;='POA — Three year summary'!C6)),'POA — Monthly financial forecas'!E38,"")),IF(IF(IF(AND('POA — Three year summary'!B6&lt;=DATE(2027,2,1),DATE(2027,2,1)&lt;='POA — Three year summary'!C6)="",FALSE,AND('POA — Three year summary'!B6&lt;=DATE(2027,2,1),DATE(2027,2,1)&lt;='POA — Three year summary'!C6)),'POA — Monthly financial forecas'!F38,"")="",0,IF(IF(AND('POA — Three year summary'!B6&lt;=DATE(2027,2,1),DATE(2027,2,1)&lt;='POA — Three year summary'!C6)="",FALSE,AND('POA — Three year summary'!B6&lt;=DATE(2027,2,1),DATE(2027,2,1)&lt;='POA — Three year summary'!C6)),'POA — Monthly financial forecas'!F38,"")),IF(IF(IF(AND('POA — Three year summary'!B6&lt;=DATE(2027,3,1),DATE(2027,3,1)&lt;='POA — Three year summary'!C6)="",FALSE,AND('POA — Three year summary'!B6&lt;=DATE(2027,3,1),DATE(2027,3,1)&lt;='POA — Three year summary'!C6)),'POA — Monthly financial forecas'!G38,"")="",0,IF(IF(AND('POA — Three year summary'!B6&lt;=DATE(2027,3,1),DATE(2027,3,1)&lt;='POA — Three year summary'!C6)="",FALSE,AND('POA — Three year summary'!B6&lt;=DATE(2027,3,1),DATE(2027,3,1)&lt;='POA — Three year summary'!C6)),'POA — Monthly financial forecas'!G38,"")),IF(IF(IF(AND('POA — Three year summary'!B6&lt;=DATE(2027,4,1),DATE(2027,4,1)&lt;='POA — Three year summary'!C6)="",FALSE,AND('POA — Three year summary'!B6&lt;=DATE(2027,4,1),DATE(2027,4,1)&lt;='POA — Three year summary'!C6)),'POA — Monthly financial forecas'!H38,"")="",0,IF(IF(AND('POA — Three year summary'!B6&lt;=DATE(2027,4,1),DATE(2027,4,1)&lt;='POA — Three year summary'!C6)="",FALSE,AND('POA — Three year summary'!B6&lt;=DATE(2027,4,1),DATE(2027,4,1)&lt;='POA — Three year summary'!C6)),'POA — Monthly financial forecas'!H38,"")),IF(IF(IF(AND('POA — Three year summary'!B6&lt;=DATE(2027,5,1),DATE(2027,5,1)&lt;='POA — Three year summary'!C6)="",FALSE,AND('POA — Three year summary'!B6&lt;=DATE(2027,5,1),DATE(2027,5,1)&lt;='POA — Three year summary'!C6)),'POA — Monthly financial forecas'!I38,"")="",0,IF(IF(AND('POA — Three year summary'!B6&lt;=DATE(2027,5,1),DATE(2027,5,1)&lt;='POA — Three year summary'!C6)="",FALSE,AND('POA — Three year summary'!B6&lt;=DATE(2027,5,1),DATE(2027,5,1)&lt;='POA — Three year summary'!C6)),'POA — Monthly financial forecas'!I38,"")),IF(IF(IF(AND('POA — Three year summary'!B6&lt;=DATE(2027,6,1),DATE(2027,6,1)&lt;='POA — Three year summary'!C6)="",FALSE,AND('POA — Three year summary'!B6&lt;=DATE(2027,6,1),DATE(2027,6,1)&lt;='POA — Three year summary'!C6)),'POA — Monthly financial forecas'!J38,"")="",0,IF(IF(AND('POA — Three year summary'!B6&lt;=DATE(2027,6,1),DATE(2027,6,1)&lt;='POA — Three year summary'!C6)="",FALSE,AND('POA — Three year summary'!B6&lt;=DATE(2027,6,1),DATE(2027,6,1)&lt;='POA — Three year summary'!C6)),'POA — Monthly financial forecas'!J38,"")),IF(IF(IF(AND('POA — Three year summary'!B6&lt;=DATE(2027,7,1),DATE(2027,7,1)&lt;='POA — Three year summary'!C6)="",FALSE,AND('POA — Three year summary'!B6&lt;=DATE(2027,7,1),DATE(2027,7,1)&lt;='POA — Three year summary'!C6)),'POA — Monthly financial forecas'!K38,"")="",0,IF(IF(AND('POA — Three year summary'!B6&lt;=DATE(2027,7,1),DATE(2027,7,1)&lt;='POA — Three year summary'!C6)="",FALSE,AND('POA — Three year summary'!B6&lt;=DATE(2027,7,1),DATE(2027,7,1)&lt;='POA — Three year summary'!C6)),'POA — Monthly financial forecas'!K38,"")),IF(IF(IF(AND('POA — Three year summary'!B6&lt;=DATE(2027,8,1),DATE(2027,8,1)&lt;='POA — Three year summary'!C6)="",FALSE,AND('POA — Three year summary'!B6&lt;=DATE(2027,8,1),DATE(2027,8,1)&lt;='POA — Three year summary'!C6)),'POA — Monthly financial forecas'!L38,"")="",0,IF(IF(AND('POA — Three year summary'!B6&lt;=DATE(2027,8,1),DATE(2027,8,1)&lt;='POA — Three year summary'!C6)="",FALSE,AND('POA — Three year summary'!B6&lt;=DATE(2027,8,1),DATE(2027,8,1)&lt;='POA — Three year summary'!C6)),'POA — Monthly financial forecas'!L38,"")),IF(IF(IF(AND('POA — Three year summary'!B6&lt;=DATE(2027,9,1),DATE(2027,9,1)&lt;='POA — Three year summary'!C6)="",FALSE,AND('POA — Three year summary'!B6&lt;=DATE(2027,9,1),DATE(2027,9,1)&lt;='POA — Three year summary'!C6)),'POA — Monthly financial forecas'!M38,"")="",0,IF(IF(AND('POA — Three year summary'!B6&lt;=DATE(2027,9,1),DATE(2027,9,1)&lt;='POA — Three year summary'!C6)="",FALSE,AND('POA — Three year summary'!B6&lt;=DATE(2027,9,1),DATE(2027,9,1)&lt;='POA — Three year summary'!C6)),'POA — Monthly financial forecas'!M38,"")),IF(IF(IF(AND('POA — Three year summary'!B6&lt;=DATE(2027,10,1),DATE(2027,10,1)&lt;='POA — Three year summary'!C6)="",FALSE,AND('POA — Three year summary'!B6&lt;=DATE(2027,10,1),DATE(2027,10,1)&lt;='POA — Three year summary'!C6)),'POA — Monthly financial forecas'!N38,"")="",0,IF(IF(AND('POA — Three year summary'!B6&lt;=DATE(2027,10,1),DATE(2027,10,1)&lt;='POA — Three year summary'!C6)="",FALSE,AND('POA — Three year summary'!B6&lt;=DATE(2027,10,1),DATE(2027,10,1)&lt;='POA — Three year summary'!C6)),'POA — Monthly financial forecas'!N38,"")),IF(IF(IF(AND('POA — Three year summary'!B6&lt;=DATE(2027,11,1),DATE(2027,11,1)&lt;='POA — Three year summary'!C6)="",FALSE,AND('POA — Three year summary'!B6&lt;=DATE(2027,11,1),DATE(2027,11,1)&lt;='POA — Three year summary'!C6)),'POA — Monthly financial forecas'!O38,"")="",0,IF(IF(AND('POA — Three year summary'!B6&lt;=DATE(2027,11,1),DATE(2027,11,1)&lt;='POA — Three year summary'!C6)="",FALSE,AND('POA — Three year summary'!B6&lt;=DATE(2027,11,1),DATE(2027,11,1)&lt;='POA — Three year summary'!C6)),'POA — Monthly financial forecas'!O38,"")),IF(IF(IF(AND('POA — Three year summary'!B6&lt;=DATE(2027,12,1),DATE(2027,12,1)&lt;='POA — Three year summary'!C6)="",FALSE,AND('POA — Three year summary'!B6&lt;=DATE(2027,12,1),DATE(2027,12,1)&lt;='POA — Three year summary'!C6)),'POA — Monthly financial forecas'!P38,"")="",0,IF(IF(AND('POA — Three year summary'!B6&lt;=DATE(2027,12,1),DATE(2027,12,1)&lt;='POA — Three year summary'!C6)="",FALSE,AND('POA — Three year summary'!B6&lt;=DATE(2027,12,1),DATE(2027,12,1)&lt;='POA — Three year summary'!C6)),'POA — Monthly financial forecas'!P38,"")))</f>
      </c>
    </row>
    <row r="313">
      <c r="A313" t="inlineStr" s="25">
        <is>
          <t xml:space="preserve">Calculation</t>
        </is>
      </c>
      <c r="B313" s="11">
        <f>SUM(IF(IF(IF(AND('POA — Three year summary'!B6&lt;=DATE(2028,1,1),DATE(2028,1,1)&lt;='POA — Three year summary'!C6)="",FALSE,AND('POA — Three year summary'!B6&lt;=DATE(2028,1,1),DATE(2028,1,1)&lt;='POA — Three year summary'!C6)),'POA — Monthly financial forecas'!Q38,"")="",0,IF(IF(AND('POA — Three year summary'!B6&lt;=DATE(2028,1,1),DATE(2028,1,1)&lt;='POA — Three year summary'!C6)="",FALSE,AND('POA — Three year summary'!B6&lt;=DATE(2028,1,1),DATE(2028,1,1)&lt;='POA — Three year summary'!C6)),'POA — Monthly financial forecas'!Q38,"")),IF(IF(IF(AND('POA — Three year summary'!B6&lt;=DATE(2028,2,1),DATE(2028,2,1)&lt;='POA — Three year summary'!C6)="",FALSE,AND('POA — Three year summary'!B6&lt;=DATE(2028,2,1),DATE(2028,2,1)&lt;='POA — Three year summary'!C6)),'POA — Monthly financial forecas'!R38,"")="",0,IF(IF(AND('POA — Three year summary'!B6&lt;=DATE(2028,2,1),DATE(2028,2,1)&lt;='POA — Three year summary'!C6)="",FALSE,AND('POA — Three year summary'!B6&lt;=DATE(2028,2,1),DATE(2028,2,1)&lt;='POA — Three year summary'!C6)),'POA — Monthly financial forecas'!R38,"")),IF(IF(IF(AND('POA — Three year summary'!B6&lt;=DATE(2028,3,1),DATE(2028,3,1)&lt;='POA — Three year summary'!C6)="",FALSE,AND('POA — Three year summary'!B6&lt;=DATE(2028,3,1),DATE(2028,3,1)&lt;='POA — Three year summary'!C6)),'POA — Monthly financial forecas'!S38,"")="",0,IF(IF(AND('POA — Three year summary'!B6&lt;=DATE(2028,3,1),DATE(2028,3,1)&lt;='POA — Three year summary'!C6)="",FALSE,AND('POA — Three year summary'!B6&lt;=DATE(2028,3,1),DATE(2028,3,1)&lt;='POA — Three year summary'!C6)),'POA — Monthly financial forecas'!S38,"")),IF(IF(IF(AND('POA — Three year summary'!B6&lt;=DATE(2028,4,1),DATE(2028,4,1)&lt;='POA — Three year summary'!C6)="",FALSE,AND('POA — Three year summary'!B6&lt;=DATE(2028,4,1),DATE(2028,4,1)&lt;='POA — Three year summary'!C6)),'POA — Monthly financial forecas'!T38,"")="",0,IF(IF(AND('POA — Three year summary'!B6&lt;=DATE(2028,4,1),DATE(2028,4,1)&lt;='POA — Three year summary'!C6)="",FALSE,AND('POA — Three year summary'!B6&lt;=DATE(2028,4,1),DATE(2028,4,1)&lt;='POA — Three year summary'!C6)),'POA — Monthly financial forecas'!T38,"")),IF(IF(IF(AND('POA — Three year summary'!B6&lt;=DATE(2028,5,1),DATE(2028,5,1)&lt;='POA — Three year summary'!C6)="",FALSE,AND('POA — Three year summary'!B6&lt;=DATE(2028,5,1),DATE(2028,5,1)&lt;='POA — Three year summary'!C6)),'POA — Monthly financial forecas'!U38,"")="",0,IF(IF(AND('POA — Three year summary'!B6&lt;=DATE(2028,5,1),DATE(2028,5,1)&lt;='POA — Three year summary'!C6)="",FALSE,AND('POA — Three year summary'!B6&lt;=DATE(2028,5,1),DATE(2028,5,1)&lt;='POA — Three year summary'!C6)),'POA — Monthly financial forecas'!U38,"")),IF(IF(IF(AND('POA — Three year summary'!B6&lt;=DATE(2028,6,1),DATE(2028,6,1)&lt;='POA — Three year summary'!C6)="",FALSE,AND('POA — Three year summary'!B6&lt;=DATE(2028,6,1),DATE(2028,6,1)&lt;='POA — Three year summary'!C6)),'POA — Monthly financial forecas'!V38,"")="",0,IF(IF(AND('POA — Three year summary'!B6&lt;=DATE(2028,6,1),DATE(2028,6,1)&lt;='POA — Three year summary'!C6)="",FALSE,AND('POA — Three year summary'!B6&lt;=DATE(2028,6,1),DATE(2028,6,1)&lt;='POA — Three year summary'!C6)),'POA — Monthly financial forecas'!V38,"")),IF(IF(IF(AND('POA — Three year summary'!B6&lt;=DATE(2028,7,1),DATE(2028,7,1)&lt;='POA — Three year summary'!C6)="",FALSE,AND('POA — Three year summary'!B6&lt;=DATE(2028,7,1),DATE(2028,7,1)&lt;='POA — Three year summary'!C6)),'POA — Monthly financial forecas'!W38,"")="",0,IF(IF(AND('POA — Three year summary'!B6&lt;=DATE(2028,7,1),DATE(2028,7,1)&lt;='POA — Three year summary'!C6)="",FALSE,AND('POA — Three year summary'!B6&lt;=DATE(2028,7,1),DATE(2028,7,1)&lt;='POA — Three year summary'!C6)),'POA — Monthly financial forecas'!W38,"")),IF(IF(IF(AND('POA — Three year summary'!B6&lt;=DATE(2028,8,1),DATE(2028,8,1)&lt;='POA — Three year summary'!C6)="",FALSE,AND('POA — Three year summary'!B6&lt;=DATE(2028,8,1),DATE(2028,8,1)&lt;='POA — Three year summary'!C6)),'POA — Monthly financial forecas'!X38,"")="",0,IF(IF(AND('POA — Three year summary'!B6&lt;=DATE(2028,8,1),DATE(2028,8,1)&lt;='POA — Three year summary'!C6)="",FALSE,AND('POA — Three year summary'!B6&lt;=DATE(2028,8,1),DATE(2028,8,1)&lt;='POA — Three year summary'!C6)),'POA — Monthly financial forecas'!X38,"")),IF(IF(IF(AND('POA — Three year summary'!B6&lt;=DATE(2028,9,1),DATE(2028,9,1)&lt;='POA — Three year summary'!C6)="",FALSE,AND('POA — Three year summary'!B6&lt;=DATE(2028,9,1),DATE(2028,9,1)&lt;='POA — Three year summary'!C6)),'POA — Monthly financial forecas'!Y38,"")="",0,IF(IF(AND('POA — Three year summary'!B6&lt;=DATE(2028,9,1),DATE(2028,9,1)&lt;='POA — Three year summary'!C6)="",FALSE,AND('POA — Three year summary'!B6&lt;=DATE(2028,9,1),DATE(2028,9,1)&lt;='POA — Three year summary'!C6)),'POA — Monthly financial forecas'!Y38,"")),IF(IF(IF(AND('POA — Three year summary'!B6&lt;=DATE(2028,10,1),DATE(2028,10,1)&lt;='POA — Three year summary'!C6)="",FALSE,AND('POA — Three year summary'!B6&lt;=DATE(2028,10,1),DATE(2028,10,1)&lt;='POA — Three year summary'!C6)),'POA — Monthly financial forecas'!Z38,"")="",0,IF(IF(AND('POA — Three year summary'!B6&lt;=DATE(2028,10,1),DATE(2028,10,1)&lt;='POA — Three year summary'!C6)="",FALSE,AND('POA — Three year summary'!B6&lt;=DATE(2028,10,1),DATE(2028,10,1)&lt;='POA — Three year summary'!C6)),'POA — Monthly financial forecas'!Z38,"")),IF(IF(IF(AND('POA — Three year summary'!B6&lt;=DATE(2028,11,1),DATE(2028,11,1)&lt;='POA — Three year summary'!C6)="",FALSE,AND('POA — Three year summary'!B6&lt;=DATE(2028,11,1),DATE(2028,11,1)&lt;='POA — Three year summary'!C6)),'POA — Monthly financial forecas'!AA38,"")="",0,IF(IF(AND('POA — Three year summary'!B6&lt;=DATE(2028,11,1),DATE(2028,11,1)&lt;='POA — Three year summary'!C6)="",FALSE,AND('POA — Three year summary'!B6&lt;=DATE(2028,11,1),DATE(2028,11,1)&lt;='POA — Three year summary'!C6)),'POA — Monthly financial forecas'!AA38,"")),IF(IF(IF(AND('POA — Three year summary'!B6&lt;=DATE(2028,12,1),DATE(2028,12,1)&lt;='POA — Three year summary'!C6)="",FALSE,AND('POA — Three year summary'!B6&lt;=DATE(2028,12,1),DATE(2028,12,1)&lt;='POA — Three year summary'!C6)),'POA — Monthly financial forecas'!AB38,"")="",0,IF(IF(AND('POA — Three year summary'!B6&lt;=DATE(2028,12,1),DATE(2028,12,1)&lt;='POA — Three year summary'!C6)="",FALSE,AND('POA — Three year summary'!B6&lt;=DATE(2028,12,1),DATE(2028,12,1)&lt;='POA — Three year summary'!C6)),'POA — Monthly financial forecas'!AB38,"")),IF(IF(IF(AND('POA — Three year summary'!B6&lt;=DATE(2029,1,1),DATE(2029,1,1)&lt;='POA — Three year summary'!C6)="",FALSE,AND('POA — Three year summary'!B6&lt;=DATE(2029,1,1),DATE(2029,1,1)&lt;='POA — Three year summary'!C6)),'POA — Monthly financial forecas'!AC38,"")="",0,IF(IF(AND('POA — Three year summary'!B6&lt;=DATE(2029,1,1),DATE(2029,1,1)&lt;='POA — Three year summary'!C6)="",FALSE,AND('POA — Three year summary'!B6&lt;=DATE(2029,1,1),DATE(2029,1,1)&lt;='POA — Three year summary'!C6)),'POA — Monthly financial forecas'!AC38,"")),IF(IF(IF(AND('POA — Three year summary'!B6&lt;=DATE(2029,2,1),DATE(2029,2,1)&lt;='POA — Three year summary'!C6)="",FALSE,AND('POA — Three year summary'!B6&lt;=DATE(2029,2,1),DATE(2029,2,1)&lt;='POA — Three year summary'!C6)),'POA — Monthly financial forecas'!AD38,"")="",0,IF(IF(AND('POA — Three year summary'!B6&lt;=DATE(2029,2,1),DATE(2029,2,1)&lt;='POA — Three year summary'!C6)="",FALSE,AND('POA — Three year summary'!B6&lt;=DATE(2029,2,1),DATE(2029,2,1)&lt;='POA — Three year summary'!C6)),'POA — Monthly financial forecas'!AD38,"")),IF(IF(IF(AND('POA — Three year summary'!B6&lt;=DATE(2029,3,1),DATE(2029,3,1)&lt;='POA — Three year summary'!C6)="",FALSE,AND('POA — Three year summary'!B6&lt;=DATE(2029,3,1),DATE(2029,3,1)&lt;='POA — Three year summary'!C6)),'POA — Monthly financial forecas'!AE38,"")="",0,IF(IF(AND('POA — Three year summary'!B6&lt;=DATE(2029,3,1),DATE(2029,3,1)&lt;='POA — Three year summary'!C6)="",FALSE,AND('POA — Three year summary'!B6&lt;=DATE(2029,3,1),DATE(2029,3,1)&lt;='POA — Three year summary'!C6)),'POA — Monthly financial forecas'!AE38,"")))</f>
      </c>
    </row>
    <row r="314">
      <c r="A314" t="inlineStr" s="25">
        <is>
          <t xml:space="preserve">Calculation</t>
        </is>
      </c>
      <c r="B314" s="11">
        <f>SUM(IF(IF(IF(AND('POA — Three year summary'!B6&lt;=DATE(2029,4,1),DATE(2029,4,1)&lt;='POA — Three year summary'!C6)="",FALSE,AND('POA — Three year summary'!B6&lt;=DATE(2029,4,1),DATE(2029,4,1)&lt;='POA — Three year summary'!C6)),'POA — Monthly financial forecas'!AF38,"")="",0,IF(IF(AND('POA — Three year summary'!B6&lt;=DATE(2029,4,1),DATE(2029,4,1)&lt;='POA — Three year summary'!C6)="",FALSE,AND('POA — Three year summary'!B6&lt;=DATE(2029,4,1),DATE(2029,4,1)&lt;='POA — Three year summary'!C6)),'POA — Monthly financial forecas'!AF38,"")),IF(IF(IF(AND('POA — Three year summary'!B6&lt;=DATE(2029,5,1),DATE(2029,5,1)&lt;='POA — Three year summary'!C6)="",FALSE,AND('POA — Three year summary'!B6&lt;=DATE(2029,5,1),DATE(2029,5,1)&lt;='POA — Three year summary'!C6)),'POA — Monthly financial forecas'!AG38,"")="",0,IF(IF(AND('POA — Three year summary'!B6&lt;=DATE(2029,5,1),DATE(2029,5,1)&lt;='POA — Three year summary'!C6)="",FALSE,AND('POA — Three year summary'!B6&lt;=DATE(2029,5,1),DATE(2029,5,1)&lt;='POA — Three year summary'!C6)),'POA — Monthly financial forecas'!AG38,"")),IF(IF(IF(AND('POA — Three year summary'!B6&lt;=DATE(2029,6,1),DATE(2029,6,1)&lt;='POA — Three year summary'!C6)="",FALSE,AND('POA — Three year summary'!B6&lt;=DATE(2029,6,1),DATE(2029,6,1)&lt;='POA — Three year summary'!C6)),'POA — Monthly financial forecas'!AH38,"")="",0,IF(IF(AND('POA — Three year summary'!B6&lt;=DATE(2029,6,1),DATE(2029,6,1)&lt;='POA — Three year summary'!C6)="",FALSE,AND('POA — Three year summary'!B6&lt;=DATE(2029,6,1),DATE(2029,6,1)&lt;='POA — Three year summary'!C6)),'POA — Monthly financial forecas'!AH38,"")),IF(IF(IF(AND('POA — Three year summary'!B6&lt;=DATE(2029,7,1),DATE(2029,7,1)&lt;='POA — Three year summary'!C6)="",FALSE,AND('POA — Three year summary'!B6&lt;=DATE(2029,7,1),DATE(2029,7,1)&lt;='POA — Three year summary'!C6)),'POA — Monthly financial forecas'!AI38,"")="",0,IF(IF(AND('POA — Three year summary'!B6&lt;=DATE(2029,7,1),DATE(2029,7,1)&lt;='POA — Three year summary'!C6)="",FALSE,AND('POA — Three year summary'!B6&lt;=DATE(2029,7,1),DATE(2029,7,1)&lt;='POA — Three year summary'!C6)),'POA — Monthly financial forecas'!AI38,"")),IF(IF(IF(AND('POA — Three year summary'!B6&lt;=DATE(2029,8,1),DATE(2029,8,1)&lt;='POA — Three year summary'!C6)="",FALSE,AND('POA — Three year summary'!B6&lt;=DATE(2029,8,1),DATE(2029,8,1)&lt;='POA — Three year summary'!C6)),'POA — Monthly financial forecas'!AJ38,"")="",0,IF(IF(AND('POA — Three year summary'!B6&lt;=DATE(2029,8,1),DATE(2029,8,1)&lt;='POA — Three year summary'!C6)="",FALSE,AND('POA — Three year summary'!B6&lt;=DATE(2029,8,1),DATE(2029,8,1)&lt;='POA — Three year summary'!C6)),'POA — Monthly financial forecas'!AJ38,"")),IF(IF(IF(AND('POA — Three year summary'!B6&lt;=DATE(2029,9,1),DATE(2029,9,1)&lt;='POA — Three year summary'!C6)="",FALSE,AND('POA — Three year summary'!B6&lt;=DATE(2029,9,1),DATE(2029,9,1)&lt;='POA — Three year summary'!C6)),'POA — Monthly financial forecas'!AK38,"")="",0,IF(IF(AND('POA — Three year summary'!B6&lt;=DATE(2029,9,1),DATE(2029,9,1)&lt;='POA — Three year summary'!C6)="",FALSE,AND('POA — Three year summary'!B6&lt;=DATE(2029,9,1),DATE(2029,9,1)&lt;='POA — Three year summary'!C6)),'POA — Monthly financial forecas'!AK38,"")),IF(IF(IF(AND('POA — Three year summary'!B6&lt;=DATE(2026,9,1),DATE(2026,9,1)&lt;='POA — Three year summary'!C6)="",FALSE,AND('POA — Three year summary'!B6&lt;=DATE(2026,9,1),DATE(2026,9,1)&lt;='POA — Three year summary'!C6)),'Model inputs'!B37,"")="",0,IF(IF(AND('POA — Three year summary'!B6&lt;=DATE(2026,9,1),DATE(2026,9,1)&lt;='POA — Three year summary'!C6)="",FALSE,AND('POA — Three year summary'!B6&lt;=DATE(2026,9,1),DATE(2026,9,1)&lt;='POA — Three year summary'!C6)),'Model inputs'!B37,"")))</f>
      </c>
    </row>
    <row r="315">
      <c r="A315" t="inlineStr" s="25">
        <is>
          <t xml:space="preserve">Calculation</t>
        </is>
      </c>
      <c r="B315" s="11">
        <f>SUM(IF(IF(IF(AND('POA — Three year summary'!B6&lt;=DATE(2026,10,1),DATE(2026,10,1)&lt;='POA — Three year summary'!C6)="",FALSE,AND('POA — Three year summary'!B6&lt;=DATE(2026,10,1),DATE(2026,10,1)&lt;='POA — Three year summary'!C6)),'POA — Monthly financial forecas'!B41,"")="",0,IF(IF(AND('POA — Three year summary'!B6&lt;=DATE(2026,10,1),DATE(2026,10,1)&lt;='POA — Three year summary'!C6)="",FALSE,AND('POA — Three year summary'!B6&lt;=DATE(2026,10,1),DATE(2026,10,1)&lt;='POA — Three year summary'!C6)),'POA — Monthly financial forecas'!B41,"")),IF(IF(IF(AND('POA — Three year summary'!B6&lt;=DATE(2026,11,1),DATE(2026,11,1)&lt;='POA — Three year summary'!C6)="",FALSE,AND('POA — Three year summary'!B6&lt;=DATE(2026,11,1),DATE(2026,11,1)&lt;='POA — Three year summary'!C6)),'POA — Monthly financial forecas'!C41,"")="",0,IF(IF(AND('POA — Three year summary'!B6&lt;=DATE(2026,11,1),DATE(2026,11,1)&lt;='POA — Three year summary'!C6)="",FALSE,AND('POA — Three year summary'!B6&lt;=DATE(2026,11,1),DATE(2026,11,1)&lt;='POA — Three year summary'!C6)),'POA — Monthly financial forecas'!C41,"")),IF(IF(IF(AND('POA — Three year summary'!B6&lt;=DATE(2026,12,1),DATE(2026,12,1)&lt;='POA — Three year summary'!C6)="",FALSE,AND('POA — Three year summary'!B6&lt;=DATE(2026,12,1),DATE(2026,12,1)&lt;='POA — Three year summary'!C6)),'POA — Monthly financial forecas'!D41,"")="",0,IF(IF(AND('POA — Three year summary'!B6&lt;=DATE(2026,12,1),DATE(2026,12,1)&lt;='POA — Three year summary'!C6)="",FALSE,AND('POA — Three year summary'!B6&lt;=DATE(2026,12,1),DATE(2026,12,1)&lt;='POA — Three year summary'!C6)),'POA — Monthly financial forecas'!D41,"")),IF(IF(IF(AND('POA — Three year summary'!B6&lt;=DATE(2027,1,1),DATE(2027,1,1)&lt;='POA — Three year summary'!C6)="",FALSE,AND('POA — Three year summary'!B6&lt;=DATE(2027,1,1),DATE(2027,1,1)&lt;='POA — Three year summary'!C6)),'POA — Monthly financial forecas'!E41,"")="",0,IF(IF(AND('POA — Three year summary'!B6&lt;=DATE(2027,1,1),DATE(2027,1,1)&lt;='POA — Three year summary'!C6)="",FALSE,AND('POA — Three year summary'!B6&lt;=DATE(2027,1,1),DATE(2027,1,1)&lt;='POA — Three year summary'!C6)),'POA — Monthly financial forecas'!E41,"")),IF(IF(IF(AND('POA — Three year summary'!B6&lt;=DATE(2027,2,1),DATE(2027,2,1)&lt;='POA — Three year summary'!C6)="",FALSE,AND('POA — Three year summary'!B6&lt;=DATE(2027,2,1),DATE(2027,2,1)&lt;='POA — Three year summary'!C6)),'POA — Monthly financial forecas'!F41,"")="",0,IF(IF(AND('POA — Three year summary'!B6&lt;=DATE(2027,2,1),DATE(2027,2,1)&lt;='POA — Three year summary'!C6)="",FALSE,AND('POA — Three year summary'!B6&lt;=DATE(2027,2,1),DATE(2027,2,1)&lt;='POA — Three year summary'!C6)),'POA — Monthly financial forecas'!F41,"")),IF(IF(IF(AND('POA — Three year summary'!B6&lt;=DATE(2027,3,1),DATE(2027,3,1)&lt;='POA — Three year summary'!C6)="",FALSE,AND('POA — Three year summary'!B6&lt;=DATE(2027,3,1),DATE(2027,3,1)&lt;='POA — Three year summary'!C6)),'POA — Monthly financial forecas'!G41,"")="",0,IF(IF(AND('POA — Three year summary'!B6&lt;=DATE(2027,3,1),DATE(2027,3,1)&lt;='POA — Three year summary'!C6)="",FALSE,AND('POA — Three year summary'!B6&lt;=DATE(2027,3,1),DATE(2027,3,1)&lt;='POA — Three year summary'!C6)),'POA — Monthly financial forecas'!G41,"")),IF(IF(IF(AND('POA — Three year summary'!B6&lt;=DATE(2027,4,1),DATE(2027,4,1)&lt;='POA — Three year summary'!C6)="",FALSE,AND('POA — Three year summary'!B6&lt;=DATE(2027,4,1),DATE(2027,4,1)&lt;='POA — Three year summary'!C6)),'POA — Monthly financial forecas'!H41,"")="",0,IF(IF(AND('POA — Three year summary'!B6&lt;=DATE(2027,4,1),DATE(2027,4,1)&lt;='POA — Three year summary'!C6)="",FALSE,AND('POA — Three year summary'!B6&lt;=DATE(2027,4,1),DATE(2027,4,1)&lt;='POA — Three year summary'!C6)),'POA — Monthly financial forecas'!H41,"")),IF(IF(IF(AND('POA — Three year summary'!B6&lt;=DATE(2027,5,1),DATE(2027,5,1)&lt;='POA — Three year summary'!C6)="",FALSE,AND('POA — Three year summary'!B6&lt;=DATE(2027,5,1),DATE(2027,5,1)&lt;='POA — Three year summary'!C6)),'POA — Monthly financial forecas'!I41,"")="",0,IF(IF(AND('POA — Three year summary'!B6&lt;=DATE(2027,5,1),DATE(2027,5,1)&lt;='POA — Three year summary'!C6)="",FALSE,AND('POA — Three year summary'!B6&lt;=DATE(2027,5,1),DATE(2027,5,1)&lt;='POA — Three year summary'!C6)),'POA — Monthly financial forecas'!I41,"")),IF(IF(IF(AND('POA — Three year summary'!B6&lt;=DATE(2027,6,1),DATE(2027,6,1)&lt;='POA — Three year summary'!C6)="",FALSE,AND('POA — Three year summary'!B6&lt;=DATE(2027,6,1),DATE(2027,6,1)&lt;='POA — Three year summary'!C6)),'POA — Monthly financial forecas'!J41,"")="",0,IF(IF(AND('POA — Three year summary'!B6&lt;=DATE(2027,6,1),DATE(2027,6,1)&lt;='POA — Three year summary'!C6)="",FALSE,AND('POA — Three year summary'!B6&lt;=DATE(2027,6,1),DATE(2027,6,1)&lt;='POA — Three year summary'!C6)),'POA — Monthly financial forecas'!J41,"")),IF(IF(IF(AND('POA — Three year summary'!B6&lt;=DATE(2027,7,1),DATE(2027,7,1)&lt;='POA — Three year summary'!C6)="",FALSE,AND('POA — Three year summary'!B6&lt;=DATE(2027,7,1),DATE(2027,7,1)&lt;='POA — Three year summary'!C6)),'POA — Monthly financial forecas'!K41,"")="",0,IF(IF(AND('POA — Three year summary'!B6&lt;=DATE(2027,7,1),DATE(2027,7,1)&lt;='POA — Three year summary'!C6)="",FALSE,AND('POA — Three year summary'!B6&lt;=DATE(2027,7,1),DATE(2027,7,1)&lt;='POA — Three year summary'!C6)),'POA — Monthly financial forecas'!K41,"")),IF(IF(IF(AND('POA — Three year summary'!B6&lt;=DATE(2027,8,1),DATE(2027,8,1)&lt;='POA — Three year summary'!C6)="",FALSE,AND('POA — Three year summary'!B6&lt;=DATE(2027,8,1),DATE(2027,8,1)&lt;='POA — Three year summary'!C6)),'POA — Monthly financial forecas'!L41,"")="",0,IF(IF(AND('POA — Three year summary'!B6&lt;=DATE(2027,8,1),DATE(2027,8,1)&lt;='POA — Three year summary'!C6)="",FALSE,AND('POA — Three year summary'!B6&lt;=DATE(2027,8,1),DATE(2027,8,1)&lt;='POA — Three year summary'!C6)),'POA — Monthly financial forecas'!L41,"")),IF(IF(IF(AND('POA — Three year summary'!B6&lt;=DATE(2027,9,1),DATE(2027,9,1)&lt;='POA — Three year summary'!C6)="",FALSE,AND('POA — Three year summary'!B6&lt;=DATE(2027,9,1),DATE(2027,9,1)&lt;='POA — Three year summary'!C6)),'POA — Monthly financial forecas'!M41,"")="",0,IF(IF(AND('POA — Three year summary'!B6&lt;=DATE(2027,9,1),DATE(2027,9,1)&lt;='POA — Three year summary'!C6)="",FALSE,AND('POA — Three year summary'!B6&lt;=DATE(2027,9,1),DATE(2027,9,1)&lt;='POA — Three year summary'!C6)),'POA — Monthly financial forecas'!M41,"")),IF(IF(IF(AND('POA — Three year summary'!B6&lt;=DATE(2027,10,1),DATE(2027,10,1)&lt;='POA — Three year summary'!C6)="",FALSE,AND('POA — Three year summary'!B6&lt;=DATE(2027,10,1),DATE(2027,10,1)&lt;='POA — Three year summary'!C6)),'POA — Monthly financial forecas'!N41,"")="",0,IF(IF(AND('POA — Three year summary'!B6&lt;=DATE(2027,10,1),DATE(2027,10,1)&lt;='POA — Three year summary'!C6)="",FALSE,AND('POA — Three year summary'!B6&lt;=DATE(2027,10,1),DATE(2027,10,1)&lt;='POA — Three year summary'!C6)),'POA — Monthly financial forecas'!N41,"")),IF(IF(IF(AND('POA — Three year summary'!B6&lt;=DATE(2027,11,1),DATE(2027,11,1)&lt;='POA — Three year summary'!C6)="",FALSE,AND('POA — Three year summary'!B6&lt;=DATE(2027,11,1),DATE(2027,11,1)&lt;='POA — Three year summary'!C6)),'POA — Monthly financial forecas'!O41,"")="",0,IF(IF(AND('POA — Three year summary'!B6&lt;=DATE(2027,11,1),DATE(2027,11,1)&lt;='POA — Three year summary'!C6)="",FALSE,AND('POA — Three year summary'!B6&lt;=DATE(2027,11,1),DATE(2027,11,1)&lt;='POA — Three year summary'!C6)),'POA — Monthly financial forecas'!O41,"")),IF(IF(IF(AND('POA — Three year summary'!B6&lt;=DATE(2027,12,1),DATE(2027,12,1)&lt;='POA — Three year summary'!C6)="",FALSE,AND('POA — Three year summary'!B6&lt;=DATE(2027,12,1),DATE(2027,12,1)&lt;='POA — Three year summary'!C6)),'POA — Monthly financial forecas'!P41,"")="",0,IF(IF(AND('POA — Three year summary'!B6&lt;=DATE(2027,12,1),DATE(2027,12,1)&lt;='POA — Three year summary'!C6)="",FALSE,AND('POA — Three year summary'!B6&lt;=DATE(2027,12,1),DATE(2027,12,1)&lt;='POA — Three year summary'!C6)),'POA — Monthly financial forecas'!P41,"")))</f>
      </c>
    </row>
    <row r="316">
      <c r="A316" t="inlineStr" s="25">
        <is>
          <t xml:space="preserve">Calculation</t>
        </is>
      </c>
      <c r="B316" s="11">
        <f>SUM(IF(IF(IF(AND('POA — Three year summary'!B6&lt;=DATE(2028,1,1),DATE(2028,1,1)&lt;='POA — Three year summary'!C6)="",FALSE,AND('POA — Three year summary'!B6&lt;=DATE(2028,1,1),DATE(2028,1,1)&lt;='POA — Three year summary'!C6)),'POA — Monthly financial forecas'!Q41,"")="",0,IF(IF(AND('POA — Three year summary'!B6&lt;=DATE(2028,1,1),DATE(2028,1,1)&lt;='POA — Three year summary'!C6)="",FALSE,AND('POA — Three year summary'!B6&lt;=DATE(2028,1,1),DATE(2028,1,1)&lt;='POA — Three year summary'!C6)),'POA — Monthly financial forecas'!Q41,"")),IF(IF(IF(AND('POA — Three year summary'!B6&lt;=DATE(2028,2,1),DATE(2028,2,1)&lt;='POA — Three year summary'!C6)="",FALSE,AND('POA — Three year summary'!B6&lt;=DATE(2028,2,1),DATE(2028,2,1)&lt;='POA — Three year summary'!C6)),'POA — Monthly financial forecas'!R41,"")="",0,IF(IF(AND('POA — Three year summary'!B6&lt;=DATE(2028,2,1),DATE(2028,2,1)&lt;='POA — Three year summary'!C6)="",FALSE,AND('POA — Three year summary'!B6&lt;=DATE(2028,2,1),DATE(2028,2,1)&lt;='POA — Three year summary'!C6)),'POA — Monthly financial forecas'!R41,"")),IF(IF(IF(AND('POA — Three year summary'!B6&lt;=DATE(2028,3,1),DATE(2028,3,1)&lt;='POA — Three year summary'!C6)="",FALSE,AND('POA — Three year summary'!B6&lt;=DATE(2028,3,1),DATE(2028,3,1)&lt;='POA — Three year summary'!C6)),'POA — Monthly financial forecas'!S41,"")="",0,IF(IF(AND('POA — Three year summary'!B6&lt;=DATE(2028,3,1),DATE(2028,3,1)&lt;='POA — Three year summary'!C6)="",FALSE,AND('POA — Three year summary'!B6&lt;=DATE(2028,3,1),DATE(2028,3,1)&lt;='POA — Three year summary'!C6)),'POA — Monthly financial forecas'!S41,"")),IF(IF(IF(AND('POA — Three year summary'!B6&lt;=DATE(2028,4,1),DATE(2028,4,1)&lt;='POA — Three year summary'!C6)="",FALSE,AND('POA — Three year summary'!B6&lt;=DATE(2028,4,1),DATE(2028,4,1)&lt;='POA — Three year summary'!C6)),'POA — Monthly financial forecas'!T41,"")="",0,IF(IF(AND('POA — Three year summary'!B6&lt;=DATE(2028,4,1),DATE(2028,4,1)&lt;='POA — Three year summary'!C6)="",FALSE,AND('POA — Three year summary'!B6&lt;=DATE(2028,4,1),DATE(2028,4,1)&lt;='POA — Three year summary'!C6)),'POA — Monthly financial forecas'!T41,"")),IF(IF(IF(AND('POA — Three year summary'!B6&lt;=DATE(2028,5,1),DATE(2028,5,1)&lt;='POA — Three year summary'!C6)="",FALSE,AND('POA — Three year summary'!B6&lt;=DATE(2028,5,1),DATE(2028,5,1)&lt;='POA — Three year summary'!C6)),'POA — Monthly financial forecas'!U41,"")="",0,IF(IF(AND('POA — Three year summary'!B6&lt;=DATE(2028,5,1),DATE(2028,5,1)&lt;='POA — Three year summary'!C6)="",FALSE,AND('POA — Three year summary'!B6&lt;=DATE(2028,5,1),DATE(2028,5,1)&lt;='POA — Three year summary'!C6)),'POA — Monthly financial forecas'!U41,"")),IF(IF(IF(AND('POA — Three year summary'!B6&lt;=DATE(2028,6,1),DATE(2028,6,1)&lt;='POA — Three year summary'!C6)="",FALSE,AND('POA — Three year summary'!B6&lt;=DATE(2028,6,1),DATE(2028,6,1)&lt;='POA — Three year summary'!C6)),'POA — Monthly financial forecas'!V41,"")="",0,IF(IF(AND('POA — Three year summary'!B6&lt;=DATE(2028,6,1),DATE(2028,6,1)&lt;='POA — Three year summary'!C6)="",FALSE,AND('POA — Three year summary'!B6&lt;=DATE(2028,6,1),DATE(2028,6,1)&lt;='POA — Three year summary'!C6)),'POA — Monthly financial forecas'!V41,"")),IF(IF(IF(AND('POA — Three year summary'!B6&lt;=DATE(2028,7,1),DATE(2028,7,1)&lt;='POA — Three year summary'!C6)="",FALSE,AND('POA — Three year summary'!B6&lt;=DATE(2028,7,1),DATE(2028,7,1)&lt;='POA — Three year summary'!C6)),'POA — Monthly financial forecas'!W41,"")="",0,IF(IF(AND('POA — Three year summary'!B6&lt;=DATE(2028,7,1),DATE(2028,7,1)&lt;='POA — Three year summary'!C6)="",FALSE,AND('POA — Three year summary'!B6&lt;=DATE(2028,7,1),DATE(2028,7,1)&lt;='POA — Three year summary'!C6)),'POA — Monthly financial forecas'!W41,"")),IF(IF(IF(AND('POA — Three year summary'!B6&lt;=DATE(2028,8,1),DATE(2028,8,1)&lt;='POA — Three year summary'!C6)="",FALSE,AND('POA — Three year summary'!B6&lt;=DATE(2028,8,1),DATE(2028,8,1)&lt;='POA — Three year summary'!C6)),'POA — Monthly financial forecas'!X41,"")="",0,IF(IF(AND('POA — Three year summary'!B6&lt;=DATE(2028,8,1),DATE(2028,8,1)&lt;='POA — Three year summary'!C6)="",FALSE,AND('POA — Three year summary'!B6&lt;=DATE(2028,8,1),DATE(2028,8,1)&lt;='POA — Three year summary'!C6)),'POA — Monthly financial forecas'!X41,"")),IF(IF(IF(AND('POA — Three year summary'!B6&lt;=DATE(2028,9,1),DATE(2028,9,1)&lt;='POA — Three year summary'!C6)="",FALSE,AND('POA — Three year summary'!B6&lt;=DATE(2028,9,1),DATE(2028,9,1)&lt;='POA — Three year summary'!C6)),'POA — Monthly financial forecas'!Y41,"")="",0,IF(IF(AND('POA — Three year summary'!B6&lt;=DATE(2028,9,1),DATE(2028,9,1)&lt;='POA — Three year summary'!C6)="",FALSE,AND('POA — Three year summary'!B6&lt;=DATE(2028,9,1),DATE(2028,9,1)&lt;='POA — Three year summary'!C6)),'POA — Monthly financial forecas'!Y41,"")),IF(IF(IF(AND('POA — Three year summary'!B6&lt;=DATE(2028,10,1),DATE(2028,10,1)&lt;='POA — Three year summary'!C6)="",FALSE,AND('POA — Three year summary'!B6&lt;=DATE(2028,10,1),DATE(2028,10,1)&lt;='POA — Three year summary'!C6)),'POA — Monthly financial forecas'!Z41,"")="",0,IF(IF(AND('POA — Three year summary'!B6&lt;=DATE(2028,10,1),DATE(2028,10,1)&lt;='POA — Three year summary'!C6)="",FALSE,AND('POA — Three year summary'!B6&lt;=DATE(2028,10,1),DATE(2028,10,1)&lt;='POA — Three year summary'!C6)),'POA — Monthly financial forecas'!Z41,"")),IF(IF(IF(AND('POA — Three year summary'!B6&lt;=DATE(2028,11,1),DATE(2028,11,1)&lt;='POA — Three year summary'!C6)="",FALSE,AND('POA — Three year summary'!B6&lt;=DATE(2028,11,1),DATE(2028,11,1)&lt;='POA — Three year summary'!C6)),'POA — Monthly financial forecas'!AA41,"")="",0,IF(IF(AND('POA — Three year summary'!B6&lt;=DATE(2028,11,1),DATE(2028,11,1)&lt;='POA — Three year summary'!C6)="",FALSE,AND('POA — Three year summary'!B6&lt;=DATE(2028,11,1),DATE(2028,11,1)&lt;='POA — Three year summary'!C6)),'POA — Monthly financial forecas'!AA41,"")),IF(IF(IF(AND('POA — Three year summary'!B6&lt;=DATE(2028,12,1),DATE(2028,12,1)&lt;='POA — Three year summary'!C6)="",FALSE,AND('POA — Three year summary'!B6&lt;=DATE(2028,12,1),DATE(2028,12,1)&lt;='POA — Three year summary'!C6)),'POA — Monthly financial forecas'!AB41,"")="",0,IF(IF(AND('POA — Three year summary'!B6&lt;=DATE(2028,12,1),DATE(2028,12,1)&lt;='POA — Three year summary'!C6)="",FALSE,AND('POA — Three year summary'!B6&lt;=DATE(2028,12,1),DATE(2028,12,1)&lt;='POA — Three year summary'!C6)),'POA — Monthly financial forecas'!AB41,"")),IF(IF(IF(AND('POA — Three year summary'!B6&lt;=DATE(2029,1,1),DATE(2029,1,1)&lt;='POA — Three year summary'!C6)="",FALSE,AND('POA — Three year summary'!B6&lt;=DATE(2029,1,1),DATE(2029,1,1)&lt;='POA — Three year summary'!C6)),'POA — Monthly financial forecas'!AC41,"")="",0,IF(IF(AND('POA — Three year summary'!B6&lt;=DATE(2029,1,1),DATE(2029,1,1)&lt;='POA — Three year summary'!C6)="",FALSE,AND('POA — Three year summary'!B6&lt;=DATE(2029,1,1),DATE(2029,1,1)&lt;='POA — Three year summary'!C6)),'POA — Monthly financial forecas'!AC41,"")),IF(IF(IF(AND('POA — Three year summary'!B6&lt;=DATE(2029,2,1),DATE(2029,2,1)&lt;='POA — Three year summary'!C6)="",FALSE,AND('POA — Three year summary'!B6&lt;=DATE(2029,2,1),DATE(2029,2,1)&lt;='POA — Three year summary'!C6)),'POA — Monthly financial forecas'!AD41,"")="",0,IF(IF(AND('POA — Three year summary'!B6&lt;=DATE(2029,2,1),DATE(2029,2,1)&lt;='POA — Three year summary'!C6)="",FALSE,AND('POA — Three year summary'!B6&lt;=DATE(2029,2,1),DATE(2029,2,1)&lt;='POA — Three year summary'!C6)),'POA — Monthly financial forecas'!AD41,"")),IF(IF(IF(AND('POA — Three year summary'!B6&lt;=DATE(2029,3,1),DATE(2029,3,1)&lt;='POA — Three year summary'!C6)="",FALSE,AND('POA — Three year summary'!B6&lt;=DATE(2029,3,1),DATE(2029,3,1)&lt;='POA — Three year summary'!C6)),'POA — Monthly financial forecas'!AE41,"")="",0,IF(IF(AND('POA — Three year summary'!B6&lt;=DATE(2029,3,1),DATE(2029,3,1)&lt;='POA — Three year summary'!C6)="",FALSE,AND('POA — Three year summary'!B6&lt;=DATE(2029,3,1),DATE(2029,3,1)&lt;='POA — Three year summary'!C6)),'POA — Monthly financial forecas'!AE41,"")))</f>
      </c>
    </row>
    <row r="317">
      <c r="A317" t="inlineStr" s="25">
        <is>
          <t xml:space="preserve">Calculation</t>
        </is>
      </c>
      <c r="B317" s="11">
        <f>SUM(IF(IF(IF(AND('POA — Three year summary'!B6&lt;=DATE(2029,4,1),DATE(2029,4,1)&lt;='POA — Three year summary'!C6)="",FALSE,AND('POA — Three year summary'!B6&lt;=DATE(2029,4,1),DATE(2029,4,1)&lt;='POA — Three year summary'!C6)),'POA — Monthly financial forecas'!AF41,"")="",0,IF(IF(AND('POA — Three year summary'!B6&lt;=DATE(2029,4,1),DATE(2029,4,1)&lt;='POA — Three year summary'!C6)="",FALSE,AND('POA — Three year summary'!B6&lt;=DATE(2029,4,1),DATE(2029,4,1)&lt;='POA — Three year summary'!C6)),'POA — Monthly financial forecas'!AF41,"")),IF(IF(IF(AND('POA — Three year summary'!B6&lt;=DATE(2029,5,1),DATE(2029,5,1)&lt;='POA — Three year summary'!C6)="",FALSE,AND('POA — Three year summary'!B6&lt;=DATE(2029,5,1),DATE(2029,5,1)&lt;='POA — Three year summary'!C6)),'POA — Monthly financial forecas'!AG41,"")="",0,IF(IF(AND('POA — Three year summary'!B6&lt;=DATE(2029,5,1),DATE(2029,5,1)&lt;='POA — Three year summary'!C6)="",FALSE,AND('POA — Three year summary'!B6&lt;=DATE(2029,5,1),DATE(2029,5,1)&lt;='POA — Three year summary'!C6)),'POA — Monthly financial forecas'!AG41,"")),IF(IF(IF(AND('POA — Three year summary'!B6&lt;=DATE(2029,6,1),DATE(2029,6,1)&lt;='POA — Three year summary'!C6)="",FALSE,AND('POA — Three year summary'!B6&lt;=DATE(2029,6,1),DATE(2029,6,1)&lt;='POA — Three year summary'!C6)),'POA — Monthly financial forecas'!AH41,"")="",0,IF(IF(AND('POA — Three year summary'!B6&lt;=DATE(2029,6,1),DATE(2029,6,1)&lt;='POA — Three year summary'!C6)="",FALSE,AND('POA — Three year summary'!B6&lt;=DATE(2029,6,1),DATE(2029,6,1)&lt;='POA — Three year summary'!C6)),'POA — Monthly financial forecas'!AH41,"")),IF(IF(IF(AND('POA — Three year summary'!B6&lt;=DATE(2029,7,1),DATE(2029,7,1)&lt;='POA — Three year summary'!C6)="",FALSE,AND('POA — Three year summary'!B6&lt;=DATE(2029,7,1),DATE(2029,7,1)&lt;='POA — Three year summary'!C6)),'POA — Monthly financial forecas'!AI41,"")="",0,IF(IF(AND('POA — Three year summary'!B6&lt;=DATE(2029,7,1),DATE(2029,7,1)&lt;='POA — Three year summary'!C6)="",FALSE,AND('POA — Three year summary'!B6&lt;=DATE(2029,7,1),DATE(2029,7,1)&lt;='POA — Three year summary'!C6)),'POA — Monthly financial forecas'!AI41,"")),IF(IF(IF(AND('POA — Three year summary'!B6&lt;=DATE(2029,8,1),DATE(2029,8,1)&lt;='POA — Three year summary'!C6)="",FALSE,AND('POA — Three year summary'!B6&lt;=DATE(2029,8,1),DATE(2029,8,1)&lt;='POA — Three year summary'!C6)),'POA — Monthly financial forecas'!AJ41,"")="",0,IF(IF(AND('POA — Three year summary'!B6&lt;=DATE(2029,8,1),DATE(2029,8,1)&lt;='POA — Three year summary'!C6)="",FALSE,AND('POA — Three year summary'!B6&lt;=DATE(2029,8,1),DATE(2029,8,1)&lt;='POA — Three year summary'!C6)),'POA — Monthly financial forecas'!AJ41,"")),IF(IF(IF(AND('POA — Three year summary'!B6&lt;=DATE(2029,9,1),DATE(2029,9,1)&lt;='POA — Three year summary'!C6)="",FALSE,AND('POA — Three year summary'!B6&lt;=DATE(2029,9,1),DATE(2029,9,1)&lt;='POA — Three year summary'!C6)),'POA — Monthly financial forecas'!AK41,"")="",0,IF(IF(AND('POA — Three year summary'!B6&lt;=DATE(2029,9,1),DATE(2029,9,1)&lt;='POA — Three year summary'!C6)="",FALSE,AND('POA — Three year summary'!B6&lt;=DATE(2029,9,1),DATE(2029,9,1)&lt;='POA — Three year summary'!C6)),'POA — Monthly financial forecas'!AK41,"")),IF(IF(IF(AND('POA — Three year summary'!B6&lt;=DATE(2026,9,1),DATE(2026,9,1)&lt;='POA — Three year summary'!C6)="",FALSE,AND('POA — Three year summary'!B6&lt;=DATE(2026,9,1),DATE(2026,9,1)&lt;='POA — Three year summary'!C6)),'Model inputs'!B68,"")="",0,IF(IF(AND('POA — Three year summary'!B6&lt;=DATE(2026,9,1),DATE(2026,9,1)&lt;='POA — Three year summary'!C6)="",FALSE,AND('POA — Three year summary'!B6&lt;=DATE(2026,9,1),DATE(2026,9,1)&lt;='POA — Three year summary'!C6)),'Model inputs'!B68,"")))</f>
      </c>
    </row>
    <row r="318">
      <c r="A318" t="inlineStr" s="25">
        <is>
          <t xml:space="preserve">Calculation</t>
        </is>
      </c>
      <c r="B318" s="11">
        <f>SUM(IF(IF(IF(AND('POA — Three year summary'!B6&lt;=DATE(2026,10,1),DATE(2026,10,1)&lt;='POA — Three year summary'!C6)="",FALSE,AND('POA — Three year summary'!B6&lt;=DATE(2026,10,1),DATE(2026,10,1)&lt;='POA — Three year summary'!C6)),'POA — Monthly financial forecas'!B47,"")="",0,IF(IF(AND('POA — Three year summary'!B6&lt;=DATE(2026,10,1),DATE(2026,10,1)&lt;='POA — Three year summary'!C6)="",FALSE,AND('POA — Three year summary'!B6&lt;=DATE(2026,10,1),DATE(2026,10,1)&lt;='POA — Three year summary'!C6)),'POA — Monthly financial forecas'!B47,"")),IF(IF(IF(AND('POA — Three year summary'!B6&lt;=DATE(2026,11,1),DATE(2026,11,1)&lt;='POA — Three year summary'!C6)="",FALSE,AND('POA — Three year summary'!B6&lt;=DATE(2026,11,1),DATE(2026,11,1)&lt;='POA — Three year summary'!C6)),'POA — Monthly financial forecas'!C47,"")="",0,IF(IF(AND('POA — Three year summary'!B6&lt;=DATE(2026,11,1),DATE(2026,11,1)&lt;='POA — Three year summary'!C6)="",FALSE,AND('POA — Three year summary'!B6&lt;=DATE(2026,11,1),DATE(2026,11,1)&lt;='POA — Three year summary'!C6)),'POA — Monthly financial forecas'!C47,"")),IF(IF(IF(AND('POA — Three year summary'!B6&lt;=DATE(2026,12,1),DATE(2026,12,1)&lt;='POA — Three year summary'!C6)="",FALSE,AND('POA — Three year summary'!B6&lt;=DATE(2026,12,1),DATE(2026,12,1)&lt;='POA — Three year summary'!C6)),'POA — Monthly financial forecas'!D47,"")="",0,IF(IF(AND('POA — Three year summary'!B6&lt;=DATE(2026,12,1),DATE(2026,12,1)&lt;='POA — Three year summary'!C6)="",FALSE,AND('POA — Three year summary'!B6&lt;=DATE(2026,12,1),DATE(2026,12,1)&lt;='POA — Three year summary'!C6)),'POA — Monthly financial forecas'!D47,"")),IF(IF(IF(AND('POA — Three year summary'!B6&lt;=DATE(2027,1,1),DATE(2027,1,1)&lt;='POA — Three year summary'!C6)="",FALSE,AND('POA — Three year summary'!B6&lt;=DATE(2027,1,1),DATE(2027,1,1)&lt;='POA — Three year summary'!C6)),'POA — Monthly financial forecas'!E47,"")="",0,IF(IF(AND('POA — Three year summary'!B6&lt;=DATE(2027,1,1),DATE(2027,1,1)&lt;='POA — Three year summary'!C6)="",FALSE,AND('POA — Three year summary'!B6&lt;=DATE(2027,1,1),DATE(2027,1,1)&lt;='POA — Three year summary'!C6)),'POA — Monthly financial forecas'!E47,"")),IF(IF(IF(AND('POA — Three year summary'!B6&lt;=DATE(2027,2,1),DATE(2027,2,1)&lt;='POA — Three year summary'!C6)="",FALSE,AND('POA — Three year summary'!B6&lt;=DATE(2027,2,1),DATE(2027,2,1)&lt;='POA — Three year summary'!C6)),'POA — Monthly financial forecas'!F47,"")="",0,IF(IF(AND('POA — Three year summary'!B6&lt;=DATE(2027,2,1),DATE(2027,2,1)&lt;='POA — Three year summary'!C6)="",FALSE,AND('POA — Three year summary'!B6&lt;=DATE(2027,2,1),DATE(2027,2,1)&lt;='POA — Three year summary'!C6)),'POA — Monthly financial forecas'!F47,"")),IF(IF(IF(AND('POA — Three year summary'!B6&lt;=DATE(2027,3,1),DATE(2027,3,1)&lt;='POA — Three year summary'!C6)="",FALSE,AND('POA — Three year summary'!B6&lt;=DATE(2027,3,1),DATE(2027,3,1)&lt;='POA — Three year summary'!C6)),'POA — Monthly financial forecas'!G47,"")="",0,IF(IF(AND('POA — Three year summary'!B6&lt;=DATE(2027,3,1),DATE(2027,3,1)&lt;='POA — Three year summary'!C6)="",FALSE,AND('POA — Three year summary'!B6&lt;=DATE(2027,3,1),DATE(2027,3,1)&lt;='POA — Three year summary'!C6)),'POA — Monthly financial forecas'!G47,"")),IF(IF(IF(AND('POA — Three year summary'!B6&lt;=DATE(2027,4,1),DATE(2027,4,1)&lt;='POA — Three year summary'!C6)="",FALSE,AND('POA — Three year summary'!B6&lt;=DATE(2027,4,1),DATE(2027,4,1)&lt;='POA — Three year summary'!C6)),'POA — Monthly financial forecas'!H47,"")="",0,IF(IF(AND('POA — Three year summary'!B6&lt;=DATE(2027,4,1),DATE(2027,4,1)&lt;='POA — Three year summary'!C6)="",FALSE,AND('POA — Three year summary'!B6&lt;=DATE(2027,4,1),DATE(2027,4,1)&lt;='POA — Three year summary'!C6)),'POA — Monthly financial forecas'!H47,"")),IF(IF(IF(AND('POA — Three year summary'!B6&lt;=DATE(2027,5,1),DATE(2027,5,1)&lt;='POA — Three year summary'!C6)="",FALSE,AND('POA — Three year summary'!B6&lt;=DATE(2027,5,1),DATE(2027,5,1)&lt;='POA — Three year summary'!C6)),'POA — Monthly financial forecas'!I47,"")="",0,IF(IF(AND('POA — Three year summary'!B6&lt;=DATE(2027,5,1),DATE(2027,5,1)&lt;='POA — Three year summary'!C6)="",FALSE,AND('POA — Three year summary'!B6&lt;=DATE(2027,5,1),DATE(2027,5,1)&lt;='POA — Three year summary'!C6)),'POA — Monthly financial forecas'!I47,"")),IF(IF(IF(AND('POA — Three year summary'!B6&lt;=DATE(2027,6,1),DATE(2027,6,1)&lt;='POA — Three year summary'!C6)="",FALSE,AND('POA — Three year summary'!B6&lt;=DATE(2027,6,1),DATE(2027,6,1)&lt;='POA — Three year summary'!C6)),'POA — Monthly financial forecas'!J47,"")="",0,IF(IF(AND('POA — Three year summary'!B6&lt;=DATE(2027,6,1),DATE(2027,6,1)&lt;='POA — Three year summary'!C6)="",FALSE,AND('POA — Three year summary'!B6&lt;=DATE(2027,6,1),DATE(2027,6,1)&lt;='POA — Three year summary'!C6)),'POA — Monthly financial forecas'!J47,"")),IF(IF(IF(AND('POA — Three year summary'!B6&lt;=DATE(2027,7,1),DATE(2027,7,1)&lt;='POA — Three year summary'!C6)="",FALSE,AND('POA — Three year summary'!B6&lt;=DATE(2027,7,1),DATE(2027,7,1)&lt;='POA — Three year summary'!C6)),'POA — Monthly financial forecas'!K47,"")="",0,IF(IF(AND('POA — Three year summary'!B6&lt;=DATE(2027,7,1),DATE(2027,7,1)&lt;='POA — Three year summary'!C6)="",FALSE,AND('POA — Three year summary'!B6&lt;=DATE(2027,7,1),DATE(2027,7,1)&lt;='POA — Three year summary'!C6)),'POA — Monthly financial forecas'!K47,"")),IF(IF(IF(AND('POA — Three year summary'!B6&lt;=DATE(2027,8,1),DATE(2027,8,1)&lt;='POA — Three year summary'!C6)="",FALSE,AND('POA — Three year summary'!B6&lt;=DATE(2027,8,1),DATE(2027,8,1)&lt;='POA — Three year summary'!C6)),'POA — Monthly financial forecas'!L47,"")="",0,IF(IF(AND('POA — Three year summary'!B6&lt;=DATE(2027,8,1),DATE(2027,8,1)&lt;='POA — Three year summary'!C6)="",FALSE,AND('POA — Three year summary'!B6&lt;=DATE(2027,8,1),DATE(2027,8,1)&lt;='POA — Three year summary'!C6)),'POA — Monthly financial forecas'!L47,"")),IF(IF(IF(AND('POA — Three year summary'!B6&lt;=DATE(2027,9,1),DATE(2027,9,1)&lt;='POA — Three year summary'!C6)="",FALSE,AND('POA — Three year summary'!B6&lt;=DATE(2027,9,1),DATE(2027,9,1)&lt;='POA — Three year summary'!C6)),'POA — Monthly financial forecas'!M47,"")="",0,IF(IF(AND('POA — Three year summary'!B6&lt;=DATE(2027,9,1),DATE(2027,9,1)&lt;='POA — Three year summary'!C6)="",FALSE,AND('POA — Three year summary'!B6&lt;=DATE(2027,9,1),DATE(2027,9,1)&lt;='POA — Three year summary'!C6)),'POA — Monthly financial forecas'!M47,"")),IF(IF(IF(AND('POA — Three year summary'!B6&lt;=DATE(2027,10,1),DATE(2027,10,1)&lt;='POA — Three year summary'!C6)="",FALSE,AND('POA — Three year summary'!B6&lt;=DATE(2027,10,1),DATE(2027,10,1)&lt;='POA — Three year summary'!C6)),'POA — Monthly financial forecas'!N47,"")="",0,IF(IF(AND('POA — Three year summary'!B6&lt;=DATE(2027,10,1),DATE(2027,10,1)&lt;='POA — Three year summary'!C6)="",FALSE,AND('POA — Three year summary'!B6&lt;=DATE(2027,10,1),DATE(2027,10,1)&lt;='POA — Three year summary'!C6)),'POA — Monthly financial forecas'!N47,"")),IF(IF(IF(AND('POA — Three year summary'!B6&lt;=DATE(2027,11,1),DATE(2027,11,1)&lt;='POA — Three year summary'!C6)="",FALSE,AND('POA — Three year summary'!B6&lt;=DATE(2027,11,1),DATE(2027,11,1)&lt;='POA — Three year summary'!C6)),'POA — Monthly financial forecas'!O47,"")="",0,IF(IF(AND('POA — Three year summary'!B6&lt;=DATE(2027,11,1),DATE(2027,11,1)&lt;='POA — Three year summary'!C6)="",FALSE,AND('POA — Three year summary'!B6&lt;=DATE(2027,11,1),DATE(2027,11,1)&lt;='POA — Three year summary'!C6)),'POA — Monthly financial forecas'!O47,"")),IF(IF(IF(AND('POA — Three year summary'!B6&lt;=DATE(2027,12,1),DATE(2027,12,1)&lt;='POA — Three year summary'!C6)="",FALSE,AND('POA — Three year summary'!B6&lt;=DATE(2027,12,1),DATE(2027,12,1)&lt;='POA — Three year summary'!C6)),'POA — Monthly financial forecas'!P47,"")="",0,IF(IF(AND('POA — Three year summary'!B6&lt;=DATE(2027,12,1),DATE(2027,12,1)&lt;='POA — Three year summary'!C6)="",FALSE,AND('POA — Three year summary'!B6&lt;=DATE(2027,12,1),DATE(2027,12,1)&lt;='POA — Three year summary'!C6)),'POA — Monthly financial forecas'!P47,"")))</f>
      </c>
    </row>
    <row r="319">
      <c r="A319" t="inlineStr" s="25">
        <is>
          <t xml:space="preserve">Calculation</t>
        </is>
      </c>
      <c r="B319" s="11">
        <f>SUM(IF(IF(IF(AND('POA — Three year summary'!B6&lt;=DATE(2028,1,1),DATE(2028,1,1)&lt;='POA — Three year summary'!C6)="",FALSE,AND('POA — Three year summary'!B6&lt;=DATE(2028,1,1),DATE(2028,1,1)&lt;='POA — Three year summary'!C6)),'POA — Monthly financial forecas'!Q47,"")="",0,IF(IF(AND('POA — Three year summary'!B6&lt;=DATE(2028,1,1),DATE(2028,1,1)&lt;='POA — Three year summary'!C6)="",FALSE,AND('POA — Three year summary'!B6&lt;=DATE(2028,1,1),DATE(2028,1,1)&lt;='POA — Three year summary'!C6)),'POA — Monthly financial forecas'!Q47,"")),IF(IF(IF(AND('POA — Three year summary'!B6&lt;=DATE(2028,2,1),DATE(2028,2,1)&lt;='POA — Three year summary'!C6)="",FALSE,AND('POA — Three year summary'!B6&lt;=DATE(2028,2,1),DATE(2028,2,1)&lt;='POA — Three year summary'!C6)),'POA — Monthly financial forecas'!R47,"")="",0,IF(IF(AND('POA — Three year summary'!B6&lt;=DATE(2028,2,1),DATE(2028,2,1)&lt;='POA — Three year summary'!C6)="",FALSE,AND('POA — Three year summary'!B6&lt;=DATE(2028,2,1),DATE(2028,2,1)&lt;='POA — Three year summary'!C6)),'POA — Monthly financial forecas'!R47,"")),IF(IF(IF(AND('POA — Three year summary'!B6&lt;=DATE(2028,3,1),DATE(2028,3,1)&lt;='POA — Three year summary'!C6)="",FALSE,AND('POA — Three year summary'!B6&lt;=DATE(2028,3,1),DATE(2028,3,1)&lt;='POA — Three year summary'!C6)),'POA — Monthly financial forecas'!S47,"")="",0,IF(IF(AND('POA — Three year summary'!B6&lt;=DATE(2028,3,1),DATE(2028,3,1)&lt;='POA — Three year summary'!C6)="",FALSE,AND('POA — Three year summary'!B6&lt;=DATE(2028,3,1),DATE(2028,3,1)&lt;='POA — Three year summary'!C6)),'POA — Monthly financial forecas'!S47,"")),IF(IF(IF(AND('POA — Three year summary'!B6&lt;=DATE(2028,4,1),DATE(2028,4,1)&lt;='POA — Three year summary'!C6)="",FALSE,AND('POA — Three year summary'!B6&lt;=DATE(2028,4,1),DATE(2028,4,1)&lt;='POA — Three year summary'!C6)),'POA — Monthly financial forecas'!T47,"")="",0,IF(IF(AND('POA — Three year summary'!B6&lt;=DATE(2028,4,1),DATE(2028,4,1)&lt;='POA — Three year summary'!C6)="",FALSE,AND('POA — Three year summary'!B6&lt;=DATE(2028,4,1),DATE(2028,4,1)&lt;='POA — Three year summary'!C6)),'POA — Monthly financial forecas'!T47,"")),IF(IF(IF(AND('POA — Three year summary'!B6&lt;=DATE(2028,5,1),DATE(2028,5,1)&lt;='POA — Three year summary'!C6)="",FALSE,AND('POA — Three year summary'!B6&lt;=DATE(2028,5,1),DATE(2028,5,1)&lt;='POA — Three year summary'!C6)),'POA — Monthly financial forecas'!U47,"")="",0,IF(IF(AND('POA — Three year summary'!B6&lt;=DATE(2028,5,1),DATE(2028,5,1)&lt;='POA — Three year summary'!C6)="",FALSE,AND('POA — Three year summary'!B6&lt;=DATE(2028,5,1),DATE(2028,5,1)&lt;='POA — Three year summary'!C6)),'POA — Monthly financial forecas'!U47,"")),IF(IF(IF(AND('POA — Three year summary'!B6&lt;=DATE(2028,6,1),DATE(2028,6,1)&lt;='POA — Three year summary'!C6)="",FALSE,AND('POA — Three year summary'!B6&lt;=DATE(2028,6,1),DATE(2028,6,1)&lt;='POA — Three year summary'!C6)),'POA — Monthly financial forecas'!V47,"")="",0,IF(IF(AND('POA — Three year summary'!B6&lt;=DATE(2028,6,1),DATE(2028,6,1)&lt;='POA — Three year summary'!C6)="",FALSE,AND('POA — Three year summary'!B6&lt;=DATE(2028,6,1),DATE(2028,6,1)&lt;='POA — Three year summary'!C6)),'POA — Monthly financial forecas'!V47,"")),IF(IF(IF(AND('POA — Three year summary'!B6&lt;=DATE(2028,7,1),DATE(2028,7,1)&lt;='POA — Three year summary'!C6)="",FALSE,AND('POA — Three year summary'!B6&lt;=DATE(2028,7,1),DATE(2028,7,1)&lt;='POA — Three year summary'!C6)),'POA — Monthly financial forecas'!W47,"")="",0,IF(IF(AND('POA — Three year summary'!B6&lt;=DATE(2028,7,1),DATE(2028,7,1)&lt;='POA — Three year summary'!C6)="",FALSE,AND('POA — Three year summary'!B6&lt;=DATE(2028,7,1),DATE(2028,7,1)&lt;='POA — Three year summary'!C6)),'POA — Monthly financial forecas'!W47,"")),IF(IF(IF(AND('POA — Three year summary'!B6&lt;=DATE(2028,8,1),DATE(2028,8,1)&lt;='POA — Three year summary'!C6)="",FALSE,AND('POA — Three year summary'!B6&lt;=DATE(2028,8,1),DATE(2028,8,1)&lt;='POA — Three year summary'!C6)),'POA — Monthly financial forecas'!X47,"")="",0,IF(IF(AND('POA — Three year summary'!B6&lt;=DATE(2028,8,1),DATE(2028,8,1)&lt;='POA — Three year summary'!C6)="",FALSE,AND('POA — Three year summary'!B6&lt;=DATE(2028,8,1),DATE(2028,8,1)&lt;='POA — Three year summary'!C6)),'POA — Monthly financial forecas'!X47,"")),IF(IF(IF(AND('POA — Three year summary'!B6&lt;=DATE(2028,9,1),DATE(2028,9,1)&lt;='POA — Three year summary'!C6)="",FALSE,AND('POA — Three year summary'!B6&lt;=DATE(2028,9,1),DATE(2028,9,1)&lt;='POA — Three year summary'!C6)),'POA — Monthly financial forecas'!Y47,"")="",0,IF(IF(AND('POA — Three year summary'!B6&lt;=DATE(2028,9,1),DATE(2028,9,1)&lt;='POA — Three year summary'!C6)="",FALSE,AND('POA — Three year summary'!B6&lt;=DATE(2028,9,1),DATE(2028,9,1)&lt;='POA — Three year summary'!C6)),'POA — Monthly financial forecas'!Y47,"")),IF(IF(IF(AND('POA — Three year summary'!B6&lt;=DATE(2028,10,1),DATE(2028,10,1)&lt;='POA — Three year summary'!C6)="",FALSE,AND('POA — Three year summary'!B6&lt;=DATE(2028,10,1),DATE(2028,10,1)&lt;='POA — Three year summary'!C6)),'POA — Monthly financial forecas'!Z47,"")="",0,IF(IF(AND('POA — Three year summary'!B6&lt;=DATE(2028,10,1),DATE(2028,10,1)&lt;='POA — Three year summary'!C6)="",FALSE,AND('POA — Three year summary'!B6&lt;=DATE(2028,10,1),DATE(2028,10,1)&lt;='POA — Three year summary'!C6)),'POA — Monthly financial forecas'!Z47,"")),IF(IF(IF(AND('POA — Three year summary'!B6&lt;=DATE(2028,11,1),DATE(2028,11,1)&lt;='POA — Three year summary'!C6)="",FALSE,AND('POA — Three year summary'!B6&lt;=DATE(2028,11,1),DATE(2028,11,1)&lt;='POA — Three year summary'!C6)),'POA — Monthly financial forecas'!AA47,"")="",0,IF(IF(AND('POA — Three year summary'!B6&lt;=DATE(2028,11,1),DATE(2028,11,1)&lt;='POA — Three year summary'!C6)="",FALSE,AND('POA — Three year summary'!B6&lt;=DATE(2028,11,1),DATE(2028,11,1)&lt;='POA — Three year summary'!C6)),'POA — Monthly financial forecas'!AA47,"")),IF(IF(IF(AND('POA — Three year summary'!B6&lt;=DATE(2028,12,1),DATE(2028,12,1)&lt;='POA — Three year summary'!C6)="",FALSE,AND('POA — Three year summary'!B6&lt;=DATE(2028,12,1),DATE(2028,12,1)&lt;='POA — Three year summary'!C6)),'POA — Monthly financial forecas'!AB47,"")="",0,IF(IF(AND('POA — Three year summary'!B6&lt;=DATE(2028,12,1),DATE(2028,12,1)&lt;='POA — Three year summary'!C6)="",FALSE,AND('POA — Three year summary'!B6&lt;=DATE(2028,12,1),DATE(2028,12,1)&lt;='POA — Three year summary'!C6)),'POA — Monthly financial forecas'!AB47,"")),IF(IF(IF(AND('POA — Three year summary'!B6&lt;=DATE(2029,1,1),DATE(2029,1,1)&lt;='POA — Three year summary'!C6)="",FALSE,AND('POA — Three year summary'!B6&lt;=DATE(2029,1,1),DATE(2029,1,1)&lt;='POA — Three year summary'!C6)),'POA — Monthly financial forecas'!AC47,"")="",0,IF(IF(AND('POA — Three year summary'!B6&lt;=DATE(2029,1,1),DATE(2029,1,1)&lt;='POA — Three year summary'!C6)="",FALSE,AND('POA — Three year summary'!B6&lt;=DATE(2029,1,1),DATE(2029,1,1)&lt;='POA — Three year summary'!C6)),'POA — Monthly financial forecas'!AC47,"")),IF(IF(IF(AND('POA — Three year summary'!B6&lt;=DATE(2029,2,1),DATE(2029,2,1)&lt;='POA — Three year summary'!C6)="",FALSE,AND('POA — Three year summary'!B6&lt;=DATE(2029,2,1),DATE(2029,2,1)&lt;='POA — Three year summary'!C6)),'POA — Monthly financial forecas'!AD47,"")="",0,IF(IF(AND('POA — Three year summary'!B6&lt;=DATE(2029,2,1),DATE(2029,2,1)&lt;='POA — Three year summary'!C6)="",FALSE,AND('POA — Three year summary'!B6&lt;=DATE(2029,2,1),DATE(2029,2,1)&lt;='POA — Three year summary'!C6)),'POA — Monthly financial forecas'!AD47,"")),IF(IF(IF(AND('POA — Three year summary'!B6&lt;=DATE(2029,3,1),DATE(2029,3,1)&lt;='POA — Three year summary'!C6)="",FALSE,AND('POA — Three year summary'!B6&lt;=DATE(2029,3,1),DATE(2029,3,1)&lt;='POA — Three year summary'!C6)),'POA — Monthly financial forecas'!AE47,"")="",0,IF(IF(AND('POA — Three year summary'!B6&lt;=DATE(2029,3,1),DATE(2029,3,1)&lt;='POA — Three year summary'!C6)="",FALSE,AND('POA — Three year summary'!B6&lt;=DATE(2029,3,1),DATE(2029,3,1)&lt;='POA — Three year summary'!C6)),'POA — Monthly financial forecas'!AE47,"")))</f>
      </c>
    </row>
    <row r="320">
      <c r="A320" t="inlineStr" s="25">
        <is>
          <t xml:space="preserve">Calculation</t>
        </is>
      </c>
      <c r="B320" s="11">
        <f>SUM(IF(IF(IF(AND('POA — Three year summary'!B6&lt;=DATE(2029,4,1),DATE(2029,4,1)&lt;='POA — Three year summary'!C6)="",FALSE,AND('POA — Three year summary'!B6&lt;=DATE(2029,4,1),DATE(2029,4,1)&lt;='POA — Three year summary'!C6)),'POA — Monthly financial forecas'!AF47,"")="",0,IF(IF(AND('POA — Three year summary'!B6&lt;=DATE(2029,4,1),DATE(2029,4,1)&lt;='POA — Three year summary'!C6)="",FALSE,AND('POA — Three year summary'!B6&lt;=DATE(2029,4,1),DATE(2029,4,1)&lt;='POA — Three year summary'!C6)),'POA — Monthly financial forecas'!AF47,"")),IF(IF(IF(AND('POA — Three year summary'!B6&lt;=DATE(2029,5,1),DATE(2029,5,1)&lt;='POA — Three year summary'!C6)="",FALSE,AND('POA — Three year summary'!B6&lt;=DATE(2029,5,1),DATE(2029,5,1)&lt;='POA — Three year summary'!C6)),'POA — Monthly financial forecas'!AG47,"")="",0,IF(IF(AND('POA — Three year summary'!B6&lt;=DATE(2029,5,1),DATE(2029,5,1)&lt;='POA — Three year summary'!C6)="",FALSE,AND('POA — Three year summary'!B6&lt;=DATE(2029,5,1),DATE(2029,5,1)&lt;='POA — Three year summary'!C6)),'POA — Monthly financial forecas'!AG47,"")),IF(IF(IF(AND('POA — Three year summary'!B6&lt;=DATE(2029,6,1),DATE(2029,6,1)&lt;='POA — Three year summary'!C6)="",FALSE,AND('POA — Three year summary'!B6&lt;=DATE(2029,6,1),DATE(2029,6,1)&lt;='POA — Three year summary'!C6)),'POA — Monthly financial forecas'!AH47,"")="",0,IF(IF(AND('POA — Three year summary'!B6&lt;=DATE(2029,6,1),DATE(2029,6,1)&lt;='POA — Three year summary'!C6)="",FALSE,AND('POA — Three year summary'!B6&lt;=DATE(2029,6,1),DATE(2029,6,1)&lt;='POA — Three year summary'!C6)),'POA — Monthly financial forecas'!AH47,"")),IF(IF(IF(AND('POA — Three year summary'!B6&lt;=DATE(2029,7,1),DATE(2029,7,1)&lt;='POA — Three year summary'!C6)="",FALSE,AND('POA — Three year summary'!B6&lt;=DATE(2029,7,1),DATE(2029,7,1)&lt;='POA — Three year summary'!C6)),'POA — Monthly financial forecas'!AI47,"")="",0,IF(IF(AND('POA — Three year summary'!B6&lt;=DATE(2029,7,1),DATE(2029,7,1)&lt;='POA — Three year summary'!C6)="",FALSE,AND('POA — Three year summary'!B6&lt;=DATE(2029,7,1),DATE(2029,7,1)&lt;='POA — Three year summary'!C6)),'POA — Monthly financial forecas'!AI47,"")),IF(IF(IF(AND('POA — Three year summary'!B6&lt;=DATE(2029,8,1),DATE(2029,8,1)&lt;='POA — Three year summary'!C6)="",FALSE,AND('POA — Three year summary'!B6&lt;=DATE(2029,8,1),DATE(2029,8,1)&lt;='POA — Three year summary'!C6)),'POA — Monthly financial forecas'!AJ47,"")="",0,IF(IF(AND('POA — Three year summary'!B6&lt;=DATE(2029,8,1),DATE(2029,8,1)&lt;='POA — Three year summary'!C6)="",FALSE,AND('POA — Three year summary'!B6&lt;=DATE(2029,8,1),DATE(2029,8,1)&lt;='POA — Three year summary'!C6)),'POA — Monthly financial forecas'!AJ47,"")),IF(IF(IF(AND('POA — Three year summary'!B6&lt;=DATE(2029,9,1),DATE(2029,9,1)&lt;='POA — Three year summary'!C6)="",FALSE,AND('POA — Three year summary'!B6&lt;=DATE(2029,9,1),DATE(2029,9,1)&lt;='POA — Three year summary'!C6)),'POA — Monthly financial forecas'!AK47,"")="",0,IF(IF(AND('POA — Three year summary'!B6&lt;=DATE(2029,9,1),DATE(2029,9,1)&lt;='POA — Three year summary'!C6)="",FALSE,AND('POA — Three year summary'!B6&lt;=DATE(2029,9,1),DATE(2029,9,1)&lt;='POA — Three year summary'!C6)),'POA — Monthly financial forecas'!AK47,"")),IF(IF(IF(AND('POA — Three year summary'!B6&lt;=DATE(2026,9,1),DATE(2026,9,1)&lt;='POA — Three year summary'!C6)="",FALSE,AND('POA — Three year summary'!B6&lt;=DATE(2026,9,1),DATE(2026,9,1)&lt;='POA — Three year summary'!C6)),'Model inputs'!B29,"")="",0,IF(IF(AND('POA — Three year summary'!B6&lt;=DATE(2026,9,1),DATE(2026,9,1)&lt;='POA — Three year summary'!C6)="",FALSE,AND('POA — Three year summary'!B6&lt;=DATE(2026,9,1),DATE(2026,9,1)&lt;='POA — Three year summary'!C6)),'Model inputs'!B29,"")))</f>
      </c>
    </row>
    <row r="321">
      <c r="A321" t="inlineStr" s="25">
        <is>
          <t xml:space="preserve">Calculation</t>
        </is>
      </c>
      <c r="B321" s="11">
        <f>SUM(IF(IF(IF(AND('POA — Three year summary'!B6&lt;=DATE(2026,10,1),DATE(2026,10,1)&lt;='POA — Three year summary'!C6)="",FALSE,AND('POA — Three year summary'!B6&lt;=DATE(2026,10,1),DATE(2026,10,1)&lt;='POA — Three year summary'!C6)),'POA — Monthly financial forecas'!B49,"")="",0,IF(IF(AND('POA — Three year summary'!B6&lt;=DATE(2026,10,1),DATE(2026,10,1)&lt;='POA — Three year summary'!C6)="",FALSE,AND('POA — Three year summary'!B6&lt;=DATE(2026,10,1),DATE(2026,10,1)&lt;='POA — Three year summary'!C6)),'POA — Monthly financial forecas'!B49,"")),IF(IF(IF(AND('POA — Three year summary'!B6&lt;=DATE(2026,11,1),DATE(2026,11,1)&lt;='POA — Three year summary'!C6)="",FALSE,AND('POA — Three year summary'!B6&lt;=DATE(2026,11,1),DATE(2026,11,1)&lt;='POA — Three year summary'!C6)),'POA — Monthly financial forecas'!C49,"")="",0,IF(IF(AND('POA — Three year summary'!B6&lt;=DATE(2026,11,1),DATE(2026,11,1)&lt;='POA — Three year summary'!C6)="",FALSE,AND('POA — Three year summary'!B6&lt;=DATE(2026,11,1),DATE(2026,11,1)&lt;='POA — Three year summary'!C6)),'POA — Monthly financial forecas'!C49,"")),IF(IF(IF(AND('POA — Three year summary'!B6&lt;=DATE(2026,12,1),DATE(2026,12,1)&lt;='POA — Three year summary'!C6)="",FALSE,AND('POA — Three year summary'!B6&lt;=DATE(2026,12,1),DATE(2026,12,1)&lt;='POA — Three year summary'!C6)),'POA — Monthly financial forecas'!D49,"")="",0,IF(IF(AND('POA — Three year summary'!B6&lt;=DATE(2026,12,1),DATE(2026,12,1)&lt;='POA — Three year summary'!C6)="",FALSE,AND('POA — Three year summary'!B6&lt;=DATE(2026,12,1),DATE(2026,12,1)&lt;='POA — Three year summary'!C6)),'POA — Monthly financial forecas'!D49,"")),IF(IF(IF(AND('POA — Three year summary'!B6&lt;=DATE(2027,1,1),DATE(2027,1,1)&lt;='POA — Three year summary'!C6)="",FALSE,AND('POA — Three year summary'!B6&lt;=DATE(2027,1,1),DATE(2027,1,1)&lt;='POA — Three year summary'!C6)),'POA — Monthly financial forecas'!E49,"")="",0,IF(IF(AND('POA — Three year summary'!B6&lt;=DATE(2027,1,1),DATE(2027,1,1)&lt;='POA — Three year summary'!C6)="",FALSE,AND('POA — Three year summary'!B6&lt;=DATE(2027,1,1),DATE(2027,1,1)&lt;='POA — Three year summary'!C6)),'POA — Monthly financial forecas'!E49,"")),IF(IF(IF(AND('POA — Three year summary'!B6&lt;=DATE(2027,2,1),DATE(2027,2,1)&lt;='POA — Three year summary'!C6)="",FALSE,AND('POA — Three year summary'!B6&lt;=DATE(2027,2,1),DATE(2027,2,1)&lt;='POA — Three year summary'!C6)),'POA — Monthly financial forecas'!F49,"")="",0,IF(IF(AND('POA — Three year summary'!B6&lt;=DATE(2027,2,1),DATE(2027,2,1)&lt;='POA — Three year summary'!C6)="",FALSE,AND('POA — Three year summary'!B6&lt;=DATE(2027,2,1),DATE(2027,2,1)&lt;='POA — Three year summary'!C6)),'POA — Monthly financial forecas'!F49,"")),IF(IF(IF(AND('POA — Three year summary'!B6&lt;=DATE(2027,3,1),DATE(2027,3,1)&lt;='POA — Three year summary'!C6)="",FALSE,AND('POA — Three year summary'!B6&lt;=DATE(2027,3,1),DATE(2027,3,1)&lt;='POA — Three year summary'!C6)),'POA — Monthly financial forecas'!G49,"")="",0,IF(IF(AND('POA — Three year summary'!B6&lt;=DATE(2027,3,1),DATE(2027,3,1)&lt;='POA — Three year summary'!C6)="",FALSE,AND('POA — Three year summary'!B6&lt;=DATE(2027,3,1),DATE(2027,3,1)&lt;='POA — Three year summary'!C6)),'POA — Monthly financial forecas'!G49,"")),IF(IF(IF(AND('POA — Three year summary'!B6&lt;=DATE(2027,4,1),DATE(2027,4,1)&lt;='POA — Three year summary'!C6)="",FALSE,AND('POA — Three year summary'!B6&lt;=DATE(2027,4,1),DATE(2027,4,1)&lt;='POA — Three year summary'!C6)),'POA — Monthly financial forecas'!H49,"")="",0,IF(IF(AND('POA — Three year summary'!B6&lt;=DATE(2027,4,1),DATE(2027,4,1)&lt;='POA — Three year summary'!C6)="",FALSE,AND('POA — Three year summary'!B6&lt;=DATE(2027,4,1),DATE(2027,4,1)&lt;='POA — Three year summary'!C6)),'POA — Monthly financial forecas'!H49,"")),IF(IF(IF(AND('POA — Three year summary'!B6&lt;=DATE(2027,5,1),DATE(2027,5,1)&lt;='POA — Three year summary'!C6)="",FALSE,AND('POA — Three year summary'!B6&lt;=DATE(2027,5,1),DATE(2027,5,1)&lt;='POA — Three year summary'!C6)),'POA — Monthly financial forecas'!I49,"")="",0,IF(IF(AND('POA — Three year summary'!B6&lt;=DATE(2027,5,1),DATE(2027,5,1)&lt;='POA — Three year summary'!C6)="",FALSE,AND('POA — Three year summary'!B6&lt;=DATE(2027,5,1),DATE(2027,5,1)&lt;='POA — Three year summary'!C6)),'POA — Monthly financial forecas'!I49,"")),IF(IF(IF(AND('POA — Three year summary'!B6&lt;=DATE(2027,6,1),DATE(2027,6,1)&lt;='POA — Three year summary'!C6)="",FALSE,AND('POA — Three year summary'!B6&lt;=DATE(2027,6,1),DATE(2027,6,1)&lt;='POA — Three year summary'!C6)),'POA — Monthly financial forecas'!J49,"")="",0,IF(IF(AND('POA — Three year summary'!B6&lt;=DATE(2027,6,1),DATE(2027,6,1)&lt;='POA — Three year summary'!C6)="",FALSE,AND('POA — Three year summary'!B6&lt;=DATE(2027,6,1),DATE(2027,6,1)&lt;='POA — Three year summary'!C6)),'POA — Monthly financial forecas'!J49,"")),IF(IF(IF(AND('POA — Three year summary'!B6&lt;=DATE(2027,7,1),DATE(2027,7,1)&lt;='POA — Three year summary'!C6)="",FALSE,AND('POA — Three year summary'!B6&lt;=DATE(2027,7,1),DATE(2027,7,1)&lt;='POA — Three year summary'!C6)),'POA — Monthly financial forecas'!K49,"")="",0,IF(IF(AND('POA — Three year summary'!B6&lt;=DATE(2027,7,1),DATE(2027,7,1)&lt;='POA — Three year summary'!C6)="",FALSE,AND('POA — Three year summary'!B6&lt;=DATE(2027,7,1),DATE(2027,7,1)&lt;='POA — Three year summary'!C6)),'POA — Monthly financial forecas'!K49,"")),IF(IF(IF(AND('POA — Three year summary'!B6&lt;=DATE(2027,8,1),DATE(2027,8,1)&lt;='POA — Three year summary'!C6)="",FALSE,AND('POA — Three year summary'!B6&lt;=DATE(2027,8,1),DATE(2027,8,1)&lt;='POA — Three year summary'!C6)),'POA — Monthly financial forecas'!L49,"")="",0,IF(IF(AND('POA — Three year summary'!B6&lt;=DATE(2027,8,1),DATE(2027,8,1)&lt;='POA — Three year summary'!C6)="",FALSE,AND('POA — Three year summary'!B6&lt;=DATE(2027,8,1),DATE(2027,8,1)&lt;='POA — Three year summary'!C6)),'POA — Monthly financial forecas'!L49,"")),IF(IF(IF(AND('POA — Three year summary'!B6&lt;=DATE(2027,9,1),DATE(2027,9,1)&lt;='POA — Three year summary'!C6)="",FALSE,AND('POA — Three year summary'!B6&lt;=DATE(2027,9,1),DATE(2027,9,1)&lt;='POA — Three year summary'!C6)),'POA — Monthly financial forecas'!M49,"")="",0,IF(IF(AND('POA — Three year summary'!B6&lt;=DATE(2027,9,1),DATE(2027,9,1)&lt;='POA — Three year summary'!C6)="",FALSE,AND('POA — Three year summary'!B6&lt;=DATE(2027,9,1),DATE(2027,9,1)&lt;='POA — Three year summary'!C6)),'POA — Monthly financial forecas'!M49,"")),IF(IF(IF(AND('POA — Three year summary'!B6&lt;=DATE(2027,10,1),DATE(2027,10,1)&lt;='POA — Three year summary'!C6)="",FALSE,AND('POA — Three year summary'!B6&lt;=DATE(2027,10,1),DATE(2027,10,1)&lt;='POA — Three year summary'!C6)),'POA — Monthly financial forecas'!N49,"")="",0,IF(IF(AND('POA — Three year summary'!B6&lt;=DATE(2027,10,1),DATE(2027,10,1)&lt;='POA — Three year summary'!C6)="",FALSE,AND('POA — Three year summary'!B6&lt;=DATE(2027,10,1),DATE(2027,10,1)&lt;='POA — Three year summary'!C6)),'POA — Monthly financial forecas'!N49,"")),IF(IF(IF(AND('POA — Three year summary'!B6&lt;=DATE(2027,11,1),DATE(2027,11,1)&lt;='POA — Three year summary'!C6)="",FALSE,AND('POA — Three year summary'!B6&lt;=DATE(2027,11,1),DATE(2027,11,1)&lt;='POA — Three year summary'!C6)),'POA — Monthly financial forecas'!O49,"")="",0,IF(IF(AND('POA — Three year summary'!B6&lt;=DATE(2027,11,1),DATE(2027,11,1)&lt;='POA — Three year summary'!C6)="",FALSE,AND('POA — Three year summary'!B6&lt;=DATE(2027,11,1),DATE(2027,11,1)&lt;='POA — Three year summary'!C6)),'POA — Monthly financial forecas'!O49,"")),IF(IF(IF(AND('POA — Three year summary'!B6&lt;=DATE(2027,12,1),DATE(2027,12,1)&lt;='POA — Three year summary'!C6)="",FALSE,AND('POA — Three year summary'!B6&lt;=DATE(2027,12,1),DATE(2027,12,1)&lt;='POA — Three year summary'!C6)),'POA — Monthly financial forecas'!P49,"")="",0,IF(IF(AND('POA — Three year summary'!B6&lt;=DATE(2027,12,1),DATE(2027,12,1)&lt;='POA — Three year summary'!C6)="",FALSE,AND('POA — Three year summary'!B6&lt;=DATE(2027,12,1),DATE(2027,12,1)&lt;='POA — Three year summary'!C6)),'POA — Monthly financial forecas'!P49,"")))</f>
      </c>
    </row>
    <row r="322">
      <c r="A322" t="inlineStr" s="25">
        <is>
          <t xml:space="preserve">Calculation</t>
        </is>
      </c>
      <c r="B322" s="11">
        <f>SUM(IF(IF(IF(AND('POA — Three year summary'!B6&lt;=DATE(2028,1,1),DATE(2028,1,1)&lt;='POA — Three year summary'!C6)="",FALSE,AND('POA — Three year summary'!B6&lt;=DATE(2028,1,1),DATE(2028,1,1)&lt;='POA — Three year summary'!C6)),'POA — Monthly financial forecas'!Q49,"")="",0,IF(IF(AND('POA — Three year summary'!B6&lt;=DATE(2028,1,1),DATE(2028,1,1)&lt;='POA — Three year summary'!C6)="",FALSE,AND('POA — Three year summary'!B6&lt;=DATE(2028,1,1),DATE(2028,1,1)&lt;='POA — Three year summary'!C6)),'POA — Monthly financial forecas'!Q49,"")),IF(IF(IF(AND('POA — Three year summary'!B6&lt;=DATE(2028,2,1),DATE(2028,2,1)&lt;='POA — Three year summary'!C6)="",FALSE,AND('POA — Three year summary'!B6&lt;=DATE(2028,2,1),DATE(2028,2,1)&lt;='POA — Three year summary'!C6)),'POA — Monthly financial forecas'!R49,"")="",0,IF(IF(AND('POA — Three year summary'!B6&lt;=DATE(2028,2,1),DATE(2028,2,1)&lt;='POA — Three year summary'!C6)="",FALSE,AND('POA — Three year summary'!B6&lt;=DATE(2028,2,1),DATE(2028,2,1)&lt;='POA — Three year summary'!C6)),'POA — Monthly financial forecas'!R49,"")),IF(IF(IF(AND('POA — Three year summary'!B6&lt;=DATE(2028,3,1),DATE(2028,3,1)&lt;='POA — Three year summary'!C6)="",FALSE,AND('POA — Three year summary'!B6&lt;=DATE(2028,3,1),DATE(2028,3,1)&lt;='POA — Three year summary'!C6)),'POA — Monthly financial forecas'!S49,"")="",0,IF(IF(AND('POA — Three year summary'!B6&lt;=DATE(2028,3,1),DATE(2028,3,1)&lt;='POA — Three year summary'!C6)="",FALSE,AND('POA — Three year summary'!B6&lt;=DATE(2028,3,1),DATE(2028,3,1)&lt;='POA — Three year summary'!C6)),'POA — Monthly financial forecas'!S49,"")),IF(IF(IF(AND('POA — Three year summary'!B6&lt;=DATE(2028,4,1),DATE(2028,4,1)&lt;='POA — Three year summary'!C6)="",FALSE,AND('POA — Three year summary'!B6&lt;=DATE(2028,4,1),DATE(2028,4,1)&lt;='POA — Three year summary'!C6)),'POA — Monthly financial forecas'!T49,"")="",0,IF(IF(AND('POA — Three year summary'!B6&lt;=DATE(2028,4,1),DATE(2028,4,1)&lt;='POA — Three year summary'!C6)="",FALSE,AND('POA — Three year summary'!B6&lt;=DATE(2028,4,1),DATE(2028,4,1)&lt;='POA — Three year summary'!C6)),'POA — Monthly financial forecas'!T49,"")),IF(IF(IF(AND('POA — Three year summary'!B6&lt;=DATE(2028,5,1),DATE(2028,5,1)&lt;='POA — Three year summary'!C6)="",FALSE,AND('POA — Three year summary'!B6&lt;=DATE(2028,5,1),DATE(2028,5,1)&lt;='POA — Three year summary'!C6)),'POA — Monthly financial forecas'!U49,"")="",0,IF(IF(AND('POA — Three year summary'!B6&lt;=DATE(2028,5,1),DATE(2028,5,1)&lt;='POA — Three year summary'!C6)="",FALSE,AND('POA — Three year summary'!B6&lt;=DATE(2028,5,1),DATE(2028,5,1)&lt;='POA — Three year summary'!C6)),'POA — Monthly financial forecas'!U49,"")),IF(IF(IF(AND('POA — Three year summary'!B6&lt;=DATE(2028,6,1),DATE(2028,6,1)&lt;='POA — Three year summary'!C6)="",FALSE,AND('POA — Three year summary'!B6&lt;=DATE(2028,6,1),DATE(2028,6,1)&lt;='POA — Three year summary'!C6)),'POA — Monthly financial forecas'!V49,"")="",0,IF(IF(AND('POA — Three year summary'!B6&lt;=DATE(2028,6,1),DATE(2028,6,1)&lt;='POA — Three year summary'!C6)="",FALSE,AND('POA — Three year summary'!B6&lt;=DATE(2028,6,1),DATE(2028,6,1)&lt;='POA — Three year summary'!C6)),'POA — Monthly financial forecas'!V49,"")),IF(IF(IF(AND('POA — Three year summary'!B6&lt;=DATE(2028,7,1),DATE(2028,7,1)&lt;='POA — Three year summary'!C6)="",FALSE,AND('POA — Three year summary'!B6&lt;=DATE(2028,7,1),DATE(2028,7,1)&lt;='POA — Three year summary'!C6)),'POA — Monthly financial forecas'!W49,"")="",0,IF(IF(AND('POA — Three year summary'!B6&lt;=DATE(2028,7,1),DATE(2028,7,1)&lt;='POA — Three year summary'!C6)="",FALSE,AND('POA — Three year summary'!B6&lt;=DATE(2028,7,1),DATE(2028,7,1)&lt;='POA — Three year summary'!C6)),'POA — Monthly financial forecas'!W49,"")),IF(IF(IF(AND('POA — Three year summary'!B6&lt;=DATE(2028,8,1),DATE(2028,8,1)&lt;='POA — Three year summary'!C6)="",FALSE,AND('POA — Three year summary'!B6&lt;=DATE(2028,8,1),DATE(2028,8,1)&lt;='POA — Three year summary'!C6)),'POA — Monthly financial forecas'!X49,"")="",0,IF(IF(AND('POA — Three year summary'!B6&lt;=DATE(2028,8,1),DATE(2028,8,1)&lt;='POA — Three year summary'!C6)="",FALSE,AND('POA — Three year summary'!B6&lt;=DATE(2028,8,1),DATE(2028,8,1)&lt;='POA — Three year summary'!C6)),'POA — Monthly financial forecas'!X49,"")),IF(IF(IF(AND('POA — Three year summary'!B6&lt;=DATE(2028,9,1),DATE(2028,9,1)&lt;='POA — Three year summary'!C6)="",FALSE,AND('POA — Three year summary'!B6&lt;=DATE(2028,9,1),DATE(2028,9,1)&lt;='POA — Three year summary'!C6)),'POA — Monthly financial forecas'!Y49,"")="",0,IF(IF(AND('POA — Three year summary'!B6&lt;=DATE(2028,9,1),DATE(2028,9,1)&lt;='POA — Three year summary'!C6)="",FALSE,AND('POA — Three year summary'!B6&lt;=DATE(2028,9,1),DATE(2028,9,1)&lt;='POA — Three year summary'!C6)),'POA — Monthly financial forecas'!Y49,"")),IF(IF(IF(AND('POA — Three year summary'!B6&lt;=DATE(2028,10,1),DATE(2028,10,1)&lt;='POA — Three year summary'!C6)="",FALSE,AND('POA — Three year summary'!B6&lt;=DATE(2028,10,1),DATE(2028,10,1)&lt;='POA — Three year summary'!C6)),'POA — Monthly financial forecas'!Z49,"")="",0,IF(IF(AND('POA — Three year summary'!B6&lt;=DATE(2028,10,1),DATE(2028,10,1)&lt;='POA — Three year summary'!C6)="",FALSE,AND('POA — Three year summary'!B6&lt;=DATE(2028,10,1),DATE(2028,10,1)&lt;='POA — Three year summary'!C6)),'POA — Monthly financial forecas'!Z49,"")),IF(IF(IF(AND('POA — Three year summary'!B6&lt;=DATE(2028,11,1),DATE(2028,11,1)&lt;='POA — Three year summary'!C6)="",FALSE,AND('POA — Three year summary'!B6&lt;=DATE(2028,11,1),DATE(2028,11,1)&lt;='POA — Three year summary'!C6)),'POA — Monthly financial forecas'!AA49,"")="",0,IF(IF(AND('POA — Three year summary'!B6&lt;=DATE(2028,11,1),DATE(2028,11,1)&lt;='POA — Three year summary'!C6)="",FALSE,AND('POA — Three year summary'!B6&lt;=DATE(2028,11,1),DATE(2028,11,1)&lt;='POA — Three year summary'!C6)),'POA — Monthly financial forecas'!AA49,"")),IF(IF(IF(AND('POA — Three year summary'!B6&lt;=DATE(2028,12,1),DATE(2028,12,1)&lt;='POA — Three year summary'!C6)="",FALSE,AND('POA — Three year summary'!B6&lt;=DATE(2028,12,1),DATE(2028,12,1)&lt;='POA — Three year summary'!C6)),'POA — Monthly financial forecas'!AB49,"")="",0,IF(IF(AND('POA — Three year summary'!B6&lt;=DATE(2028,12,1),DATE(2028,12,1)&lt;='POA — Three year summary'!C6)="",FALSE,AND('POA — Three year summary'!B6&lt;=DATE(2028,12,1),DATE(2028,12,1)&lt;='POA — Three year summary'!C6)),'POA — Monthly financial forecas'!AB49,"")),IF(IF(IF(AND('POA — Three year summary'!B6&lt;=DATE(2029,1,1),DATE(2029,1,1)&lt;='POA — Three year summary'!C6)="",FALSE,AND('POA — Three year summary'!B6&lt;=DATE(2029,1,1),DATE(2029,1,1)&lt;='POA — Three year summary'!C6)),'POA — Monthly financial forecas'!AC49,"")="",0,IF(IF(AND('POA — Three year summary'!B6&lt;=DATE(2029,1,1),DATE(2029,1,1)&lt;='POA — Three year summary'!C6)="",FALSE,AND('POA — Three year summary'!B6&lt;=DATE(2029,1,1),DATE(2029,1,1)&lt;='POA — Three year summary'!C6)),'POA — Monthly financial forecas'!AC49,"")),IF(IF(IF(AND('POA — Three year summary'!B6&lt;=DATE(2029,2,1),DATE(2029,2,1)&lt;='POA — Three year summary'!C6)="",FALSE,AND('POA — Three year summary'!B6&lt;=DATE(2029,2,1),DATE(2029,2,1)&lt;='POA — Three year summary'!C6)),'POA — Monthly financial forecas'!AD49,"")="",0,IF(IF(AND('POA — Three year summary'!B6&lt;=DATE(2029,2,1),DATE(2029,2,1)&lt;='POA — Three year summary'!C6)="",FALSE,AND('POA — Three year summary'!B6&lt;=DATE(2029,2,1),DATE(2029,2,1)&lt;='POA — Three year summary'!C6)),'POA — Monthly financial forecas'!AD49,"")),IF(IF(IF(AND('POA — Three year summary'!B6&lt;=DATE(2029,3,1),DATE(2029,3,1)&lt;='POA — Three year summary'!C6)="",FALSE,AND('POA — Three year summary'!B6&lt;=DATE(2029,3,1),DATE(2029,3,1)&lt;='POA — Three year summary'!C6)),'POA — Monthly financial forecas'!AE49,"")="",0,IF(IF(AND('POA — Three year summary'!B6&lt;=DATE(2029,3,1),DATE(2029,3,1)&lt;='POA — Three year summary'!C6)="",FALSE,AND('POA — Three year summary'!B6&lt;=DATE(2029,3,1),DATE(2029,3,1)&lt;='POA — Three year summary'!C6)),'POA — Monthly financial forecas'!AE49,"")))</f>
      </c>
    </row>
    <row r="323">
      <c r="A323" t="inlineStr" s="25">
        <is>
          <t xml:space="preserve">Calculation</t>
        </is>
      </c>
      <c r="B323" s="11">
        <f>SUM(IF(IF(IF(AND('POA — Three year summary'!B6&lt;=DATE(2029,4,1),DATE(2029,4,1)&lt;='POA — Three year summary'!C6)="",FALSE,AND('POA — Three year summary'!B6&lt;=DATE(2029,4,1),DATE(2029,4,1)&lt;='POA — Three year summary'!C6)),'POA — Monthly financial forecas'!AF49,"")="",0,IF(IF(AND('POA — Three year summary'!B6&lt;=DATE(2029,4,1),DATE(2029,4,1)&lt;='POA — Three year summary'!C6)="",FALSE,AND('POA — Three year summary'!B6&lt;=DATE(2029,4,1),DATE(2029,4,1)&lt;='POA — Three year summary'!C6)),'POA — Monthly financial forecas'!AF49,"")),IF(IF(IF(AND('POA — Three year summary'!B6&lt;=DATE(2029,5,1),DATE(2029,5,1)&lt;='POA — Three year summary'!C6)="",FALSE,AND('POA — Three year summary'!B6&lt;=DATE(2029,5,1),DATE(2029,5,1)&lt;='POA — Three year summary'!C6)),'POA — Monthly financial forecas'!AG49,"")="",0,IF(IF(AND('POA — Three year summary'!B6&lt;=DATE(2029,5,1),DATE(2029,5,1)&lt;='POA — Three year summary'!C6)="",FALSE,AND('POA — Three year summary'!B6&lt;=DATE(2029,5,1),DATE(2029,5,1)&lt;='POA — Three year summary'!C6)),'POA — Monthly financial forecas'!AG49,"")),IF(IF(IF(AND('POA — Three year summary'!B6&lt;=DATE(2029,6,1),DATE(2029,6,1)&lt;='POA — Three year summary'!C6)="",FALSE,AND('POA — Three year summary'!B6&lt;=DATE(2029,6,1),DATE(2029,6,1)&lt;='POA — Three year summary'!C6)),'POA — Monthly financial forecas'!AH49,"")="",0,IF(IF(AND('POA — Three year summary'!B6&lt;=DATE(2029,6,1),DATE(2029,6,1)&lt;='POA — Three year summary'!C6)="",FALSE,AND('POA — Three year summary'!B6&lt;=DATE(2029,6,1),DATE(2029,6,1)&lt;='POA — Three year summary'!C6)),'POA — Monthly financial forecas'!AH49,"")),IF(IF(IF(AND('POA — Three year summary'!B6&lt;=DATE(2029,7,1),DATE(2029,7,1)&lt;='POA — Three year summary'!C6)="",FALSE,AND('POA — Three year summary'!B6&lt;=DATE(2029,7,1),DATE(2029,7,1)&lt;='POA — Three year summary'!C6)),'POA — Monthly financial forecas'!AI49,"")="",0,IF(IF(AND('POA — Three year summary'!B6&lt;=DATE(2029,7,1),DATE(2029,7,1)&lt;='POA — Three year summary'!C6)="",FALSE,AND('POA — Three year summary'!B6&lt;=DATE(2029,7,1),DATE(2029,7,1)&lt;='POA — Three year summary'!C6)),'POA — Monthly financial forecas'!AI49,"")),IF(IF(IF(AND('POA — Three year summary'!B6&lt;=DATE(2029,8,1),DATE(2029,8,1)&lt;='POA — Three year summary'!C6)="",FALSE,AND('POA — Three year summary'!B6&lt;=DATE(2029,8,1),DATE(2029,8,1)&lt;='POA — Three year summary'!C6)),'POA — Monthly financial forecas'!AJ49,"")="",0,IF(IF(AND('POA — Three year summary'!B6&lt;=DATE(2029,8,1),DATE(2029,8,1)&lt;='POA — Three year summary'!C6)="",FALSE,AND('POA — Three year summary'!B6&lt;=DATE(2029,8,1),DATE(2029,8,1)&lt;='POA — Three year summary'!C6)),'POA — Monthly financial forecas'!AJ49,"")),IF(IF(IF(AND('POA — Three year summary'!B6&lt;=DATE(2029,9,1),DATE(2029,9,1)&lt;='POA — Three year summary'!C6)="",FALSE,AND('POA — Three year summary'!B6&lt;=DATE(2029,9,1),DATE(2029,9,1)&lt;='POA — Three year summary'!C6)),'POA — Monthly financial forecas'!AK49,"")="",0,IF(IF(AND('POA — Three year summary'!B6&lt;=DATE(2029,9,1),DATE(2029,9,1)&lt;='POA — Three year summary'!C6)="",FALSE,AND('POA — Three year summary'!B6&lt;=DATE(2029,9,1),DATE(2029,9,1)&lt;='POA — Three year summary'!C6)),'POA — Monthly financial forecas'!AK49,"")),IF(IF(IF(AND('POA — Three year summary'!B6&lt;=DATE(2026,9,1),DATE(2026,9,1)&lt;='POA — Three year summary'!C6)="",FALSE,AND('POA — Three year summary'!B6&lt;=DATE(2026,9,1),DATE(2026,9,1)&lt;='POA — Three year summary'!C6)),'Model inputs'!B33,"")="",0,IF(IF(AND('POA — Three year summary'!B6&lt;=DATE(2026,9,1),DATE(2026,9,1)&lt;='POA — Three year summary'!C6)="",FALSE,AND('POA — Three year summary'!B6&lt;=DATE(2026,9,1),DATE(2026,9,1)&lt;='POA — Three year summary'!C6)),'Model inputs'!B33,"")))</f>
      </c>
    </row>
    <row r="324">
      <c r="A324" t="inlineStr" s="25">
        <is>
          <t xml:space="preserve">Calculation</t>
        </is>
      </c>
      <c r="B324" s="11">
        <f>SUM(IF(IF(IF(AND('POA — Three year summary'!B6&lt;=DATE(2026,10,1),DATE(2026,10,1)&lt;='POA — Three year summary'!C6)="",FALSE,AND('POA — Three year summary'!B6&lt;=DATE(2026,10,1),DATE(2026,10,1)&lt;='POA — Three year summary'!C6)),'POA — Monthly financial forecas'!B55,"")="",0,IF(IF(AND('POA — Three year summary'!B6&lt;=DATE(2026,10,1),DATE(2026,10,1)&lt;='POA — Three year summary'!C6)="",FALSE,AND('POA — Three year summary'!B6&lt;=DATE(2026,10,1),DATE(2026,10,1)&lt;='POA — Three year summary'!C6)),'POA — Monthly financial forecas'!B55,"")),IF(IF(IF(AND('POA — Three year summary'!B6&lt;=DATE(2026,11,1),DATE(2026,11,1)&lt;='POA — Three year summary'!C6)="",FALSE,AND('POA — Three year summary'!B6&lt;=DATE(2026,11,1),DATE(2026,11,1)&lt;='POA — Three year summary'!C6)),'POA — Monthly financial forecas'!C55,"")="",0,IF(IF(AND('POA — Three year summary'!B6&lt;=DATE(2026,11,1),DATE(2026,11,1)&lt;='POA — Three year summary'!C6)="",FALSE,AND('POA — Three year summary'!B6&lt;=DATE(2026,11,1),DATE(2026,11,1)&lt;='POA — Three year summary'!C6)),'POA — Monthly financial forecas'!C55,"")),IF(IF(IF(AND('POA — Three year summary'!B6&lt;=DATE(2026,12,1),DATE(2026,12,1)&lt;='POA — Three year summary'!C6)="",FALSE,AND('POA — Three year summary'!B6&lt;=DATE(2026,12,1),DATE(2026,12,1)&lt;='POA — Three year summary'!C6)),'POA — Monthly financial forecas'!D55,"")="",0,IF(IF(AND('POA — Three year summary'!B6&lt;=DATE(2026,12,1),DATE(2026,12,1)&lt;='POA — Three year summary'!C6)="",FALSE,AND('POA — Three year summary'!B6&lt;=DATE(2026,12,1),DATE(2026,12,1)&lt;='POA — Three year summary'!C6)),'POA — Monthly financial forecas'!D55,"")),IF(IF(IF(AND('POA — Three year summary'!B6&lt;=DATE(2027,1,1),DATE(2027,1,1)&lt;='POA — Three year summary'!C6)="",FALSE,AND('POA — Three year summary'!B6&lt;=DATE(2027,1,1),DATE(2027,1,1)&lt;='POA — Three year summary'!C6)),'POA — Monthly financial forecas'!E55,"")="",0,IF(IF(AND('POA — Three year summary'!B6&lt;=DATE(2027,1,1),DATE(2027,1,1)&lt;='POA — Three year summary'!C6)="",FALSE,AND('POA — Three year summary'!B6&lt;=DATE(2027,1,1),DATE(2027,1,1)&lt;='POA — Three year summary'!C6)),'POA — Monthly financial forecas'!E55,"")),IF(IF(IF(AND('POA — Three year summary'!B6&lt;=DATE(2027,2,1),DATE(2027,2,1)&lt;='POA — Three year summary'!C6)="",FALSE,AND('POA — Three year summary'!B6&lt;=DATE(2027,2,1),DATE(2027,2,1)&lt;='POA — Three year summary'!C6)),'POA — Monthly financial forecas'!F55,"")="",0,IF(IF(AND('POA — Three year summary'!B6&lt;=DATE(2027,2,1),DATE(2027,2,1)&lt;='POA — Three year summary'!C6)="",FALSE,AND('POA — Three year summary'!B6&lt;=DATE(2027,2,1),DATE(2027,2,1)&lt;='POA — Three year summary'!C6)),'POA — Monthly financial forecas'!F55,"")),IF(IF(IF(AND('POA — Three year summary'!B6&lt;=DATE(2027,3,1),DATE(2027,3,1)&lt;='POA — Three year summary'!C6)="",FALSE,AND('POA — Three year summary'!B6&lt;=DATE(2027,3,1),DATE(2027,3,1)&lt;='POA — Three year summary'!C6)),'POA — Monthly financial forecas'!G55,"")="",0,IF(IF(AND('POA — Three year summary'!B6&lt;=DATE(2027,3,1),DATE(2027,3,1)&lt;='POA — Three year summary'!C6)="",FALSE,AND('POA — Three year summary'!B6&lt;=DATE(2027,3,1),DATE(2027,3,1)&lt;='POA — Three year summary'!C6)),'POA — Monthly financial forecas'!G55,"")),IF(IF(IF(AND('POA — Three year summary'!B6&lt;=DATE(2027,4,1),DATE(2027,4,1)&lt;='POA — Three year summary'!C6)="",FALSE,AND('POA — Three year summary'!B6&lt;=DATE(2027,4,1),DATE(2027,4,1)&lt;='POA — Three year summary'!C6)),'POA — Monthly financial forecas'!H55,"")="",0,IF(IF(AND('POA — Three year summary'!B6&lt;=DATE(2027,4,1),DATE(2027,4,1)&lt;='POA — Three year summary'!C6)="",FALSE,AND('POA — Three year summary'!B6&lt;=DATE(2027,4,1),DATE(2027,4,1)&lt;='POA — Three year summary'!C6)),'POA — Monthly financial forecas'!H55,"")),IF(IF(IF(AND('POA — Three year summary'!B6&lt;=DATE(2027,5,1),DATE(2027,5,1)&lt;='POA — Three year summary'!C6)="",FALSE,AND('POA — Three year summary'!B6&lt;=DATE(2027,5,1),DATE(2027,5,1)&lt;='POA — Three year summary'!C6)),'POA — Monthly financial forecas'!I55,"")="",0,IF(IF(AND('POA — Three year summary'!B6&lt;=DATE(2027,5,1),DATE(2027,5,1)&lt;='POA — Three year summary'!C6)="",FALSE,AND('POA — Three year summary'!B6&lt;=DATE(2027,5,1),DATE(2027,5,1)&lt;='POA — Three year summary'!C6)),'POA — Monthly financial forecas'!I55,"")),IF(IF(IF(AND('POA — Three year summary'!B6&lt;=DATE(2027,6,1),DATE(2027,6,1)&lt;='POA — Three year summary'!C6)="",FALSE,AND('POA — Three year summary'!B6&lt;=DATE(2027,6,1),DATE(2027,6,1)&lt;='POA — Three year summary'!C6)),'POA — Monthly financial forecas'!J55,"")="",0,IF(IF(AND('POA — Three year summary'!B6&lt;=DATE(2027,6,1),DATE(2027,6,1)&lt;='POA — Three year summary'!C6)="",FALSE,AND('POA — Three year summary'!B6&lt;=DATE(2027,6,1),DATE(2027,6,1)&lt;='POA — Three year summary'!C6)),'POA — Monthly financial forecas'!J55,"")),IF(IF(IF(AND('POA — Three year summary'!B6&lt;=DATE(2027,7,1),DATE(2027,7,1)&lt;='POA — Three year summary'!C6)="",FALSE,AND('POA — Three year summary'!B6&lt;=DATE(2027,7,1),DATE(2027,7,1)&lt;='POA — Three year summary'!C6)),'POA — Monthly financial forecas'!K55,"")="",0,IF(IF(AND('POA — Three year summary'!B6&lt;=DATE(2027,7,1),DATE(2027,7,1)&lt;='POA — Three year summary'!C6)="",FALSE,AND('POA — Three year summary'!B6&lt;=DATE(2027,7,1),DATE(2027,7,1)&lt;='POA — Three year summary'!C6)),'POA — Monthly financial forecas'!K55,"")),IF(IF(IF(AND('POA — Three year summary'!B6&lt;=DATE(2027,8,1),DATE(2027,8,1)&lt;='POA — Three year summary'!C6)="",FALSE,AND('POA — Three year summary'!B6&lt;=DATE(2027,8,1),DATE(2027,8,1)&lt;='POA — Three year summary'!C6)),'POA — Monthly financial forecas'!L55,"")="",0,IF(IF(AND('POA — Three year summary'!B6&lt;=DATE(2027,8,1),DATE(2027,8,1)&lt;='POA — Three year summary'!C6)="",FALSE,AND('POA — Three year summary'!B6&lt;=DATE(2027,8,1),DATE(2027,8,1)&lt;='POA — Three year summary'!C6)),'POA — Monthly financial forecas'!L55,"")),IF(IF(IF(AND('POA — Three year summary'!B6&lt;=DATE(2027,9,1),DATE(2027,9,1)&lt;='POA — Three year summary'!C6)="",FALSE,AND('POA — Three year summary'!B6&lt;=DATE(2027,9,1),DATE(2027,9,1)&lt;='POA — Three year summary'!C6)),'POA — Monthly financial forecas'!M55,"")="",0,IF(IF(AND('POA — Three year summary'!B6&lt;=DATE(2027,9,1),DATE(2027,9,1)&lt;='POA — Three year summary'!C6)="",FALSE,AND('POA — Three year summary'!B6&lt;=DATE(2027,9,1),DATE(2027,9,1)&lt;='POA — Three year summary'!C6)),'POA — Monthly financial forecas'!M55,"")),IF(IF(IF(AND('POA — Three year summary'!B6&lt;=DATE(2027,10,1),DATE(2027,10,1)&lt;='POA — Three year summary'!C6)="",FALSE,AND('POA — Three year summary'!B6&lt;=DATE(2027,10,1),DATE(2027,10,1)&lt;='POA — Three year summary'!C6)),'POA — Monthly financial forecas'!N55,"")="",0,IF(IF(AND('POA — Three year summary'!B6&lt;=DATE(2027,10,1),DATE(2027,10,1)&lt;='POA — Three year summary'!C6)="",FALSE,AND('POA — Three year summary'!B6&lt;=DATE(2027,10,1),DATE(2027,10,1)&lt;='POA — Three year summary'!C6)),'POA — Monthly financial forecas'!N55,"")),IF(IF(IF(AND('POA — Three year summary'!B6&lt;=DATE(2027,11,1),DATE(2027,11,1)&lt;='POA — Three year summary'!C6)="",FALSE,AND('POA — Three year summary'!B6&lt;=DATE(2027,11,1),DATE(2027,11,1)&lt;='POA — Three year summary'!C6)),'POA — Monthly financial forecas'!O55,"")="",0,IF(IF(AND('POA — Three year summary'!B6&lt;=DATE(2027,11,1),DATE(2027,11,1)&lt;='POA — Three year summary'!C6)="",FALSE,AND('POA — Three year summary'!B6&lt;=DATE(2027,11,1),DATE(2027,11,1)&lt;='POA — Three year summary'!C6)),'POA — Monthly financial forecas'!O55,"")),IF(IF(IF(AND('POA — Three year summary'!B6&lt;=DATE(2027,12,1),DATE(2027,12,1)&lt;='POA — Three year summary'!C6)="",FALSE,AND('POA — Three year summary'!B6&lt;=DATE(2027,12,1),DATE(2027,12,1)&lt;='POA — Three year summary'!C6)),'POA — Monthly financial forecas'!P55,"")="",0,IF(IF(AND('POA — Three year summary'!B6&lt;=DATE(2027,12,1),DATE(2027,12,1)&lt;='POA — Three year summary'!C6)="",FALSE,AND('POA — Three year summary'!B6&lt;=DATE(2027,12,1),DATE(2027,12,1)&lt;='POA — Three year summary'!C6)),'POA — Monthly financial forecas'!P55,"")))</f>
      </c>
    </row>
    <row r="325">
      <c r="A325" t="inlineStr" s="25">
        <is>
          <t xml:space="preserve">Calculation</t>
        </is>
      </c>
      <c r="B325" s="11">
        <f>SUM(IF(IF(IF(AND('POA — Three year summary'!B6&lt;=DATE(2028,1,1),DATE(2028,1,1)&lt;='POA — Three year summary'!C6)="",FALSE,AND('POA — Three year summary'!B6&lt;=DATE(2028,1,1),DATE(2028,1,1)&lt;='POA — Three year summary'!C6)),'POA — Monthly financial forecas'!Q55,"")="",0,IF(IF(AND('POA — Three year summary'!B6&lt;=DATE(2028,1,1),DATE(2028,1,1)&lt;='POA — Three year summary'!C6)="",FALSE,AND('POA — Three year summary'!B6&lt;=DATE(2028,1,1),DATE(2028,1,1)&lt;='POA — Three year summary'!C6)),'POA — Monthly financial forecas'!Q55,"")),IF(IF(IF(AND('POA — Three year summary'!B6&lt;=DATE(2028,2,1),DATE(2028,2,1)&lt;='POA — Three year summary'!C6)="",FALSE,AND('POA — Three year summary'!B6&lt;=DATE(2028,2,1),DATE(2028,2,1)&lt;='POA — Three year summary'!C6)),'POA — Monthly financial forecas'!R55,"")="",0,IF(IF(AND('POA — Three year summary'!B6&lt;=DATE(2028,2,1),DATE(2028,2,1)&lt;='POA — Three year summary'!C6)="",FALSE,AND('POA — Three year summary'!B6&lt;=DATE(2028,2,1),DATE(2028,2,1)&lt;='POA — Three year summary'!C6)),'POA — Monthly financial forecas'!R55,"")),IF(IF(IF(AND('POA — Three year summary'!B6&lt;=DATE(2028,3,1),DATE(2028,3,1)&lt;='POA — Three year summary'!C6)="",FALSE,AND('POA — Three year summary'!B6&lt;=DATE(2028,3,1),DATE(2028,3,1)&lt;='POA — Three year summary'!C6)),'POA — Monthly financial forecas'!S55,"")="",0,IF(IF(AND('POA — Three year summary'!B6&lt;=DATE(2028,3,1),DATE(2028,3,1)&lt;='POA — Three year summary'!C6)="",FALSE,AND('POA — Three year summary'!B6&lt;=DATE(2028,3,1),DATE(2028,3,1)&lt;='POA — Three year summary'!C6)),'POA — Monthly financial forecas'!S55,"")),IF(IF(IF(AND('POA — Three year summary'!B6&lt;=DATE(2028,4,1),DATE(2028,4,1)&lt;='POA — Three year summary'!C6)="",FALSE,AND('POA — Three year summary'!B6&lt;=DATE(2028,4,1),DATE(2028,4,1)&lt;='POA — Three year summary'!C6)),'POA — Monthly financial forecas'!T55,"")="",0,IF(IF(AND('POA — Three year summary'!B6&lt;=DATE(2028,4,1),DATE(2028,4,1)&lt;='POA — Three year summary'!C6)="",FALSE,AND('POA — Three year summary'!B6&lt;=DATE(2028,4,1),DATE(2028,4,1)&lt;='POA — Three year summary'!C6)),'POA — Monthly financial forecas'!T55,"")),IF(IF(IF(AND('POA — Three year summary'!B6&lt;=DATE(2028,5,1),DATE(2028,5,1)&lt;='POA — Three year summary'!C6)="",FALSE,AND('POA — Three year summary'!B6&lt;=DATE(2028,5,1),DATE(2028,5,1)&lt;='POA — Three year summary'!C6)),'POA — Monthly financial forecas'!U55,"")="",0,IF(IF(AND('POA — Three year summary'!B6&lt;=DATE(2028,5,1),DATE(2028,5,1)&lt;='POA — Three year summary'!C6)="",FALSE,AND('POA — Three year summary'!B6&lt;=DATE(2028,5,1),DATE(2028,5,1)&lt;='POA — Three year summary'!C6)),'POA — Monthly financial forecas'!U55,"")),IF(IF(IF(AND('POA — Three year summary'!B6&lt;=DATE(2028,6,1),DATE(2028,6,1)&lt;='POA — Three year summary'!C6)="",FALSE,AND('POA — Three year summary'!B6&lt;=DATE(2028,6,1),DATE(2028,6,1)&lt;='POA — Three year summary'!C6)),'POA — Monthly financial forecas'!V55,"")="",0,IF(IF(AND('POA — Three year summary'!B6&lt;=DATE(2028,6,1),DATE(2028,6,1)&lt;='POA — Three year summary'!C6)="",FALSE,AND('POA — Three year summary'!B6&lt;=DATE(2028,6,1),DATE(2028,6,1)&lt;='POA — Three year summary'!C6)),'POA — Monthly financial forecas'!V55,"")),IF(IF(IF(AND('POA — Three year summary'!B6&lt;=DATE(2028,7,1),DATE(2028,7,1)&lt;='POA — Three year summary'!C6)="",FALSE,AND('POA — Three year summary'!B6&lt;=DATE(2028,7,1),DATE(2028,7,1)&lt;='POA — Three year summary'!C6)),'POA — Monthly financial forecas'!W55,"")="",0,IF(IF(AND('POA — Three year summary'!B6&lt;=DATE(2028,7,1),DATE(2028,7,1)&lt;='POA — Three year summary'!C6)="",FALSE,AND('POA — Three year summary'!B6&lt;=DATE(2028,7,1),DATE(2028,7,1)&lt;='POA — Three year summary'!C6)),'POA — Monthly financial forecas'!W55,"")),IF(IF(IF(AND('POA — Three year summary'!B6&lt;=DATE(2028,8,1),DATE(2028,8,1)&lt;='POA — Three year summary'!C6)="",FALSE,AND('POA — Three year summary'!B6&lt;=DATE(2028,8,1),DATE(2028,8,1)&lt;='POA — Three year summary'!C6)),'POA — Monthly financial forecas'!X55,"")="",0,IF(IF(AND('POA — Three year summary'!B6&lt;=DATE(2028,8,1),DATE(2028,8,1)&lt;='POA — Three year summary'!C6)="",FALSE,AND('POA — Three year summary'!B6&lt;=DATE(2028,8,1),DATE(2028,8,1)&lt;='POA — Three year summary'!C6)),'POA — Monthly financial forecas'!X55,"")),IF(IF(IF(AND('POA — Three year summary'!B6&lt;=DATE(2028,9,1),DATE(2028,9,1)&lt;='POA — Three year summary'!C6)="",FALSE,AND('POA — Three year summary'!B6&lt;=DATE(2028,9,1),DATE(2028,9,1)&lt;='POA — Three year summary'!C6)),'POA — Monthly financial forecas'!Y55,"")="",0,IF(IF(AND('POA — Three year summary'!B6&lt;=DATE(2028,9,1),DATE(2028,9,1)&lt;='POA — Three year summary'!C6)="",FALSE,AND('POA — Three year summary'!B6&lt;=DATE(2028,9,1),DATE(2028,9,1)&lt;='POA — Three year summary'!C6)),'POA — Monthly financial forecas'!Y55,"")),IF(IF(IF(AND('POA — Three year summary'!B6&lt;=DATE(2028,10,1),DATE(2028,10,1)&lt;='POA — Three year summary'!C6)="",FALSE,AND('POA — Three year summary'!B6&lt;=DATE(2028,10,1),DATE(2028,10,1)&lt;='POA — Three year summary'!C6)),'POA — Monthly financial forecas'!Z55,"")="",0,IF(IF(AND('POA — Three year summary'!B6&lt;=DATE(2028,10,1),DATE(2028,10,1)&lt;='POA — Three year summary'!C6)="",FALSE,AND('POA — Three year summary'!B6&lt;=DATE(2028,10,1),DATE(2028,10,1)&lt;='POA — Three year summary'!C6)),'POA — Monthly financial forecas'!Z55,"")),IF(IF(IF(AND('POA — Three year summary'!B6&lt;=DATE(2028,11,1),DATE(2028,11,1)&lt;='POA — Three year summary'!C6)="",FALSE,AND('POA — Three year summary'!B6&lt;=DATE(2028,11,1),DATE(2028,11,1)&lt;='POA — Three year summary'!C6)),'POA — Monthly financial forecas'!AA55,"")="",0,IF(IF(AND('POA — Three year summary'!B6&lt;=DATE(2028,11,1),DATE(2028,11,1)&lt;='POA — Three year summary'!C6)="",FALSE,AND('POA — Three year summary'!B6&lt;=DATE(2028,11,1),DATE(2028,11,1)&lt;='POA — Three year summary'!C6)),'POA — Monthly financial forecas'!AA55,"")),IF(IF(IF(AND('POA — Three year summary'!B6&lt;=DATE(2028,12,1),DATE(2028,12,1)&lt;='POA — Three year summary'!C6)="",FALSE,AND('POA — Three year summary'!B6&lt;=DATE(2028,12,1),DATE(2028,12,1)&lt;='POA — Three year summary'!C6)),'POA — Monthly financial forecas'!AB55,"")="",0,IF(IF(AND('POA — Three year summary'!B6&lt;=DATE(2028,12,1),DATE(2028,12,1)&lt;='POA — Three year summary'!C6)="",FALSE,AND('POA — Three year summary'!B6&lt;=DATE(2028,12,1),DATE(2028,12,1)&lt;='POA — Three year summary'!C6)),'POA — Monthly financial forecas'!AB55,"")),IF(IF(IF(AND('POA — Three year summary'!B6&lt;=DATE(2029,1,1),DATE(2029,1,1)&lt;='POA — Three year summary'!C6)="",FALSE,AND('POA — Three year summary'!B6&lt;=DATE(2029,1,1),DATE(2029,1,1)&lt;='POA — Three year summary'!C6)),'POA — Monthly financial forecas'!AC55,"")="",0,IF(IF(AND('POA — Three year summary'!B6&lt;=DATE(2029,1,1),DATE(2029,1,1)&lt;='POA — Three year summary'!C6)="",FALSE,AND('POA — Three year summary'!B6&lt;=DATE(2029,1,1),DATE(2029,1,1)&lt;='POA — Three year summary'!C6)),'POA — Monthly financial forecas'!AC55,"")),IF(IF(IF(AND('POA — Three year summary'!B6&lt;=DATE(2029,2,1),DATE(2029,2,1)&lt;='POA — Three year summary'!C6)="",FALSE,AND('POA — Three year summary'!B6&lt;=DATE(2029,2,1),DATE(2029,2,1)&lt;='POA — Three year summary'!C6)),'POA — Monthly financial forecas'!AD55,"")="",0,IF(IF(AND('POA — Three year summary'!B6&lt;=DATE(2029,2,1),DATE(2029,2,1)&lt;='POA — Three year summary'!C6)="",FALSE,AND('POA — Three year summary'!B6&lt;=DATE(2029,2,1),DATE(2029,2,1)&lt;='POA — Three year summary'!C6)),'POA — Monthly financial forecas'!AD55,"")),IF(IF(IF(AND('POA — Three year summary'!B6&lt;=DATE(2029,3,1),DATE(2029,3,1)&lt;='POA — Three year summary'!C6)="",FALSE,AND('POA — Three year summary'!B6&lt;=DATE(2029,3,1),DATE(2029,3,1)&lt;='POA — Three year summary'!C6)),'POA — Monthly financial forecas'!AE55,"")="",0,IF(IF(AND('POA — Three year summary'!B6&lt;=DATE(2029,3,1),DATE(2029,3,1)&lt;='POA — Three year summary'!C6)="",FALSE,AND('POA — Three year summary'!B6&lt;=DATE(2029,3,1),DATE(2029,3,1)&lt;='POA — Three year summary'!C6)),'POA — Monthly financial forecas'!AE55,"")))</f>
      </c>
    </row>
    <row r="326">
      <c r="A326" t="inlineStr" s="25">
        <is>
          <t xml:space="preserve">Calculation</t>
        </is>
      </c>
      <c r="B326" s="11">
        <f>SUM(IF(IF(IF(AND('POA — Three year summary'!B6&lt;=DATE(2029,4,1),DATE(2029,4,1)&lt;='POA — Three year summary'!C6)="",FALSE,AND('POA — Three year summary'!B6&lt;=DATE(2029,4,1),DATE(2029,4,1)&lt;='POA — Three year summary'!C6)),'POA — Monthly financial forecas'!AF55,"")="",0,IF(IF(AND('POA — Three year summary'!B6&lt;=DATE(2029,4,1),DATE(2029,4,1)&lt;='POA — Three year summary'!C6)="",FALSE,AND('POA — Three year summary'!B6&lt;=DATE(2029,4,1),DATE(2029,4,1)&lt;='POA — Three year summary'!C6)),'POA — Monthly financial forecas'!AF55,"")),IF(IF(IF(AND('POA — Three year summary'!B6&lt;=DATE(2029,5,1),DATE(2029,5,1)&lt;='POA — Three year summary'!C6)="",FALSE,AND('POA — Three year summary'!B6&lt;=DATE(2029,5,1),DATE(2029,5,1)&lt;='POA — Three year summary'!C6)),'POA — Monthly financial forecas'!AG55,"")="",0,IF(IF(AND('POA — Three year summary'!B6&lt;=DATE(2029,5,1),DATE(2029,5,1)&lt;='POA — Three year summary'!C6)="",FALSE,AND('POA — Three year summary'!B6&lt;=DATE(2029,5,1),DATE(2029,5,1)&lt;='POA — Three year summary'!C6)),'POA — Monthly financial forecas'!AG55,"")),IF(IF(IF(AND('POA — Three year summary'!B6&lt;=DATE(2029,6,1),DATE(2029,6,1)&lt;='POA — Three year summary'!C6)="",FALSE,AND('POA — Three year summary'!B6&lt;=DATE(2029,6,1),DATE(2029,6,1)&lt;='POA — Three year summary'!C6)),'POA — Monthly financial forecas'!AH55,"")="",0,IF(IF(AND('POA — Three year summary'!B6&lt;=DATE(2029,6,1),DATE(2029,6,1)&lt;='POA — Three year summary'!C6)="",FALSE,AND('POA — Three year summary'!B6&lt;=DATE(2029,6,1),DATE(2029,6,1)&lt;='POA — Three year summary'!C6)),'POA — Monthly financial forecas'!AH55,"")),IF(IF(IF(AND('POA — Three year summary'!B6&lt;=DATE(2029,7,1),DATE(2029,7,1)&lt;='POA — Three year summary'!C6)="",FALSE,AND('POA — Three year summary'!B6&lt;=DATE(2029,7,1),DATE(2029,7,1)&lt;='POA — Three year summary'!C6)),'POA — Monthly financial forecas'!AI55,"")="",0,IF(IF(AND('POA — Three year summary'!B6&lt;=DATE(2029,7,1),DATE(2029,7,1)&lt;='POA — Three year summary'!C6)="",FALSE,AND('POA — Three year summary'!B6&lt;=DATE(2029,7,1),DATE(2029,7,1)&lt;='POA — Three year summary'!C6)),'POA — Monthly financial forecas'!AI55,"")),IF(IF(IF(AND('POA — Three year summary'!B6&lt;=DATE(2029,8,1),DATE(2029,8,1)&lt;='POA — Three year summary'!C6)="",FALSE,AND('POA — Three year summary'!B6&lt;=DATE(2029,8,1),DATE(2029,8,1)&lt;='POA — Three year summary'!C6)),'POA — Monthly financial forecas'!AJ55,"")="",0,IF(IF(AND('POA — Three year summary'!B6&lt;=DATE(2029,8,1),DATE(2029,8,1)&lt;='POA — Three year summary'!C6)="",FALSE,AND('POA — Three year summary'!B6&lt;=DATE(2029,8,1),DATE(2029,8,1)&lt;='POA — Three year summary'!C6)),'POA — Monthly financial forecas'!AJ55,"")),IF(IF(IF(AND('POA — Three year summary'!B6&lt;=DATE(2029,9,1),DATE(2029,9,1)&lt;='POA — Three year summary'!C6)="",FALSE,AND('POA — Three year summary'!B6&lt;=DATE(2029,9,1),DATE(2029,9,1)&lt;='POA — Three year summary'!C6)),'POA — Monthly financial forecas'!AK55,"")="",0,IF(IF(AND('POA — Three year summary'!B6&lt;=DATE(2029,9,1),DATE(2029,9,1)&lt;='POA — Three year summary'!C6)="",FALSE,AND('POA — Three year summary'!B6&lt;=DATE(2029,9,1),DATE(2029,9,1)&lt;='POA — Three year summary'!C6)),'POA — Monthly financial forecas'!AK55,"")),IF(IF(IF(AND('POA — Three year summary'!B6&lt;=DATE(2026,9,1),DATE(2026,9,1)&lt;='POA — Three year summary'!C6)="",FALSE,AND('POA — Three year summary'!B6&lt;=DATE(2026,9,1),DATE(2026,9,1)&lt;='POA — Three year summary'!C6)),'Model inputs'!B45,"")="",0,IF(IF(AND('POA — Three year summary'!B6&lt;=DATE(2026,9,1),DATE(2026,9,1)&lt;='POA — Three year summary'!C6)="",FALSE,AND('POA — Three year summary'!B6&lt;=DATE(2026,9,1),DATE(2026,9,1)&lt;='POA — Three year summary'!C6)),'Model inputs'!B45,"")))</f>
      </c>
    </row>
    <row r="327">
      <c r="A327" t="inlineStr" s="25">
        <is>
          <t xml:space="preserve">Calculation</t>
        </is>
      </c>
      <c r="B327">
        <f>IF(IF(DATE(2026,10,1)='POA — Three year summary'!C6="",FALSE,DATE(2026,10,1)='POA — Three year summary'!C6),IF('POA — Monthly financial forecas'!B63="","",'POA — Monthly financial forecas'!B63),"")</f>
      </c>
    </row>
    <row r="328">
      <c r="A328" t="inlineStr" s="25">
        <is>
          <t xml:space="preserve">Calculation</t>
        </is>
      </c>
      <c r="B328">
        <f>IF(IF(DATE(2026,11,1)='POA — Three year summary'!C6="",FALSE,DATE(2026,11,1)='POA — Three year summary'!C6),IF('POA — Monthly financial forecas'!C63="","",'POA — Monthly financial forecas'!C63),"")</f>
      </c>
    </row>
    <row r="329">
      <c r="A329" t="inlineStr" s="25">
        <is>
          <t xml:space="preserve">Calculation</t>
        </is>
      </c>
      <c r="B329">
        <f>IF(IF(DATE(2026,12,1)='POA — Three year summary'!C6="",FALSE,DATE(2026,12,1)='POA — Three year summary'!C6),IF('POA — Monthly financial forecas'!D63="","",'POA — Monthly financial forecas'!D63),"")</f>
      </c>
    </row>
    <row r="330">
      <c r="A330" t="inlineStr" s="25">
        <is>
          <t xml:space="preserve">Calculation</t>
        </is>
      </c>
      <c r="B330">
        <f>IF(IF(DATE(2027,1,1)='POA — Three year summary'!C6="",FALSE,DATE(2027,1,1)='POA — Three year summary'!C6),IF('POA — Monthly financial forecas'!E63="","",'POA — Monthly financial forecas'!E63),"")</f>
      </c>
    </row>
    <row r="331">
      <c r="A331" t="inlineStr" s="25">
        <is>
          <t xml:space="preserve">Calculation</t>
        </is>
      </c>
      <c r="B331">
        <f>IF(IF(DATE(2027,2,1)='POA — Three year summary'!C6="",FALSE,DATE(2027,2,1)='POA — Three year summary'!C6),IF('POA — Monthly financial forecas'!F63="","",'POA — Monthly financial forecas'!F63),"")</f>
      </c>
    </row>
    <row r="332">
      <c r="A332" t="inlineStr" s="25">
        <is>
          <t xml:space="preserve">Calculation</t>
        </is>
      </c>
      <c r="B332">
        <f>IF(IF(DATE(2027,3,1)='POA — Three year summary'!C6="",FALSE,DATE(2027,3,1)='POA — Three year summary'!C6),IF('POA — Monthly financial forecas'!G63="","",'POA — Monthly financial forecas'!G63),"")</f>
      </c>
    </row>
    <row r="333">
      <c r="A333" t="inlineStr" s="25">
        <is>
          <t xml:space="preserve">Calculation</t>
        </is>
      </c>
      <c r="B333">
        <f>IF(IF(DATE(2027,4,1)='POA — Three year summary'!C6="",FALSE,DATE(2027,4,1)='POA — Three year summary'!C6),IF('POA — Monthly financial forecas'!H63="","",'POA — Monthly financial forecas'!H63),"")</f>
      </c>
    </row>
    <row r="334">
      <c r="A334" t="inlineStr" s="25">
        <is>
          <t xml:space="preserve">Calculation</t>
        </is>
      </c>
      <c r="B334">
        <f>IF(IF(DATE(2027,5,1)='POA — Three year summary'!C6="",FALSE,DATE(2027,5,1)='POA — Three year summary'!C6),IF('POA — Monthly financial forecas'!I63="","",'POA — Monthly financial forecas'!I63),"")</f>
      </c>
    </row>
    <row r="335">
      <c r="A335" t="inlineStr" s="25">
        <is>
          <t xml:space="preserve">Calculation</t>
        </is>
      </c>
      <c r="B335">
        <f>IF(IF(DATE(2027,6,1)='POA — Three year summary'!C6="",FALSE,DATE(2027,6,1)='POA — Three year summary'!C6),IF('POA — Monthly financial forecas'!J63="","",'POA — Monthly financial forecas'!J63),"")</f>
      </c>
    </row>
    <row r="336">
      <c r="A336" t="inlineStr" s="25">
        <is>
          <t xml:space="preserve">Calculation</t>
        </is>
      </c>
      <c r="B336">
        <f>IF(IF(DATE(2027,7,1)='POA — Three year summary'!C6="",FALSE,DATE(2027,7,1)='POA — Three year summary'!C6),IF('POA — Monthly financial forecas'!K63="","",'POA — Monthly financial forecas'!K63),"")</f>
      </c>
    </row>
    <row r="337">
      <c r="A337" t="inlineStr" s="25">
        <is>
          <t xml:space="preserve">Calculation</t>
        </is>
      </c>
      <c r="B337">
        <f>IF(IF(DATE(2027,8,1)='POA — Three year summary'!C6="",FALSE,DATE(2027,8,1)='POA — Three year summary'!C6),IF('POA — Monthly financial forecas'!L63="","",'POA — Monthly financial forecas'!L63),"")</f>
      </c>
    </row>
    <row r="338">
      <c r="A338" t="inlineStr" s="25">
        <is>
          <t xml:space="preserve">Calculation</t>
        </is>
      </c>
      <c r="B338">
        <f>IF(IF(DATE(2027,9,1)='POA — Three year summary'!C6="",FALSE,DATE(2027,9,1)='POA — Three year summary'!C6),IF('POA — Monthly financial forecas'!M63="","",'POA — Monthly financial forecas'!M63),"")</f>
      </c>
    </row>
    <row r="339">
      <c r="A339" t="inlineStr" s="25">
        <is>
          <t xml:space="preserve">Calculation</t>
        </is>
      </c>
      <c r="B339">
        <f>IF(IF(DATE(2027,10,1)='POA — Three year summary'!C6="",FALSE,DATE(2027,10,1)='POA — Three year summary'!C6),IF('POA — Monthly financial forecas'!N63="","",'POA — Monthly financial forecas'!N63),"")</f>
      </c>
    </row>
    <row r="340">
      <c r="A340" t="inlineStr" s="25">
        <is>
          <t xml:space="preserve">Calculation</t>
        </is>
      </c>
      <c r="B340">
        <f>IF(IF(DATE(2027,11,1)='POA — Three year summary'!C6="",FALSE,DATE(2027,11,1)='POA — Three year summary'!C6),IF('POA — Monthly financial forecas'!O63="","",'POA — Monthly financial forecas'!O63),"")</f>
      </c>
    </row>
    <row r="341">
      <c r="A341" t="inlineStr" s="25">
        <is>
          <t xml:space="preserve">Calculation</t>
        </is>
      </c>
      <c r="B341">
        <f>IF(IF(DATE(2027,12,1)='POA — Three year summary'!C6="",FALSE,DATE(2027,12,1)='POA — Three year summary'!C6),IF('POA — Monthly financial forecas'!P63="","",'POA — Monthly financial forecas'!P63),"")</f>
      </c>
    </row>
    <row r="342">
      <c r="A342" t="inlineStr" s="25">
        <is>
          <t xml:space="preserve">Calculation</t>
        </is>
      </c>
      <c r="B342">
        <f>IF(IF(DATE(2028,1,1)='POA — Three year summary'!C6="",FALSE,DATE(2028,1,1)='POA — Three year summary'!C6),IF('POA — Monthly financial forecas'!Q63="","",'POA — Monthly financial forecas'!Q63),"")</f>
      </c>
    </row>
    <row r="343">
      <c r="A343" t="inlineStr" s="25">
        <is>
          <t xml:space="preserve">Calculation</t>
        </is>
      </c>
      <c r="B343">
        <f>IF(IF(DATE(2028,2,1)='POA — Three year summary'!C6="",FALSE,DATE(2028,2,1)='POA — Three year summary'!C6),IF('POA — Monthly financial forecas'!R63="","",'POA — Monthly financial forecas'!R63),"")</f>
      </c>
    </row>
    <row r="344">
      <c r="A344" t="inlineStr" s="25">
        <is>
          <t xml:space="preserve">Calculation</t>
        </is>
      </c>
      <c r="B344">
        <f>IF(IF(DATE(2028,3,1)='POA — Three year summary'!C6="",FALSE,DATE(2028,3,1)='POA — Three year summary'!C6),IF('POA — Monthly financial forecas'!S63="","",'POA — Monthly financial forecas'!S63),"")</f>
      </c>
    </row>
    <row r="345">
      <c r="A345" t="inlineStr" s="25">
        <is>
          <t xml:space="preserve">Calculation</t>
        </is>
      </c>
      <c r="B345">
        <f>IF(IF(DATE(2028,4,1)='POA — Three year summary'!C6="",FALSE,DATE(2028,4,1)='POA — Three year summary'!C6),IF('POA — Monthly financial forecas'!T63="","",'POA — Monthly financial forecas'!T63),"")</f>
      </c>
    </row>
    <row r="346">
      <c r="A346" t="inlineStr" s="25">
        <is>
          <t xml:space="preserve">Calculation</t>
        </is>
      </c>
      <c r="B346">
        <f>IF(IF(DATE(2028,5,1)='POA — Three year summary'!C6="",FALSE,DATE(2028,5,1)='POA — Three year summary'!C6),IF('POA — Monthly financial forecas'!U63="","",'POA — Monthly financial forecas'!U63),"")</f>
      </c>
    </row>
    <row r="347">
      <c r="A347" t="inlineStr" s="25">
        <is>
          <t xml:space="preserve">Calculation</t>
        </is>
      </c>
      <c r="B347">
        <f>IF(IF(DATE(2028,6,1)='POA — Three year summary'!C6="",FALSE,DATE(2028,6,1)='POA — Three year summary'!C6),IF('POA — Monthly financial forecas'!V63="","",'POA — Monthly financial forecas'!V63),"")</f>
      </c>
    </row>
    <row r="348">
      <c r="A348" t="inlineStr" s="25">
        <is>
          <t xml:space="preserve">Calculation</t>
        </is>
      </c>
      <c r="B348">
        <f>IF(IF(DATE(2028,7,1)='POA — Three year summary'!C6="",FALSE,DATE(2028,7,1)='POA — Three year summary'!C6),IF('POA — Monthly financial forecas'!W63="","",'POA — Monthly financial forecas'!W63),"")</f>
      </c>
    </row>
    <row r="349">
      <c r="A349" t="inlineStr" s="25">
        <is>
          <t xml:space="preserve">Calculation</t>
        </is>
      </c>
      <c r="B349">
        <f>IF(IF(DATE(2028,8,1)='POA — Three year summary'!C6="",FALSE,DATE(2028,8,1)='POA — Three year summary'!C6),IF('POA — Monthly financial forecas'!X63="","",'POA — Monthly financial forecas'!X63),"")</f>
      </c>
    </row>
    <row r="350">
      <c r="A350" t="inlineStr" s="25">
        <is>
          <t xml:space="preserve">Calculation</t>
        </is>
      </c>
      <c r="B350">
        <f>IF(IF(DATE(2028,9,1)='POA — Three year summary'!C6="",FALSE,DATE(2028,9,1)='POA — Three year summary'!C6),IF('POA — Monthly financial forecas'!Y63="","",'POA — Monthly financial forecas'!Y63),"")</f>
      </c>
    </row>
    <row r="351">
      <c r="A351" t="inlineStr" s="25">
        <is>
          <t xml:space="preserve">Calculation</t>
        </is>
      </c>
      <c r="B351">
        <f>IF(IF(DATE(2028,10,1)='POA — Three year summary'!C6="",FALSE,DATE(2028,10,1)='POA — Three year summary'!C6),IF('POA — Monthly financial forecas'!Z63="","",'POA — Monthly financial forecas'!Z63),"")</f>
      </c>
    </row>
    <row r="352">
      <c r="A352" t="inlineStr" s="25">
        <is>
          <t xml:space="preserve">Calculation</t>
        </is>
      </c>
      <c r="B352">
        <f>IF(IF(DATE(2028,11,1)='POA — Three year summary'!C6="",FALSE,DATE(2028,11,1)='POA — Three year summary'!C6),IF('POA — Monthly financial forecas'!AA63="","",'POA — Monthly financial forecas'!AA63),"")</f>
      </c>
    </row>
    <row r="353">
      <c r="A353" t="inlineStr" s="25">
        <is>
          <t xml:space="preserve">Calculation</t>
        </is>
      </c>
      <c r="B353">
        <f>IF(IF(DATE(2028,12,1)='POA — Three year summary'!C6="",FALSE,DATE(2028,12,1)='POA — Three year summary'!C6),IF('POA — Monthly financial forecas'!AB63="","",'POA — Monthly financial forecas'!AB63),"")</f>
      </c>
    </row>
    <row r="354">
      <c r="A354" t="inlineStr" s="25">
        <is>
          <t xml:space="preserve">Calculation</t>
        </is>
      </c>
      <c r="B354">
        <f>IF(IF(DATE(2029,1,1)='POA — Three year summary'!C6="",FALSE,DATE(2029,1,1)='POA — Three year summary'!C6),IF('POA — Monthly financial forecas'!AC63="","",'POA — Monthly financial forecas'!AC63),"")</f>
      </c>
    </row>
    <row r="355">
      <c r="A355" t="inlineStr" s="25">
        <is>
          <t xml:space="preserve">Calculation</t>
        </is>
      </c>
      <c r="B355">
        <f>IF(IF(DATE(2029,2,1)='POA — Three year summary'!C6="",FALSE,DATE(2029,2,1)='POA — Three year summary'!C6),IF('POA — Monthly financial forecas'!AD63="","",'POA — Monthly financial forecas'!AD63),"")</f>
      </c>
    </row>
    <row r="356">
      <c r="A356" t="inlineStr" s="25">
        <is>
          <t xml:space="preserve">Calculation</t>
        </is>
      </c>
      <c r="B356">
        <f>IF(IF(DATE(2029,3,1)='POA — Three year summary'!C6="",FALSE,DATE(2029,3,1)='POA — Three year summary'!C6),IF('POA — Monthly financial forecas'!AE63="","",'POA — Monthly financial forecas'!AE63),"")</f>
      </c>
    </row>
    <row r="357">
      <c r="A357" t="inlineStr" s="25">
        <is>
          <t xml:space="preserve">Calculation</t>
        </is>
      </c>
      <c r="B357">
        <f>IF(IF(DATE(2029,4,1)='POA — Three year summary'!C6="",FALSE,DATE(2029,4,1)='POA — Three year summary'!C6),IF('POA — Monthly financial forecas'!AF63="","",'POA — Monthly financial forecas'!AF63),"")</f>
      </c>
    </row>
    <row r="358">
      <c r="A358" t="inlineStr" s="25">
        <is>
          <t xml:space="preserve">Calculation</t>
        </is>
      </c>
      <c r="B358">
        <f>IF(IF(DATE(2029,5,1)='POA — Three year summary'!C6="",FALSE,DATE(2029,5,1)='POA — Three year summary'!C6),IF('POA — Monthly financial forecas'!AG63="","",'POA — Monthly financial forecas'!AG63),"")</f>
      </c>
    </row>
    <row r="359">
      <c r="A359" t="inlineStr" s="25">
        <is>
          <t xml:space="preserve">Calculation</t>
        </is>
      </c>
      <c r="B359">
        <f>IF(IF(DATE(2029,6,1)='POA — Three year summary'!C6="",FALSE,DATE(2029,6,1)='POA — Three year summary'!C6),IF('POA — Monthly financial forecas'!AH63="","",'POA — Monthly financial forecas'!AH63),"")</f>
      </c>
    </row>
    <row r="360">
      <c r="A360" t="inlineStr" s="25">
        <is>
          <t xml:space="preserve">Calculation</t>
        </is>
      </c>
      <c r="B360">
        <f>IF(IF(DATE(2029,7,1)='POA — Three year summary'!C6="",FALSE,DATE(2029,7,1)='POA — Three year summary'!C6),IF('POA — Monthly financial forecas'!AI63="","",'POA — Monthly financial forecas'!AI63),"")</f>
      </c>
    </row>
    <row r="361">
      <c r="A361" t="inlineStr" s="25">
        <is>
          <t xml:space="preserve">Calculation</t>
        </is>
      </c>
      <c r="B361">
        <f>IF(IF(DATE(2029,8,1)='POA — Three year summary'!C6="",FALSE,DATE(2029,8,1)='POA — Three year summary'!C6),IF('POA — Monthly financial forecas'!AJ63="","",'POA — Monthly financial forecas'!AJ63),"")</f>
      </c>
    </row>
    <row r="362">
      <c r="A362" t="inlineStr" s="25">
        <is>
          <t xml:space="preserve">Calculation</t>
        </is>
      </c>
      <c r="B362">
        <f>IF(IF(DATE(2029,9,1)='POA — Three year summary'!C6="",FALSE,DATE(2029,9,1)='POA — Three year summary'!C6),IF('POA — Monthly financial forecas'!AK63="","",'POA — Monthly financial forecas'!AK63),"")</f>
      </c>
    </row>
    <row r="363">
      <c r="A363" t="inlineStr" s="25">
        <is>
          <t xml:space="preserve">Calculation</t>
        </is>
      </c>
      <c r="B363">
        <f>IF(IF(DATE(2026,9,1)='POA — Three year summary'!C6="",FALSE,DATE(2026,9,1)='POA — Three year summary'!C6),IF('Model inputs'!B34="","",'Model inputs'!B34),"")</f>
      </c>
    </row>
    <row r="364">
      <c r="A364" t="inlineStr" s="25">
        <is>
          <t xml:space="preserve">Calculation</t>
        </is>
      </c>
      <c r="B364">
        <f>SUM(IF(IF('Model inputs'!B327="",0,1)="",0,IF('Model inputs'!B327="",0,1)),IF(IF('Model inputs'!B328="",0,1)="",0,IF('Model inputs'!B328="",0,1)),IF(IF('Model inputs'!B329="",0,1)="",0,IF('Model inputs'!B329="",0,1)),IF(IF('Model inputs'!B330="",0,1)="",0,IF('Model inputs'!B330="",0,1)),IF(IF('Model inputs'!B331="",0,1)="",0,IF('Model inputs'!B331="",0,1)),IF(IF('Model inputs'!B332="",0,1)="",0,IF('Model inputs'!B332="",0,1)),IF(IF('Model inputs'!B333="",0,1)="",0,IF('Model inputs'!B333="",0,1)),IF(IF('Model inputs'!B334="",0,1)="",0,IF('Model inputs'!B334="",0,1)),IF(IF('Model inputs'!B335="",0,1)="",0,IF('Model inputs'!B335="",0,1)),IF(IF('Model inputs'!B336="",0,1)="",0,IF('Model inputs'!B336="",0,1)),IF(IF('Model inputs'!B337="",0,1)="",0,IF('Model inputs'!B337="",0,1)),IF(IF('Model inputs'!B338="",0,1)="",0,IF('Model inputs'!B338="",0,1)),IF(IF('Model inputs'!B339="",0,1)="",0,IF('Model inputs'!B339="",0,1)),IF(IF('Model inputs'!B340="",0,1)="",0,IF('Model inputs'!B340="",0,1)),IF(IF('Model inputs'!B341="",0,1)="",0,IF('Model inputs'!B341="",0,1)),IF(IF('Model inputs'!B342="",0,1)="",0,IF('Model inputs'!B342="",0,1)),IF(IF('Model inputs'!B343="",0,1)="",0,IF('Model inputs'!B343="",0,1)),IF(IF('Model inputs'!B344="",0,1)="",0,IF('Model inputs'!B344="",0,1)),IF(IF('Model inputs'!B345="",0,1)="",0,IF('Model inputs'!B345="",0,1)),IF(IF('Model inputs'!B346="",0,1)="",0,IF('Model inputs'!B346="",0,1)),IF(IF('Model inputs'!B347="",0,1)="",0,IF('Model inputs'!B347="",0,1)),IF(IF('Model inputs'!B348="",0,1)="",0,IF('Model inputs'!B348="",0,1)),IF(IF('Model inputs'!B349="",0,1)="",0,IF('Model inputs'!B349="",0,1)),IF(IF('Model inputs'!B350="",0,1)="",0,IF('Model inputs'!B350="",0,1)),IF(IF('Model inputs'!B351="",0,1)="",0,IF('Model inputs'!B351="",0,1)),IF(IF('Model inputs'!B352="",0,1)="",0,IF('Model inputs'!B352="",0,1)),IF(IF('Model inputs'!B353="",0,1)="",0,IF('Model inputs'!B353="",0,1)),IF(IF('Model inputs'!B354="",0,1)="",0,IF('Model inputs'!B354="",0,1)),IF(IF('Model inputs'!B355="",0,1)="",0,IF('Model inputs'!B355="",0,1)),IF(IF('Model inputs'!B356="",0,1)="",0,IF('Model inputs'!B356="",0,1)),IF(IF('Model inputs'!B357="",0,1)="",0,IF('Model inputs'!B357="",0,1)),IF(IF('Model inputs'!B358="",0,1)="",0,IF('Model inputs'!B358="",0,1)),IF(IF('Model inputs'!B359="",0,1)="",0,IF('Model inputs'!B359="",0,1)),IF(IF('Model inputs'!B360="",0,1)="",0,IF('Model inputs'!B360="",0,1)),IF(IF('Model inputs'!B361="",0,1)="",0,IF('Model inputs'!B361="",0,1)),IF(IF('Model inputs'!B362="",0,1)="",0,IF('Model inputs'!B362="",0,1)),IF(IF('Model inputs'!B363="",0,1)="",0,IF('Model inputs'!B363="",0,1)))</f>
      </c>
    </row>
    <row r="365">
      <c r="A365" t="inlineStr" s="25">
        <is>
          <t xml:space="preserve">Calculation</t>
        </is>
      </c>
      <c r="B365">
        <f>IF(IF(DATE(2026,10,1)='POA — Three year summary'!C6="",FALSE,DATE(2026,10,1)='POA — Three year summary'!C6),IF('POA — Monthly financial forecas'!B7="","",'POA — Monthly financial forecas'!B7),"")</f>
      </c>
    </row>
    <row r="366">
      <c r="A366" t="inlineStr" s="25">
        <is>
          <t xml:space="preserve">Calculation</t>
        </is>
      </c>
      <c r="B366">
        <f>IF(IF(DATE(2026,11,1)='POA — Three year summary'!C6="",FALSE,DATE(2026,11,1)='POA — Three year summary'!C6),IF('POA — Monthly financial forecas'!C7="","",'POA — Monthly financial forecas'!C7),"")</f>
      </c>
    </row>
    <row r="367">
      <c r="A367" t="inlineStr" s="25">
        <is>
          <t xml:space="preserve">Calculation</t>
        </is>
      </c>
      <c r="B367">
        <f>IF(IF(DATE(2026,12,1)='POA — Three year summary'!C6="",FALSE,DATE(2026,12,1)='POA — Three year summary'!C6),IF('POA — Monthly financial forecas'!D7="","",'POA — Monthly financial forecas'!D7),"")</f>
      </c>
    </row>
    <row r="368">
      <c r="A368" t="inlineStr" s="25">
        <is>
          <t xml:space="preserve">Calculation</t>
        </is>
      </c>
      <c r="B368">
        <f>IF(IF(DATE(2027,1,1)='POA — Three year summary'!C6="",FALSE,DATE(2027,1,1)='POA — Three year summary'!C6),IF('POA — Monthly financial forecas'!E7="","",'POA — Monthly financial forecas'!E7),"")</f>
      </c>
    </row>
    <row r="369">
      <c r="A369" t="inlineStr" s="25">
        <is>
          <t xml:space="preserve">Calculation</t>
        </is>
      </c>
      <c r="B369">
        <f>IF(IF(DATE(2027,2,1)='POA — Three year summary'!C6="",FALSE,DATE(2027,2,1)='POA — Three year summary'!C6),IF('POA — Monthly financial forecas'!F7="","",'POA — Monthly financial forecas'!F7),"")</f>
      </c>
    </row>
    <row r="370">
      <c r="A370" t="inlineStr" s="25">
        <is>
          <t xml:space="preserve">Calculation</t>
        </is>
      </c>
      <c r="B370">
        <f>IF(IF(DATE(2027,3,1)='POA — Three year summary'!C6="",FALSE,DATE(2027,3,1)='POA — Three year summary'!C6),IF('POA — Monthly financial forecas'!G7="","",'POA — Monthly financial forecas'!G7),"")</f>
      </c>
    </row>
    <row r="371">
      <c r="A371" t="inlineStr" s="25">
        <is>
          <t xml:space="preserve">Calculation</t>
        </is>
      </c>
      <c r="B371">
        <f>IF(IF(DATE(2027,4,1)='POA — Three year summary'!C6="",FALSE,DATE(2027,4,1)='POA — Three year summary'!C6),IF('POA — Monthly financial forecas'!H7="","",'POA — Monthly financial forecas'!H7),"")</f>
      </c>
    </row>
    <row r="372">
      <c r="A372" t="inlineStr" s="25">
        <is>
          <t xml:space="preserve">Calculation</t>
        </is>
      </c>
      <c r="B372">
        <f>IF(IF(DATE(2027,5,1)='POA — Three year summary'!C6="",FALSE,DATE(2027,5,1)='POA — Three year summary'!C6),IF('POA — Monthly financial forecas'!I7="","",'POA — Monthly financial forecas'!I7),"")</f>
      </c>
    </row>
    <row r="373">
      <c r="A373" t="inlineStr" s="25">
        <is>
          <t xml:space="preserve">Calculation</t>
        </is>
      </c>
      <c r="B373">
        <f>IF(IF(DATE(2027,6,1)='POA — Three year summary'!C6="",FALSE,DATE(2027,6,1)='POA — Three year summary'!C6),IF('POA — Monthly financial forecas'!J7="","",'POA — Monthly financial forecas'!J7),"")</f>
      </c>
    </row>
    <row r="374">
      <c r="A374" t="inlineStr" s="25">
        <is>
          <t xml:space="preserve">Calculation</t>
        </is>
      </c>
      <c r="B374">
        <f>IF(IF(DATE(2027,7,1)='POA — Three year summary'!C6="",FALSE,DATE(2027,7,1)='POA — Three year summary'!C6),IF('POA — Monthly financial forecas'!K7="","",'POA — Monthly financial forecas'!K7),"")</f>
      </c>
    </row>
    <row r="375">
      <c r="A375" t="inlineStr" s="25">
        <is>
          <t xml:space="preserve">Calculation</t>
        </is>
      </c>
      <c r="B375">
        <f>IF(IF(DATE(2027,8,1)='POA — Three year summary'!C6="",FALSE,DATE(2027,8,1)='POA — Three year summary'!C6),IF('POA — Monthly financial forecas'!L7="","",'POA — Monthly financial forecas'!L7),"")</f>
      </c>
    </row>
    <row r="376">
      <c r="A376" t="inlineStr" s="25">
        <is>
          <t xml:space="preserve">Calculation</t>
        </is>
      </c>
      <c r="B376">
        <f>IF(IF(DATE(2027,9,1)='POA — Three year summary'!C6="",FALSE,DATE(2027,9,1)='POA — Three year summary'!C6),IF('POA — Monthly financial forecas'!M7="","",'POA — Monthly financial forecas'!M7),"")</f>
      </c>
    </row>
    <row r="377">
      <c r="A377" t="inlineStr" s="25">
        <is>
          <t xml:space="preserve">Calculation</t>
        </is>
      </c>
      <c r="B377">
        <f>IF(IF(DATE(2027,10,1)='POA — Three year summary'!C6="",FALSE,DATE(2027,10,1)='POA — Three year summary'!C6),IF('POA — Monthly financial forecas'!N7="","",'POA — Monthly financial forecas'!N7),"")</f>
      </c>
    </row>
    <row r="378">
      <c r="A378" t="inlineStr" s="25">
        <is>
          <t xml:space="preserve">Calculation</t>
        </is>
      </c>
      <c r="B378">
        <f>IF(IF(DATE(2027,11,1)='POA — Three year summary'!C6="",FALSE,DATE(2027,11,1)='POA — Three year summary'!C6),IF('POA — Monthly financial forecas'!O7="","",'POA — Monthly financial forecas'!O7),"")</f>
      </c>
    </row>
    <row r="379">
      <c r="A379" t="inlineStr" s="25">
        <is>
          <t xml:space="preserve">Calculation</t>
        </is>
      </c>
      <c r="B379">
        <f>IF(IF(DATE(2027,12,1)='POA — Three year summary'!C6="",FALSE,DATE(2027,12,1)='POA — Three year summary'!C6),IF('POA — Monthly financial forecas'!P7="","",'POA — Monthly financial forecas'!P7),"")</f>
      </c>
    </row>
    <row r="380">
      <c r="A380" t="inlineStr" s="25">
        <is>
          <t xml:space="preserve">Calculation</t>
        </is>
      </c>
      <c r="B380">
        <f>IF(IF(DATE(2028,1,1)='POA — Three year summary'!C6="",FALSE,DATE(2028,1,1)='POA — Three year summary'!C6),IF('POA — Monthly financial forecas'!Q7="","",'POA — Monthly financial forecas'!Q7),"")</f>
      </c>
    </row>
    <row r="381">
      <c r="A381" t="inlineStr" s="25">
        <is>
          <t xml:space="preserve">Calculation</t>
        </is>
      </c>
      <c r="B381">
        <f>IF(IF(DATE(2028,2,1)='POA — Three year summary'!C6="",FALSE,DATE(2028,2,1)='POA — Three year summary'!C6),IF('POA — Monthly financial forecas'!R7="","",'POA — Monthly financial forecas'!R7),"")</f>
      </c>
    </row>
    <row r="382">
      <c r="A382" t="inlineStr" s="25">
        <is>
          <t xml:space="preserve">Calculation</t>
        </is>
      </c>
      <c r="B382">
        <f>IF(IF(DATE(2028,3,1)='POA — Three year summary'!C6="",FALSE,DATE(2028,3,1)='POA — Three year summary'!C6),IF('POA — Monthly financial forecas'!S7="","",'POA — Monthly financial forecas'!S7),"")</f>
      </c>
    </row>
    <row r="383">
      <c r="A383" t="inlineStr" s="25">
        <is>
          <t xml:space="preserve">Calculation</t>
        </is>
      </c>
      <c r="B383">
        <f>IF(IF(DATE(2028,4,1)='POA — Three year summary'!C6="",FALSE,DATE(2028,4,1)='POA — Three year summary'!C6),IF('POA — Monthly financial forecas'!T7="","",'POA — Monthly financial forecas'!T7),"")</f>
      </c>
    </row>
    <row r="384">
      <c r="A384" t="inlineStr" s="25">
        <is>
          <t xml:space="preserve">Calculation</t>
        </is>
      </c>
      <c r="B384">
        <f>IF(IF(DATE(2028,5,1)='POA — Three year summary'!C6="",FALSE,DATE(2028,5,1)='POA — Three year summary'!C6),IF('POA — Monthly financial forecas'!U7="","",'POA — Monthly financial forecas'!U7),"")</f>
      </c>
    </row>
    <row r="385">
      <c r="A385" t="inlineStr" s="25">
        <is>
          <t xml:space="preserve">Calculation</t>
        </is>
      </c>
      <c r="B385">
        <f>IF(IF(DATE(2028,6,1)='POA — Three year summary'!C6="",FALSE,DATE(2028,6,1)='POA — Three year summary'!C6),IF('POA — Monthly financial forecas'!V7="","",'POA — Monthly financial forecas'!V7),"")</f>
      </c>
    </row>
    <row r="386">
      <c r="A386" t="inlineStr" s="25">
        <is>
          <t xml:space="preserve">Calculation</t>
        </is>
      </c>
      <c r="B386">
        <f>IF(IF(DATE(2028,7,1)='POA — Three year summary'!C6="",FALSE,DATE(2028,7,1)='POA — Three year summary'!C6),IF('POA — Monthly financial forecas'!W7="","",'POA — Monthly financial forecas'!W7),"")</f>
      </c>
    </row>
    <row r="387">
      <c r="A387" t="inlineStr" s="25">
        <is>
          <t xml:space="preserve">Calculation</t>
        </is>
      </c>
      <c r="B387">
        <f>IF(IF(DATE(2028,8,1)='POA — Three year summary'!C6="",FALSE,DATE(2028,8,1)='POA — Three year summary'!C6),IF('POA — Monthly financial forecas'!X7="","",'POA — Monthly financial forecas'!X7),"")</f>
      </c>
    </row>
    <row r="388">
      <c r="A388" t="inlineStr" s="25">
        <is>
          <t xml:space="preserve">Calculation</t>
        </is>
      </c>
      <c r="B388">
        <f>IF(IF(DATE(2028,9,1)='POA — Three year summary'!C6="",FALSE,DATE(2028,9,1)='POA — Three year summary'!C6),IF('POA — Monthly financial forecas'!Y7="","",'POA — Monthly financial forecas'!Y7),"")</f>
      </c>
    </row>
    <row r="389">
      <c r="A389" t="inlineStr" s="25">
        <is>
          <t xml:space="preserve">Calculation</t>
        </is>
      </c>
      <c r="B389">
        <f>IF(IF(DATE(2028,10,1)='POA — Three year summary'!C6="",FALSE,DATE(2028,10,1)='POA — Three year summary'!C6),IF('POA — Monthly financial forecas'!Z7="","",'POA — Monthly financial forecas'!Z7),"")</f>
      </c>
    </row>
    <row r="390">
      <c r="A390" t="inlineStr" s="25">
        <is>
          <t xml:space="preserve">Calculation</t>
        </is>
      </c>
      <c r="B390">
        <f>IF(IF(DATE(2028,11,1)='POA — Three year summary'!C6="",FALSE,DATE(2028,11,1)='POA — Three year summary'!C6),IF('POA — Monthly financial forecas'!AA7="","",'POA — Monthly financial forecas'!AA7),"")</f>
      </c>
    </row>
    <row r="391">
      <c r="A391" t="inlineStr" s="25">
        <is>
          <t xml:space="preserve">Calculation</t>
        </is>
      </c>
      <c r="B391">
        <f>IF(IF(DATE(2028,12,1)='POA — Three year summary'!C6="",FALSE,DATE(2028,12,1)='POA — Three year summary'!C6),IF('POA — Monthly financial forecas'!AB7="","",'POA — Monthly financial forecas'!AB7),"")</f>
      </c>
    </row>
    <row r="392">
      <c r="A392" t="inlineStr" s="25">
        <is>
          <t xml:space="preserve">Calculation</t>
        </is>
      </c>
      <c r="B392">
        <f>IF(IF(DATE(2029,1,1)='POA — Three year summary'!C6="",FALSE,DATE(2029,1,1)='POA — Three year summary'!C6),IF('POA — Monthly financial forecas'!AC7="","",'POA — Monthly financial forecas'!AC7),"")</f>
      </c>
    </row>
    <row r="393">
      <c r="A393" t="inlineStr" s="25">
        <is>
          <t xml:space="preserve">Calculation</t>
        </is>
      </c>
      <c r="B393">
        <f>IF(IF(DATE(2029,2,1)='POA — Three year summary'!C6="",FALSE,DATE(2029,2,1)='POA — Three year summary'!C6),IF('POA — Monthly financial forecas'!AD7="","",'POA — Monthly financial forecas'!AD7),"")</f>
      </c>
    </row>
    <row r="394">
      <c r="A394" t="inlineStr" s="25">
        <is>
          <t xml:space="preserve">Calculation</t>
        </is>
      </c>
      <c r="B394">
        <f>IF(IF(DATE(2029,3,1)='POA — Three year summary'!C6="",FALSE,DATE(2029,3,1)='POA — Three year summary'!C6),IF('POA — Monthly financial forecas'!AE7="","",'POA — Monthly financial forecas'!AE7),"")</f>
      </c>
    </row>
    <row r="395">
      <c r="A395" t="inlineStr" s="25">
        <is>
          <t xml:space="preserve">Calculation</t>
        </is>
      </c>
      <c r="B395">
        <f>IF(IF(DATE(2029,4,1)='POA — Three year summary'!C6="",FALSE,DATE(2029,4,1)='POA — Three year summary'!C6),IF('POA — Monthly financial forecas'!AF7="","",'POA — Monthly financial forecas'!AF7),"")</f>
      </c>
    </row>
    <row r="396">
      <c r="A396" t="inlineStr" s="25">
        <is>
          <t xml:space="preserve">Calculation</t>
        </is>
      </c>
      <c r="B396">
        <f>IF(IF(DATE(2029,5,1)='POA — Three year summary'!C6="",FALSE,DATE(2029,5,1)='POA — Three year summary'!C6),IF('POA — Monthly financial forecas'!AG7="","",'POA — Monthly financial forecas'!AG7),"")</f>
      </c>
    </row>
    <row r="397">
      <c r="A397" t="inlineStr" s="25">
        <is>
          <t xml:space="preserve">Calculation</t>
        </is>
      </c>
      <c r="B397">
        <f>IF(IF(DATE(2029,6,1)='POA — Three year summary'!C6="",FALSE,DATE(2029,6,1)='POA — Three year summary'!C6),IF('POA — Monthly financial forecas'!AH7="","",'POA — Monthly financial forecas'!AH7),"")</f>
      </c>
    </row>
    <row r="398">
      <c r="A398" t="inlineStr" s="25">
        <is>
          <t xml:space="preserve">Calculation</t>
        </is>
      </c>
      <c r="B398">
        <f>IF(IF(DATE(2029,7,1)='POA — Three year summary'!C6="",FALSE,DATE(2029,7,1)='POA — Three year summary'!C6),IF('POA — Monthly financial forecas'!AI7="","",'POA — Monthly financial forecas'!AI7),"")</f>
      </c>
    </row>
    <row r="399">
      <c r="A399" t="inlineStr" s="25">
        <is>
          <t xml:space="preserve">Calculation</t>
        </is>
      </c>
      <c r="B399">
        <f>IF(IF(DATE(2029,8,1)='POA — Three year summary'!C6="",FALSE,DATE(2029,8,1)='POA — Three year summary'!C6),IF('POA — Monthly financial forecas'!AJ7="","",'POA — Monthly financial forecas'!AJ7),"")</f>
      </c>
    </row>
    <row r="400">
      <c r="A400" t="inlineStr" s="25">
        <is>
          <t xml:space="preserve">Calculation</t>
        </is>
      </c>
      <c r="B400">
        <f>IF(IF(DATE(2029,9,1)='POA — Three year summary'!C6="",FALSE,DATE(2029,9,1)='POA — Three year summary'!C6),IF('POA — Monthly financial forecas'!AK7="","",'POA — Monthly financial forecas'!AK7),"")</f>
      </c>
    </row>
    <row r="401">
      <c r="A401" t="inlineStr" s="25">
        <is>
          <t xml:space="preserve">Calculation</t>
        </is>
      </c>
      <c r="B401">
        <f>IF(IF(DATE(2026,9,1)='POA — Three year summary'!C6="",FALSE,DATE(2026,9,1)='POA — Three year summary'!C6),IF('Model inputs'!B7="","",'Model inputs'!B7),"")</f>
      </c>
    </row>
    <row r="402">
      <c r="A402" t="inlineStr" s="25">
        <is>
          <t xml:space="preserve">Calculation</t>
        </is>
      </c>
      <c r="B402">
        <f>SUM(IF(IF('Model inputs'!B365="",0,1)="",0,IF('Model inputs'!B365="",0,1)),IF(IF('Model inputs'!B366="",0,1)="",0,IF('Model inputs'!B366="",0,1)),IF(IF('Model inputs'!B367="",0,1)="",0,IF('Model inputs'!B367="",0,1)),IF(IF('Model inputs'!B368="",0,1)="",0,IF('Model inputs'!B368="",0,1)),IF(IF('Model inputs'!B369="",0,1)="",0,IF('Model inputs'!B369="",0,1)),IF(IF('Model inputs'!B370="",0,1)="",0,IF('Model inputs'!B370="",0,1)),IF(IF('Model inputs'!B371="",0,1)="",0,IF('Model inputs'!B371="",0,1)),IF(IF('Model inputs'!B372="",0,1)="",0,IF('Model inputs'!B372="",0,1)),IF(IF('Model inputs'!B373="",0,1)="",0,IF('Model inputs'!B373="",0,1)),IF(IF('Model inputs'!B374="",0,1)="",0,IF('Model inputs'!B374="",0,1)),IF(IF('Model inputs'!B375="",0,1)="",0,IF('Model inputs'!B375="",0,1)),IF(IF('Model inputs'!B376="",0,1)="",0,IF('Model inputs'!B376="",0,1)),IF(IF('Model inputs'!B377="",0,1)="",0,IF('Model inputs'!B377="",0,1)),IF(IF('Model inputs'!B378="",0,1)="",0,IF('Model inputs'!B378="",0,1)),IF(IF('Model inputs'!B379="",0,1)="",0,IF('Model inputs'!B379="",0,1)),IF(IF('Model inputs'!B380="",0,1)="",0,IF('Model inputs'!B380="",0,1)),IF(IF('Model inputs'!B381="",0,1)="",0,IF('Model inputs'!B381="",0,1)),IF(IF('Model inputs'!B382="",0,1)="",0,IF('Model inputs'!B382="",0,1)),IF(IF('Model inputs'!B383="",0,1)="",0,IF('Model inputs'!B383="",0,1)),IF(IF('Model inputs'!B384="",0,1)="",0,IF('Model inputs'!B384="",0,1)),IF(IF('Model inputs'!B385="",0,1)="",0,IF('Model inputs'!B385="",0,1)),IF(IF('Model inputs'!B386="",0,1)="",0,IF('Model inputs'!B386="",0,1)),IF(IF('Model inputs'!B387="",0,1)="",0,IF('Model inputs'!B387="",0,1)),IF(IF('Model inputs'!B388="",0,1)="",0,IF('Model inputs'!B388="",0,1)),IF(IF('Model inputs'!B389="",0,1)="",0,IF('Model inputs'!B389="",0,1)),IF(IF('Model inputs'!B390="",0,1)="",0,IF('Model inputs'!B390="",0,1)),IF(IF('Model inputs'!B391="",0,1)="",0,IF('Model inputs'!B391="",0,1)),IF(IF('Model inputs'!B392="",0,1)="",0,IF('Model inputs'!B392="",0,1)),IF(IF('Model inputs'!B393="",0,1)="",0,IF('Model inputs'!B393="",0,1)),IF(IF('Model inputs'!B394="",0,1)="",0,IF('Model inputs'!B394="",0,1)),IF(IF('Model inputs'!B395="",0,1)="",0,IF('Model inputs'!B395="",0,1)),IF(IF('Model inputs'!B396="",0,1)="",0,IF('Model inputs'!B396="",0,1)),IF(IF('Model inputs'!B397="",0,1)="",0,IF('Model inputs'!B397="",0,1)),IF(IF('Model inputs'!B398="",0,1)="",0,IF('Model inputs'!B398="",0,1)),IF(IF('Model inputs'!B399="",0,1)="",0,IF('Model inputs'!B399="",0,1)),IF(IF('Model inputs'!B400="",0,1)="",0,IF('Model inputs'!B400="",0,1)),IF(IF('Model inputs'!B401="",0,1)="",0,IF('Model inputs'!B401="",0,1)))</f>
      </c>
    </row>
    <row r="403">
      <c r="A403" t="inlineStr" s="25">
        <is>
          <t xml:space="preserve">Calculation</t>
        </is>
      </c>
      <c r="B403">
        <f>IF(IF(DATE(2026,10,1)='POA — Three year summary'!C6="",FALSE,DATE(2026,10,1)='POA — Three year summary'!C6),IF('POA — Monthly financial forecas'!B28="","",'POA — Monthly financial forecas'!B28),"")</f>
      </c>
    </row>
    <row r="404">
      <c r="A404" t="inlineStr" s="25">
        <is>
          <t xml:space="preserve">Calculation</t>
        </is>
      </c>
      <c r="B404">
        <f>IF(IF(DATE(2026,11,1)='POA — Three year summary'!C6="",FALSE,DATE(2026,11,1)='POA — Three year summary'!C6),IF('POA — Monthly financial forecas'!C28="","",'POA — Monthly financial forecas'!C28),"")</f>
      </c>
    </row>
    <row r="405">
      <c r="A405" t="inlineStr" s="25">
        <is>
          <t xml:space="preserve">Calculation</t>
        </is>
      </c>
      <c r="B405">
        <f>IF(IF(DATE(2026,12,1)='POA — Three year summary'!C6="",FALSE,DATE(2026,12,1)='POA — Three year summary'!C6),IF('POA — Monthly financial forecas'!D28="","",'POA — Monthly financial forecas'!D28),"")</f>
      </c>
    </row>
    <row r="406">
      <c r="A406" t="inlineStr" s="25">
        <is>
          <t xml:space="preserve">Calculation</t>
        </is>
      </c>
      <c r="B406">
        <f>IF(IF(DATE(2027,1,1)='POA — Three year summary'!C6="",FALSE,DATE(2027,1,1)='POA — Three year summary'!C6),IF('POA — Monthly financial forecas'!E28="","",'POA — Monthly financial forecas'!E28),"")</f>
      </c>
    </row>
    <row r="407">
      <c r="A407" t="inlineStr" s="25">
        <is>
          <t xml:space="preserve">Calculation</t>
        </is>
      </c>
      <c r="B407">
        <f>IF(IF(DATE(2027,2,1)='POA — Three year summary'!C6="",FALSE,DATE(2027,2,1)='POA — Three year summary'!C6),IF('POA — Monthly financial forecas'!F28="","",'POA — Monthly financial forecas'!F28),"")</f>
      </c>
    </row>
    <row r="408">
      <c r="A408" t="inlineStr" s="25">
        <is>
          <t xml:space="preserve">Calculation</t>
        </is>
      </c>
      <c r="B408">
        <f>IF(IF(DATE(2027,3,1)='POA — Three year summary'!C6="",FALSE,DATE(2027,3,1)='POA — Three year summary'!C6),IF('POA — Monthly financial forecas'!G28="","",'POA — Monthly financial forecas'!G28),"")</f>
      </c>
    </row>
    <row r="409">
      <c r="A409" t="inlineStr" s="25">
        <is>
          <t xml:space="preserve">Calculation</t>
        </is>
      </c>
      <c r="B409">
        <f>IF(IF(DATE(2027,4,1)='POA — Three year summary'!C6="",FALSE,DATE(2027,4,1)='POA — Three year summary'!C6),IF('POA — Monthly financial forecas'!H28="","",'POA — Monthly financial forecas'!H28),"")</f>
      </c>
    </row>
    <row r="410">
      <c r="A410" t="inlineStr" s="25">
        <is>
          <t xml:space="preserve">Calculation</t>
        </is>
      </c>
      <c r="B410">
        <f>IF(IF(DATE(2027,5,1)='POA — Three year summary'!C6="",FALSE,DATE(2027,5,1)='POA — Three year summary'!C6),IF('POA — Monthly financial forecas'!I28="","",'POA — Monthly financial forecas'!I28),"")</f>
      </c>
    </row>
    <row r="411">
      <c r="A411" t="inlineStr" s="25">
        <is>
          <t xml:space="preserve">Calculation</t>
        </is>
      </c>
      <c r="B411">
        <f>IF(IF(DATE(2027,6,1)='POA — Three year summary'!C6="",FALSE,DATE(2027,6,1)='POA — Three year summary'!C6),IF('POA — Monthly financial forecas'!J28="","",'POA — Monthly financial forecas'!J28),"")</f>
      </c>
    </row>
    <row r="412">
      <c r="A412" t="inlineStr" s="25">
        <is>
          <t xml:space="preserve">Calculation</t>
        </is>
      </c>
      <c r="B412">
        <f>IF(IF(DATE(2027,7,1)='POA — Three year summary'!C6="",FALSE,DATE(2027,7,1)='POA — Three year summary'!C6),IF('POA — Monthly financial forecas'!K28="","",'POA — Monthly financial forecas'!K28),"")</f>
      </c>
    </row>
    <row r="413">
      <c r="A413" t="inlineStr" s="25">
        <is>
          <t xml:space="preserve">Calculation</t>
        </is>
      </c>
      <c r="B413">
        <f>IF(IF(DATE(2027,8,1)='POA — Three year summary'!C6="",FALSE,DATE(2027,8,1)='POA — Three year summary'!C6),IF('POA — Monthly financial forecas'!L28="","",'POA — Monthly financial forecas'!L28),"")</f>
      </c>
    </row>
    <row r="414">
      <c r="A414" t="inlineStr" s="25">
        <is>
          <t xml:space="preserve">Calculation</t>
        </is>
      </c>
      <c r="B414">
        <f>IF(IF(DATE(2027,9,1)='POA — Three year summary'!C6="",FALSE,DATE(2027,9,1)='POA — Three year summary'!C6),IF('POA — Monthly financial forecas'!M28="","",'POA — Monthly financial forecas'!M28),"")</f>
      </c>
    </row>
    <row r="415">
      <c r="A415" t="inlineStr" s="25">
        <is>
          <t xml:space="preserve">Calculation</t>
        </is>
      </c>
      <c r="B415">
        <f>IF(IF(DATE(2027,10,1)='POA — Three year summary'!C6="",FALSE,DATE(2027,10,1)='POA — Three year summary'!C6),IF('POA — Monthly financial forecas'!N28="","",'POA — Monthly financial forecas'!N28),"")</f>
      </c>
    </row>
    <row r="416">
      <c r="A416" t="inlineStr" s="25">
        <is>
          <t xml:space="preserve">Calculation</t>
        </is>
      </c>
      <c r="B416">
        <f>IF(IF(DATE(2027,11,1)='POA — Three year summary'!C6="",FALSE,DATE(2027,11,1)='POA — Three year summary'!C6),IF('POA — Monthly financial forecas'!O28="","",'POA — Monthly financial forecas'!O28),"")</f>
      </c>
    </row>
    <row r="417">
      <c r="A417" t="inlineStr" s="25">
        <is>
          <t xml:space="preserve">Calculation</t>
        </is>
      </c>
      <c r="B417">
        <f>IF(IF(DATE(2027,12,1)='POA — Three year summary'!C6="",FALSE,DATE(2027,12,1)='POA — Three year summary'!C6),IF('POA — Monthly financial forecas'!P28="","",'POA — Monthly financial forecas'!P28),"")</f>
      </c>
    </row>
    <row r="418">
      <c r="A418" t="inlineStr" s="25">
        <is>
          <t xml:space="preserve">Calculation</t>
        </is>
      </c>
      <c r="B418">
        <f>IF(IF(DATE(2028,1,1)='POA — Three year summary'!C6="",FALSE,DATE(2028,1,1)='POA — Three year summary'!C6),IF('POA — Monthly financial forecas'!Q28="","",'POA — Monthly financial forecas'!Q28),"")</f>
      </c>
    </row>
    <row r="419">
      <c r="A419" t="inlineStr" s="25">
        <is>
          <t xml:space="preserve">Calculation</t>
        </is>
      </c>
      <c r="B419">
        <f>IF(IF(DATE(2028,2,1)='POA — Three year summary'!C6="",FALSE,DATE(2028,2,1)='POA — Three year summary'!C6),IF('POA — Monthly financial forecas'!R28="","",'POA — Monthly financial forecas'!R28),"")</f>
      </c>
    </row>
    <row r="420">
      <c r="A420" t="inlineStr" s="25">
        <is>
          <t xml:space="preserve">Calculation</t>
        </is>
      </c>
      <c r="B420">
        <f>IF(IF(DATE(2028,3,1)='POA — Three year summary'!C6="",FALSE,DATE(2028,3,1)='POA — Three year summary'!C6),IF('POA — Monthly financial forecas'!S28="","",'POA — Monthly financial forecas'!S28),"")</f>
      </c>
    </row>
    <row r="421">
      <c r="A421" t="inlineStr" s="25">
        <is>
          <t xml:space="preserve">Calculation</t>
        </is>
      </c>
      <c r="B421">
        <f>IF(IF(DATE(2028,4,1)='POA — Three year summary'!C6="",FALSE,DATE(2028,4,1)='POA — Three year summary'!C6),IF('POA — Monthly financial forecas'!T28="","",'POA — Monthly financial forecas'!T28),"")</f>
      </c>
    </row>
    <row r="422">
      <c r="A422" t="inlineStr" s="25">
        <is>
          <t xml:space="preserve">Calculation</t>
        </is>
      </c>
      <c r="B422">
        <f>IF(IF(DATE(2028,5,1)='POA — Three year summary'!C6="",FALSE,DATE(2028,5,1)='POA — Three year summary'!C6),IF('POA — Monthly financial forecas'!U28="","",'POA — Monthly financial forecas'!U28),"")</f>
      </c>
    </row>
    <row r="423">
      <c r="A423" t="inlineStr" s="25">
        <is>
          <t xml:space="preserve">Calculation</t>
        </is>
      </c>
      <c r="B423">
        <f>IF(IF(DATE(2028,6,1)='POA — Three year summary'!C6="",FALSE,DATE(2028,6,1)='POA — Three year summary'!C6),IF('POA — Monthly financial forecas'!V28="","",'POA — Monthly financial forecas'!V28),"")</f>
      </c>
    </row>
    <row r="424">
      <c r="A424" t="inlineStr" s="25">
        <is>
          <t xml:space="preserve">Calculation</t>
        </is>
      </c>
      <c r="B424">
        <f>IF(IF(DATE(2028,7,1)='POA — Three year summary'!C6="",FALSE,DATE(2028,7,1)='POA — Three year summary'!C6),IF('POA — Monthly financial forecas'!W28="","",'POA — Monthly financial forecas'!W28),"")</f>
      </c>
    </row>
    <row r="425">
      <c r="A425" t="inlineStr" s="25">
        <is>
          <t xml:space="preserve">Calculation</t>
        </is>
      </c>
      <c r="B425">
        <f>IF(IF(DATE(2028,8,1)='POA — Three year summary'!C6="",FALSE,DATE(2028,8,1)='POA — Three year summary'!C6),IF('POA — Monthly financial forecas'!X28="","",'POA — Monthly financial forecas'!X28),"")</f>
      </c>
    </row>
    <row r="426">
      <c r="A426" t="inlineStr" s="25">
        <is>
          <t xml:space="preserve">Calculation</t>
        </is>
      </c>
      <c r="B426">
        <f>IF(IF(DATE(2028,9,1)='POA — Three year summary'!C6="",FALSE,DATE(2028,9,1)='POA — Three year summary'!C6),IF('POA — Monthly financial forecas'!Y28="","",'POA — Monthly financial forecas'!Y28),"")</f>
      </c>
    </row>
    <row r="427">
      <c r="A427" t="inlineStr" s="25">
        <is>
          <t xml:space="preserve">Calculation</t>
        </is>
      </c>
      <c r="B427">
        <f>IF(IF(DATE(2028,10,1)='POA — Three year summary'!C6="",FALSE,DATE(2028,10,1)='POA — Three year summary'!C6),IF('POA — Monthly financial forecas'!Z28="","",'POA — Monthly financial forecas'!Z28),"")</f>
      </c>
    </row>
    <row r="428">
      <c r="A428" t="inlineStr" s="25">
        <is>
          <t xml:space="preserve">Calculation</t>
        </is>
      </c>
      <c r="B428">
        <f>IF(IF(DATE(2028,11,1)='POA — Three year summary'!C6="",FALSE,DATE(2028,11,1)='POA — Three year summary'!C6),IF('POA — Monthly financial forecas'!AA28="","",'POA — Monthly financial forecas'!AA28),"")</f>
      </c>
    </row>
    <row r="429">
      <c r="A429" t="inlineStr" s="25">
        <is>
          <t xml:space="preserve">Calculation</t>
        </is>
      </c>
      <c r="B429">
        <f>IF(IF(DATE(2028,12,1)='POA — Three year summary'!C6="",FALSE,DATE(2028,12,1)='POA — Three year summary'!C6),IF('POA — Monthly financial forecas'!AB28="","",'POA — Monthly financial forecas'!AB28),"")</f>
      </c>
    </row>
    <row r="430">
      <c r="A430" t="inlineStr" s="25">
        <is>
          <t xml:space="preserve">Calculation</t>
        </is>
      </c>
      <c r="B430">
        <f>IF(IF(DATE(2029,1,1)='POA — Three year summary'!C6="",FALSE,DATE(2029,1,1)='POA — Three year summary'!C6),IF('POA — Monthly financial forecas'!AC28="","",'POA — Monthly financial forecas'!AC28),"")</f>
      </c>
    </row>
    <row r="431">
      <c r="A431" t="inlineStr" s="25">
        <is>
          <t xml:space="preserve">Calculation</t>
        </is>
      </c>
      <c r="B431">
        <f>IF(IF(DATE(2029,2,1)='POA — Three year summary'!C6="",FALSE,DATE(2029,2,1)='POA — Three year summary'!C6),IF('POA — Monthly financial forecas'!AD28="","",'POA — Monthly financial forecas'!AD28),"")</f>
      </c>
    </row>
    <row r="432">
      <c r="A432" t="inlineStr" s="25">
        <is>
          <t xml:space="preserve">Calculation</t>
        </is>
      </c>
      <c r="B432">
        <f>IF(IF(DATE(2029,3,1)='POA — Three year summary'!C6="",FALSE,DATE(2029,3,1)='POA — Three year summary'!C6),IF('POA — Monthly financial forecas'!AE28="","",'POA — Monthly financial forecas'!AE28),"")</f>
      </c>
    </row>
    <row r="433">
      <c r="A433" t="inlineStr" s="25">
        <is>
          <t xml:space="preserve">Calculation</t>
        </is>
      </c>
      <c r="B433">
        <f>IF(IF(DATE(2029,4,1)='POA — Three year summary'!C6="",FALSE,DATE(2029,4,1)='POA — Three year summary'!C6),IF('POA — Monthly financial forecas'!AF28="","",'POA — Monthly financial forecas'!AF28),"")</f>
      </c>
    </row>
    <row r="434">
      <c r="A434" t="inlineStr" s="25">
        <is>
          <t xml:space="preserve">Calculation</t>
        </is>
      </c>
      <c r="B434">
        <f>IF(IF(DATE(2029,5,1)='POA — Three year summary'!C6="",FALSE,DATE(2029,5,1)='POA — Three year summary'!C6),IF('POA — Monthly financial forecas'!AG28="","",'POA — Monthly financial forecas'!AG28),"")</f>
      </c>
    </row>
    <row r="435">
      <c r="A435" t="inlineStr" s="25">
        <is>
          <t xml:space="preserve">Calculation</t>
        </is>
      </c>
      <c r="B435">
        <f>IF(IF(DATE(2029,6,1)='POA — Three year summary'!C6="",FALSE,DATE(2029,6,1)='POA — Three year summary'!C6),IF('POA — Monthly financial forecas'!AH28="","",'POA — Monthly financial forecas'!AH28),"")</f>
      </c>
    </row>
    <row r="436">
      <c r="A436" t="inlineStr" s="25">
        <is>
          <t xml:space="preserve">Calculation</t>
        </is>
      </c>
      <c r="B436">
        <f>IF(IF(DATE(2029,7,1)='POA — Three year summary'!C6="",FALSE,DATE(2029,7,1)='POA — Three year summary'!C6),IF('POA — Monthly financial forecas'!AI28="","",'POA — Monthly financial forecas'!AI28),"")</f>
      </c>
    </row>
    <row r="437">
      <c r="A437" t="inlineStr" s="25">
        <is>
          <t xml:space="preserve">Calculation</t>
        </is>
      </c>
      <c r="B437">
        <f>IF(IF(DATE(2029,8,1)='POA — Three year summary'!C6="",FALSE,DATE(2029,8,1)='POA — Three year summary'!C6),IF('POA — Monthly financial forecas'!AJ28="","",'POA — Monthly financial forecas'!AJ28),"")</f>
      </c>
    </row>
    <row r="438">
      <c r="A438" t="inlineStr" s="25">
        <is>
          <t xml:space="preserve">Calculation</t>
        </is>
      </c>
      <c r="B438">
        <f>IF(IF(DATE(2029,9,1)='POA — Three year summary'!C6="",FALSE,DATE(2029,9,1)='POA — Three year summary'!C6),IF('POA — Monthly financial forecas'!AK28="","",'POA — Monthly financial forecas'!AK28),"")</f>
      </c>
    </row>
    <row r="439">
      <c r="A439" t="inlineStr" s="25">
        <is>
          <t xml:space="preserve">Calculation</t>
        </is>
      </c>
      <c r="B439">
        <f>SUM(IF(IF('Model inputs'!B403="",0,1)="",0,IF('Model inputs'!B403="",0,1)),IF(IF('Model inputs'!B404="",0,1)="",0,IF('Model inputs'!B404="",0,1)),IF(IF('Model inputs'!B405="",0,1)="",0,IF('Model inputs'!B405="",0,1)),IF(IF('Model inputs'!B406="",0,1)="",0,IF('Model inputs'!B406="",0,1)),IF(IF('Model inputs'!B407="",0,1)="",0,IF('Model inputs'!B407="",0,1)),IF(IF('Model inputs'!B408="",0,1)="",0,IF('Model inputs'!B408="",0,1)),IF(IF('Model inputs'!B409="",0,1)="",0,IF('Model inputs'!B409="",0,1)),IF(IF('Model inputs'!B410="",0,1)="",0,IF('Model inputs'!B410="",0,1)),IF(IF('Model inputs'!B411="",0,1)="",0,IF('Model inputs'!B411="",0,1)),IF(IF('Model inputs'!B412="",0,1)="",0,IF('Model inputs'!B412="",0,1)),IF(IF('Model inputs'!B413="",0,1)="",0,IF('Model inputs'!B413="",0,1)),IF(IF('Model inputs'!B414="",0,1)="",0,IF('Model inputs'!B414="",0,1)),IF(IF('Model inputs'!B415="",0,1)="",0,IF('Model inputs'!B415="",0,1)),IF(IF('Model inputs'!B416="",0,1)="",0,IF('Model inputs'!B416="",0,1)),IF(IF('Model inputs'!B417="",0,1)="",0,IF('Model inputs'!B417="",0,1)),IF(IF('Model inputs'!B418="",0,1)="",0,IF('Model inputs'!B418="",0,1)),IF(IF('Model inputs'!B419="",0,1)="",0,IF('Model inputs'!B419="",0,1)),IF(IF('Model inputs'!B420="",0,1)="",0,IF('Model inputs'!B420="",0,1)),IF(IF('Model inputs'!B421="",0,1)="",0,IF('Model inputs'!B421="",0,1)),IF(IF('Model inputs'!B422="",0,1)="",0,IF('Model inputs'!B422="",0,1)),IF(IF('Model inputs'!B423="",0,1)="",0,IF('Model inputs'!B423="",0,1)),IF(IF('Model inputs'!B424="",0,1)="",0,IF('Model inputs'!B424="",0,1)),IF(IF('Model inputs'!B425="",0,1)="",0,IF('Model inputs'!B425="",0,1)),IF(IF('Model inputs'!B426="",0,1)="",0,IF('Model inputs'!B426="",0,1)),IF(IF('Model inputs'!B427="",0,1)="",0,IF('Model inputs'!B427="",0,1)),IF(IF('Model inputs'!B428="",0,1)="",0,IF('Model inputs'!B428="",0,1)),IF(IF('Model inputs'!B429="",0,1)="",0,IF('Model inputs'!B429="",0,1)),IF(IF('Model inputs'!B430="",0,1)="",0,IF('Model inputs'!B430="",0,1)),IF(IF('Model inputs'!B431="",0,1)="",0,IF('Model inputs'!B431="",0,1)),IF(IF('Model inputs'!B432="",0,1)="",0,IF('Model inputs'!B432="",0,1)),IF(IF('Model inputs'!B433="",0,1)="",0,IF('Model inputs'!B433="",0,1)),IF(IF('Model inputs'!B434="",0,1)="",0,IF('Model inputs'!B434="",0,1)),IF(IF('Model inputs'!B435="",0,1)="",0,IF('Model inputs'!B435="",0,1)),IF(IF('Model inputs'!B436="",0,1)="",0,IF('Model inputs'!B436="",0,1)),IF(IF('Model inputs'!B437="",0,1)="",0,IF('Model inputs'!B437="",0,1)),IF(IF('Model inputs'!B438="",0,1)="",0,IF('Model inputs'!B438="",0,1)))</f>
      </c>
    </row>
    <row r="440">
      <c r="A440" t="inlineStr" s="25">
        <is>
          <t xml:space="preserve">Calculation</t>
        </is>
      </c>
      <c r="B440">
        <f>IF(IF(DATE(2026,10,1)='POA — Three year summary'!C6="",FALSE,DATE(2026,10,1)='POA — Three year summary'!C6),IF('POA — Monthly financial forecas'!B29="","",'POA — Monthly financial forecas'!B29),"")</f>
      </c>
    </row>
    <row r="441">
      <c r="A441" t="inlineStr" s="25">
        <is>
          <t xml:space="preserve">Calculation</t>
        </is>
      </c>
      <c r="B441">
        <f>IF(IF(DATE(2026,11,1)='POA — Three year summary'!C6="",FALSE,DATE(2026,11,1)='POA — Three year summary'!C6),IF('POA — Monthly financial forecas'!C29="","",'POA — Monthly financial forecas'!C29),"")</f>
      </c>
    </row>
    <row r="442">
      <c r="A442" t="inlineStr" s="25">
        <is>
          <t xml:space="preserve">Calculation</t>
        </is>
      </c>
      <c r="B442">
        <f>IF(IF(DATE(2026,12,1)='POA — Three year summary'!C6="",FALSE,DATE(2026,12,1)='POA — Three year summary'!C6),IF('POA — Monthly financial forecas'!D29="","",'POA — Monthly financial forecas'!D29),"")</f>
      </c>
    </row>
    <row r="443">
      <c r="A443" t="inlineStr" s="25">
        <is>
          <t xml:space="preserve">Calculation</t>
        </is>
      </c>
      <c r="B443">
        <f>IF(IF(DATE(2027,1,1)='POA — Three year summary'!C6="",FALSE,DATE(2027,1,1)='POA — Three year summary'!C6),IF('POA — Monthly financial forecas'!E29="","",'POA — Monthly financial forecas'!E29),"")</f>
      </c>
    </row>
    <row r="444">
      <c r="A444" t="inlineStr" s="25">
        <is>
          <t xml:space="preserve">Calculation</t>
        </is>
      </c>
      <c r="B444">
        <f>IF(IF(DATE(2027,2,1)='POA — Three year summary'!C6="",FALSE,DATE(2027,2,1)='POA — Three year summary'!C6),IF('POA — Monthly financial forecas'!F29="","",'POA — Monthly financial forecas'!F29),"")</f>
      </c>
    </row>
    <row r="445">
      <c r="A445" t="inlineStr" s="25">
        <is>
          <t xml:space="preserve">Calculation</t>
        </is>
      </c>
      <c r="B445">
        <f>IF(IF(DATE(2027,3,1)='POA — Three year summary'!C6="",FALSE,DATE(2027,3,1)='POA — Three year summary'!C6),IF('POA — Monthly financial forecas'!G29="","",'POA — Monthly financial forecas'!G29),"")</f>
      </c>
    </row>
    <row r="446">
      <c r="A446" t="inlineStr" s="25">
        <is>
          <t xml:space="preserve">Calculation</t>
        </is>
      </c>
      <c r="B446">
        <f>IF(IF(DATE(2027,4,1)='POA — Three year summary'!C6="",FALSE,DATE(2027,4,1)='POA — Three year summary'!C6),IF('POA — Monthly financial forecas'!H29="","",'POA — Monthly financial forecas'!H29),"")</f>
      </c>
    </row>
    <row r="447">
      <c r="A447" t="inlineStr" s="25">
        <is>
          <t xml:space="preserve">Calculation</t>
        </is>
      </c>
      <c r="B447">
        <f>IF(IF(DATE(2027,5,1)='POA — Three year summary'!C6="",FALSE,DATE(2027,5,1)='POA — Three year summary'!C6),IF('POA — Monthly financial forecas'!I29="","",'POA — Monthly financial forecas'!I29),"")</f>
      </c>
    </row>
    <row r="448">
      <c r="A448" t="inlineStr" s="25">
        <is>
          <t xml:space="preserve">Calculation</t>
        </is>
      </c>
      <c r="B448">
        <f>IF(IF(DATE(2027,6,1)='POA — Three year summary'!C6="",FALSE,DATE(2027,6,1)='POA — Three year summary'!C6),IF('POA — Monthly financial forecas'!J29="","",'POA — Monthly financial forecas'!J29),"")</f>
      </c>
    </row>
    <row r="449">
      <c r="A449" t="inlineStr" s="25">
        <is>
          <t xml:space="preserve">Calculation</t>
        </is>
      </c>
      <c r="B449">
        <f>IF(IF(DATE(2027,7,1)='POA — Three year summary'!C6="",FALSE,DATE(2027,7,1)='POA — Three year summary'!C6),IF('POA — Monthly financial forecas'!K29="","",'POA — Monthly financial forecas'!K29),"")</f>
      </c>
    </row>
    <row r="450">
      <c r="A450" t="inlineStr" s="25">
        <is>
          <t xml:space="preserve">Calculation</t>
        </is>
      </c>
      <c r="B450">
        <f>IF(IF(DATE(2027,8,1)='POA — Three year summary'!C6="",FALSE,DATE(2027,8,1)='POA — Three year summary'!C6),IF('POA — Monthly financial forecas'!L29="","",'POA — Monthly financial forecas'!L29),"")</f>
      </c>
    </row>
    <row r="451">
      <c r="A451" t="inlineStr" s="25">
        <is>
          <t xml:space="preserve">Calculation</t>
        </is>
      </c>
      <c r="B451">
        <f>IF(IF(DATE(2027,9,1)='POA — Three year summary'!C6="",FALSE,DATE(2027,9,1)='POA — Three year summary'!C6),IF('POA — Monthly financial forecas'!M29="","",'POA — Monthly financial forecas'!M29),"")</f>
      </c>
    </row>
    <row r="452">
      <c r="A452" t="inlineStr" s="25">
        <is>
          <t xml:space="preserve">Calculation</t>
        </is>
      </c>
      <c r="B452">
        <f>IF(IF(DATE(2027,10,1)='POA — Three year summary'!C6="",FALSE,DATE(2027,10,1)='POA — Three year summary'!C6),IF('POA — Monthly financial forecas'!N29="","",'POA — Monthly financial forecas'!N29),"")</f>
      </c>
    </row>
    <row r="453">
      <c r="A453" t="inlineStr" s="25">
        <is>
          <t xml:space="preserve">Calculation</t>
        </is>
      </c>
      <c r="B453">
        <f>IF(IF(DATE(2027,11,1)='POA — Three year summary'!C6="",FALSE,DATE(2027,11,1)='POA — Three year summary'!C6),IF('POA — Monthly financial forecas'!O29="","",'POA — Monthly financial forecas'!O29),"")</f>
      </c>
    </row>
    <row r="454">
      <c r="A454" t="inlineStr" s="25">
        <is>
          <t xml:space="preserve">Calculation</t>
        </is>
      </c>
      <c r="B454">
        <f>IF(IF(DATE(2027,12,1)='POA — Three year summary'!C6="",FALSE,DATE(2027,12,1)='POA — Three year summary'!C6),IF('POA — Monthly financial forecas'!P29="","",'POA — Monthly financial forecas'!P29),"")</f>
      </c>
    </row>
    <row r="455">
      <c r="A455" t="inlineStr" s="25">
        <is>
          <t xml:space="preserve">Calculation</t>
        </is>
      </c>
      <c r="B455">
        <f>IF(IF(DATE(2028,1,1)='POA — Three year summary'!C6="",FALSE,DATE(2028,1,1)='POA — Three year summary'!C6),IF('POA — Monthly financial forecas'!Q29="","",'POA — Monthly financial forecas'!Q29),"")</f>
      </c>
    </row>
    <row r="456">
      <c r="A456" t="inlineStr" s="25">
        <is>
          <t xml:space="preserve">Calculation</t>
        </is>
      </c>
      <c r="B456">
        <f>IF(IF(DATE(2028,2,1)='POA — Three year summary'!C6="",FALSE,DATE(2028,2,1)='POA — Three year summary'!C6),IF('POA — Monthly financial forecas'!R29="","",'POA — Monthly financial forecas'!R29),"")</f>
      </c>
    </row>
    <row r="457">
      <c r="A457" t="inlineStr" s="25">
        <is>
          <t xml:space="preserve">Calculation</t>
        </is>
      </c>
      <c r="B457">
        <f>IF(IF(DATE(2028,3,1)='POA — Three year summary'!C6="",FALSE,DATE(2028,3,1)='POA — Three year summary'!C6),IF('POA — Monthly financial forecas'!S29="","",'POA — Monthly financial forecas'!S29),"")</f>
      </c>
    </row>
    <row r="458">
      <c r="A458" t="inlineStr" s="25">
        <is>
          <t xml:space="preserve">Calculation</t>
        </is>
      </c>
      <c r="B458">
        <f>IF(IF(DATE(2028,4,1)='POA — Three year summary'!C6="",FALSE,DATE(2028,4,1)='POA — Three year summary'!C6),IF('POA — Monthly financial forecas'!T29="","",'POA — Monthly financial forecas'!T29),"")</f>
      </c>
    </row>
    <row r="459">
      <c r="A459" t="inlineStr" s="25">
        <is>
          <t xml:space="preserve">Calculation</t>
        </is>
      </c>
      <c r="B459">
        <f>IF(IF(DATE(2028,5,1)='POA — Three year summary'!C6="",FALSE,DATE(2028,5,1)='POA — Three year summary'!C6),IF('POA — Monthly financial forecas'!U29="","",'POA — Monthly financial forecas'!U29),"")</f>
      </c>
    </row>
    <row r="460">
      <c r="A460" t="inlineStr" s="25">
        <is>
          <t xml:space="preserve">Calculation</t>
        </is>
      </c>
      <c r="B460">
        <f>IF(IF(DATE(2028,6,1)='POA — Three year summary'!C6="",FALSE,DATE(2028,6,1)='POA — Three year summary'!C6),IF('POA — Monthly financial forecas'!V29="","",'POA — Monthly financial forecas'!V29),"")</f>
      </c>
    </row>
    <row r="461">
      <c r="A461" t="inlineStr" s="25">
        <is>
          <t xml:space="preserve">Calculation</t>
        </is>
      </c>
      <c r="B461">
        <f>IF(IF(DATE(2028,7,1)='POA — Three year summary'!C6="",FALSE,DATE(2028,7,1)='POA — Three year summary'!C6),IF('POA — Monthly financial forecas'!W29="","",'POA — Monthly financial forecas'!W29),"")</f>
      </c>
    </row>
    <row r="462">
      <c r="A462" t="inlineStr" s="25">
        <is>
          <t xml:space="preserve">Calculation</t>
        </is>
      </c>
      <c r="B462">
        <f>IF(IF(DATE(2028,8,1)='POA — Three year summary'!C6="",FALSE,DATE(2028,8,1)='POA — Three year summary'!C6),IF('POA — Monthly financial forecas'!X29="","",'POA — Monthly financial forecas'!X29),"")</f>
      </c>
    </row>
    <row r="463">
      <c r="A463" t="inlineStr" s="25">
        <is>
          <t xml:space="preserve">Calculation</t>
        </is>
      </c>
      <c r="B463">
        <f>IF(IF(DATE(2028,9,1)='POA — Three year summary'!C6="",FALSE,DATE(2028,9,1)='POA — Three year summary'!C6),IF('POA — Monthly financial forecas'!Y29="","",'POA — Monthly financial forecas'!Y29),"")</f>
      </c>
    </row>
    <row r="464">
      <c r="A464" t="inlineStr" s="25">
        <is>
          <t xml:space="preserve">Calculation</t>
        </is>
      </c>
      <c r="B464">
        <f>IF(IF(DATE(2028,10,1)='POA — Three year summary'!C6="",FALSE,DATE(2028,10,1)='POA — Three year summary'!C6),IF('POA — Monthly financial forecas'!Z29="","",'POA — Monthly financial forecas'!Z29),"")</f>
      </c>
    </row>
    <row r="465">
      <c r="A465" t="inlineStr" s="25">
        <is>
          <t xml:space="preserve">Calculation</t>
        </is>
      </c>
      <c r="B465">
        <f>IF(IF(DATE(2028,11,1)='POA — Three year summary'!C6="",FALSE,DATE(2028,11,1)='POA — Three year summary'!C6),IF('POA — Monthly financial forecas'!AA29="","",'POA — Monthly financial forecas'!AA29),"")</f>
      </c>
    </row>
    <row r="466">
      <c r="A466" t="inlineStr" s="25">
        <is>
          <t xml:space="preserve">Calculation</t>
        </is>
      </c>
      <c r="B466">
        <f>IF(IF(DATE(2028,12,1)='POA — Three year summary'!C6="",FALSE,DATE(2028,12,1)='POA — Three year summary'!C6),IF('POA — Monthly financial forecas'!AB29="","",'POA — Monthly financial forecas'!AB29),"")</f>
      </c>
    </row>
    <row r="467">
      <c r="A467" t="inlineStr" s="25">
        <is>
          <t xml:space="preserve">Calculation</t>
        </is>
      </c>
      <c r="B467">
        <f>IF(IF(DATE(2029,1,1)='POA — Three year summary'!C6="",FALSE,DATE(2029,1,1)='POA — Three year summary'!C6),IF('POA — Monthly financial forecas'!AC29="","",'POA — Monthly financial forecas'!AC29),"")</f>
      </c>
    </row>
    <row r="468">
      <c r="A468" t="inlineStr" s="25">
        <is>
          <t xml:space="preserve">Calculation</t>
        </is>
      </c>
      <c r="B468">
        <f>IF(IF(DATE(2029,2,1)='POA — Three year summary'!C6="",FALSE,DATE(2029,2,1)='POA — Three year summary'!C6),IF('POA — Monthly financial forecas'!AD29="","",'POA — Monthly financial forecas'!AD29),"")</f>
      </c>
    </row>
    <row r="469">
      <c r="A469" t="inlineStr" s="25">
        <is>
          <t xml:space="preserve">Calculation</t>
        </is>
      </c>
      <c r="B469">
        <f>IF(IF(DATE(2029,3,1)='POA — Three year summary'!C6="",FALSE,DATE(2029,3,1)='POA — Three year summary'!C6),IF('POA — Monthly financial forecas'!AE29="","",'POA — Monthly financial forecas'!AE29),"")</f>
      </c>
    </row>
    <row r="470">
      <c r="A470" t="inlineStr" s="25">
        <is>
          <t xml:space="preserve">Calculation</t>
        </is>
      </c>
      <c r="B470">
        <f>IF(IF(DATE(2029,4,1)='POA — Three year summary'!C6="",FALSE,DATE(2029,4,1)='POA — Three year summary'!C6),IF('POA — Monthly financial forecas'!AF29="","",'POA — Monthly financial forecas'!AF29),"")</f>
      </c>
    </row>
    <row r="471">
      <c r="A471" t="inlineStr" s="25">
        <is>
          <t xml:space="preserve">Calculation</t>
        </is>
      </c>
      <c r="B471">
        <f>IF(IF(DATE(2029,5,1)='POA — Three year summary'!C6="",FALSE,DATE(2029,5,1)='POA — Three year summary'!C6),IF('POA — Monthly financial forecas'!AG29="","",'POA — Monthly financial forecas'!AG29),"")</f>
      </c>
    </row>
    <row r="472">
      <c r="A472" t="inlineStr" s="25">
        <is>
          <t xml:space="preserve">Calculation</t>
        </is>
      </c>
      <c r="B472">
        <f>IF(IF(DATE(2029,6,1)='POA — Three year summary'!C6="",FALSE,DATE(2029,6,1)='POA — Three year summary'!C6),IF('POA — Monthly financial forecas'!AH29="","",'POA — Monthly financial forecas'!AH29),"")</f>
      </c>
    </row>
    <row r="473">
      <c r="A473" t="inlineStr" s="25">
        <is>
          <t xml:space="preserve">Calculation</t>
        </is>
      </c>
      <c r="B473">
        <f>IF(IF(DATE(2029,7,1)='POA — Three year summary'!C6="",FALSE,DATE(2029,7,1)='POA — Three year summary'!C6),IF('POA — Monthly financial forecas'!AI29="","",'POA — Monthly financial forecas'!AI29),"")</f>
      </c>
    </row>
    <row r="474">
      <c r="A474" t="inlineStr" s="25">
        <is>
          <t xml:space="preserve">Calculation</t>
        </is>
      </c>
      <c r="B474">
        <f>IF(IF(DATE(2029,8,1)='POA — Three year summary'!C6="",FALSE,DATE(2029,8,1)='POA — Three year summary'!C6),IF('POA — Monthly financial forecas'!AJ29="","",'POA — Monthly financial forecas'!AJ29),"")</f>
      </c>
    </row>
    <row r="475">
      <c r="A475" t="inlineStr" s="25">
        <is>
          <t xml:space="preserve">Calculation</t>
        </is>
      </c>
      <c r="B475">
        <f>IF(IF(DATE(2029,9,1)='POA — Three year summary'!C6="",FALSE,DATE(2029,9,1)='POA — Three year summary'!C6),IF('POA — Monthly financial forecas'!AK29="","",'POA — Monthly financial forecas'!AK29),"")</f>
      </c>
    </row>
    <row r="476">
      <c r="A476" t="inlineStr" s="25">
        <is>
          <t xml:space="preserve">Calculation</t>
        </is>
      </c>
      <c r="B476">
        <f>SUM(IF(IF('Model inputs'!B440="",0,1)="",0,IF('Model inputs'!B440="",0,1)),IF(IF('Model inputs'!B441="",0,1)="",0,IF('Model inputs'!B441="",0,1)),IF(IF('Model inputs'!B442="",0,1)="",0,IF('Model inputs'!B442="",0,1)),IF(IF('Model inputs'!B443="",0,1)="",0,IF('Model inputs'!B443="",0,1)),IF(IF('Model inputs'!B444="",0,1)="",0,IF('Model inputs'!B444="",0,1)),IF(IF('Model inputs'!B445="",0,1)="",0,IF('Model inputs'!B445="",0,1)),IF(IF('Model inputs'!B446="",0,1)="",0,IF('Model inputs'!B446="",0,1)),IF(IF('Model inputs'!B447="",0,1)="",0,IF('Model inputs'!B447="",0,1)),IF(IF('Model inputs'!B448="",0,1)="",0,IF('Model inputs'!B448="",0,1)),IF(IF('Model inputs'!B449="",0,1)="",0,IF('Model inputs'!B449="",0,1)),IF(IF('Model inputs'!B450="",0,1)="",0,IF('Model inputs'!B450="",0,1)),IF(IF('Model inputs'!B451="",0,1)="",0,IF('Model inputs'!B451="",0,1)),IF(IF('Model inputs'!B452="",0,1)="",0,IF('Model inputs'!B452="",0,1)),IF(IF('Model inputs'!B453="",0,1)="",0,IF('Model inputs'!B453="",0,1)),IF(IF('Model inputs'!B454="",0,1)="",0,IF('Model inputs'!B454="",0,1)),IF(IF('Model inputs'!B455="",0,1)="",0,IF('Model inputs'!B455="",0,1)),IF(IF('Model inputs'!B456="",0,1)="",0,IF('Model inputs'!B456="",0,1)),IF(IF('Model inputs'!B457="",0,1)="",0,IF('Model inputs'!B457="",0,1)),IF(IF('Model inputs'!B458="",0,1)="",0,IF('Model inputs'!B458="",0,1)),IF(IF('Model inputs'!B459="",0,1)="",0,IF('Model inputs'!B459="",0,1)),IF(IF('Model inputs'!B460="",0,1)="",0,IF('Model inputs'!B460="",0,1)),IF(IF('Model inputs'!B461="",0,1)="",0,IF('Model inputs'!B461="",0,1)),IF(IF('Model inputs'!B462="",0,1)="",0,IF('Model inputs'!B462="",0,1)),IF(IF('Model inputs'!B463="",0,1)="",0,IF('Model inputs'!B463="",0,1)),IF(IF('Model inputs'!B464="",0,1)="",0,IF('Model inputs'!B464="",0,1)),IF(IF('Model inputs'!B465="",0,1)="",0,IF('Model inputs'!B465="",0,1)),IF(IF('Model inputs'!B466="",0,1)="",0,IF('Model inputs'!B466="",0,1)),IF(IF('Model inputs'!B467="",0,1)="",0,IF('Model inputs'!B467="",0,1)),IF(IF('Model inputs'!B468="",0,1)="",0,IF('Model inputs'!B468="",0,1)),IF(IF('Model inputs'!B469="",0,1)="",0,IF('Model inputs'!B469="",0,1)),IF(IF('Model inputs'!B470="",0,1)="",0,IF('Model inputs'!B470="",0,1)),IF(IF('Model inputs'!B471="",0,1)="",0,IF('Model inputs'!B471="",0,1)),IF(IF('Model inputs'!B472="",0,1)="",0,IF('Model inputs'!B472="",0,1)),IF(IF('Model inputs'!B473="",0,1)="",0,IF('Model inputs'!B473="",0,1)),IF(IF('Model inputs'!B474="",0,1)="",0,IF('Model inputs'!B474="",0,1)),IF(IF('Model inputs'!B475="",0,1)="",0,IF('Model inputs'!B475="",0,1)))</f>
      </c>
    </row>
    <row r="477">
      <c r="A477" t="inlineStr" s="25">
        <is>
          <t xml:space="preserve">Calculation</t>
        </is>
      </c>
      <c r="B477" s="7">
        <f>SUM(IF(IF(IF(AND('POA — Three year summary'!B7&lt;=DATE(2026,10,1),DATE(2026,10,1)&lt;='POA — Three year summary'!C7)="",FALSE,AND('POA — Three year summary'!B7&lt;=DATE(2026,10,1),DATE(2026,10,1)&lt;='POA — Three year summary'!C7)),'POA — Monthly financial forecas'!B18,"")="",0,IF(IF(AND('POA — Three year summary'!B7&lt;=DATE(2026,10,1),DATE(2026,10,1)&lt;='POA — Three year summary'!C7)="",FALSE,AND('POA — Three year summary'!B7&lt;=DATE(2026,10,1),DATE(2026,10,1)&lt;='POA — Three year summary'!C7)),'POA — Monthly financial forecas'!B18,"")),IF(IF(IF(AND('POA — Three year summary'!B7&lt;=DATE(2026,11,1),DATE(2026,11,1)&lt;='POA — Three year summary'!C7)="",FALSE,AND('POA — Three year summary'!B7&lt;=DATE(2026,11,1),DATE(2026,11,1)&lt;='POA — Three year summary'!C7)),'POA — Monthly financial forecas'!C18,"")="",0,IF(IF(AND('POA — Three year summary'!B7&lt;=DATE(2026,11,1),DATE(2026,11,1)&lt;='POA — Three year summary'!C7)="",FALSE,AND('POA — Three year summary'!B7&lt;=DATE(2026,11,1),DATE(2026,11,1)&lt;='POA — Three year summary'!C7)),'POA — Monthly financial forecas'!C18,"")),IF(IF(IF(AND('POA — Three year summary'!B7&lt;=DATE(2026,12,1),DATE(2026,12,1)&lt;='POA — Three year summary'!C7)="",FALSE,AND('POA — Three year summary'!B7&lt;=DATE(2026,12,1),DATE(2026,12,1)&lt;='POA — Three year summary'!C7)),'POA — Monthly financial forecas'!D18,"")="",0,IF(IF(AND('POA — Three year summary'!B7&lt;=DATE(2026,12,1),DATE(2026,12,1)&lt;='POA — Three year summary'!C7)="",FALSE,AND('POA — Three year summary'!B7&lt;=DATE(2026,12,1),DATE(2026,12,1)&lt;='POA — Three year summary'!C7)),'POA — Monthly financial forecas'!D18,"")),IF(IF(IF(AND('POA — Three year summary'!B7&lt;=DATE(2027,1,1),DATE(2027,1,1)&lt;='POA — Three year summary'!C7)="",FALSE,AND('POA — Three year summary'!B7&lt;=DATE(2027,1,1),DATE(2027,1,1)&lt;='POA — Three year summary'!C7)),'POA — Monthly financial forecas'!E18,"")="",0,IF(IF(AND('POA — Three year summary'!B7&lt;=DATE(2027,1,1),DATE(2027,1,1)&lt;='POA — Three year summary'!C7)="",FALSE,AND('POA — Three year summary'!B7&lt;=DATE(2027,1,1),DATE(2027,1,1)&lt;='POA — Three year summary'!C7)),'POA — Monthly financial forecas'!E18,"")),IF(IF(IF(AND('POA — Three year summary'!B7&lt;=DATE(2027,2,1),DATE(2027,2,1)&lt;='POA — Three year summary'!C7)="",FALSE,AND('POA — Three year summary'!B7&lt;=DATE(2027,2,1),DATE(2027,2,1)&lt;='POA — Three year summary'!C7)),'POA — Monthly financial forecas'!F18,"")="",0,IF(IF(AND('POA — Three year summary'!B7&lt;=DATE(2027,2,1),DATE(2027,2,1)&lt;='POA — Three year summary'!C7)="",FALSE,AND('POA — Three year summary'!B7&lt;=DATE(2027,2,1),DATE(2027,2,1)&lt;='POA — Three year summary'!C7)),'POA — Monthly financial forecas'!F18,"")),IF(IF(IF(AND('POA — Three year summary'!B7&lt;=DATE(2027,3,1),DATE(2027,3,1)&lt;='POA — Three year summary'!C7)="",FALSE,AND('POA — Three year summary'!B7&lt;=DATE(2027,3,1),DATE(2027,3,1)&lt;='POA — Three year summary'!C7)),'POA — Monthly financial forecas'!G18,"")="",0,IF(IF(AND('POA — Three year summary'!B7&lt;=DATE(2027,3,1),DATE(2027,3,1)&lt;='POA — Three year summary'!C7)="",FALSE,AND('POA — Three year summary'!B7&lt;=DATE(2027,3,1),DATE(2027,3,1)&lt;='POA — Three year summary'!C7)),'POA — Monthly financial forecas'!G18,"")),IF(IF(IF(AND('POA — Three year summary'!B7&lt;=DATE(2027,4,1),DATE(2027,4,1)&lt;='POA — Three year summary'!C7)="",FALSE,AND('POA — Three year summary'!B7&lt;=DATE(2027,4,1),DATE(2027,4,1)&lt;='POA — Three year summary'!C7)),'POA — Monthly financial forecas'!H18,"")="",0,IF(IF(AND('POA — Three year summary'!B7&lt;=DATE(2027,4,1),DATE(2027,4,1)&lt;='POA — Three year summary'!C7)="",FALSE,AND('POA — Three year summary'!B7&lt;=DATE(2027,4,1),DATE(2027,4,1)&lt;='POA — Three year summary'!C7)),'POA — Monthly financial forecas'!H18,"")),IF(IF(IF(AND('POA — Three year summary'!B7&lt;=DATE(2027,5,1),DATE(2027,5,1)&lt;='POA — Three year summary'!C7)="",FALSE,AND('POA — Three year summary'!B7&lt;=DATE(2027,5,1),DATE(2027,5,1)&lt;='POA — Three year summary'!C7)),'POA — Monthly financial forecas'!I18,"")="",0,IF(IF(AND('POA — Three year summary'!B7&lt;=DATE(2027,5,1),DATE(2027,5,1)&lt;='POA — Three year summary'!C7)="",FALSE,AND('POA — Three year summary'!B7&lt;=DATE(2027,5,1),DATE(2027,5,1)&lt;='POA — Three year summary'!C7)),'POA — Monthly financial forecas'!I18,"")),IF(IF(IF(AND('POA — Three year summary'!B7&lt;=DATE(2027,6,1),DATE(2027,6,1)&lt;='POA — Three year summary'!C7)="",FALSE,AND('POA — Three year summary'!B7&lt;=DATE(2027,6,1),DATE(2027,6,1)&lt;='POA — Three year summary'!C7)),'POA — Monthly financial forecas'!J18,"")="",0,IF(IF(AND('POA — Three year summary'!B7&lt;=DATE(2027,6,1),DATE(2027,6,1)&lt;='POA — Three year summary'!C7)="",FALSE,AND('POA — Three year summary'!B7&lt;=DATE(2027,6,1),DATE(2027,6,1)&lt;='POA — Three year summary'!C7)),'POA — Monthly financial forecas'!J18,"")),IF(IF(IF(AND('POA — Three year summary'!B7&lt;=DATE(2027,7,1),DATE(2027,7,1)&lt;='POA — Three year summary'!C7)="",FALSE,AND('POA — Three year summary'!B7&lt;=DATE(2027,7,1),DATE(2027,7,1)&lt;='POA — Three year summary'!C7)),'POA — Monthly financial forecas'!K18,"")="",0,IF(IF(AND('POA — Three year summary'!B7&lt;=DATE(2027,7,1),DATE(2027,7,1)&lt;='POA — Three year summary'!C7)="",FALSE,AND('POA — Three year summary'!B7&lt;=DATE(2027,7,1),DATE(2027,7,1)&lt;='POA — Three year summary'!C7)),'POA — Monthly financial forecas'!K18,"")),IF(IF(IF(AND('POA — Three year summary'!B7&lt;=DATE(2027,8,1),DATE(2027,8,1)&lt;='POA — Three year summary'!C7)="",FALSE,AND('POA — Three year summary'!B7&lt;=DATE(2027,8,1),DATE(2027,8,1)&lt;='POA — Three year summary'!C7)),'POA — Monthly financial forecas'!L18,"")="",0,IF(IF(AND('POA — Three year summary'!B7&lt;=DATE(2027,8,1),DATE(2027,8,1)&lt;='POA — Three year summary'!C7)="",FALSE,AND('POA — Three year summary'!B7&lt;=DATE(2027,8,1),DATE(2027,8,1)&lt;='POA — Three year summary'!C7)),'POA — Monthly financial forecas'!L18,"")),IF(IF(IF(AND('POA — Three year summary'!B7&lt;=DATE(2027,9,1),DATE(2027,9,1)&lt;='POA — Three year summary'!C7)="",FALSE,AND('POA — Three year summary'!B7&lt;=DATE(2027,9,1),DATE(2027,9,1)&lt;='POA — Three year summary'!C7)),'POA — Monthly financial forecas'!M18,"")="",0,IF(IF(AND('POA — Three year summary'!B7&lt;=DATE(2027,9,1),DATE(2027,9,1)&lt;='POA — Three year summary'!C7)="",FALSE,AND('POA — Three year summary'!B7&lt;=DATE(2027,9,1),DATE(2027,9,1)&lt;='POA — Three year summary'!C7)),'POA — Monthly financial forecas'!M18,"")),IF(IF(IF(AND('POA — Three year summary'!B7&lt;=DATE(2027,10,1),DATE(2027,10,1)&lt;='POA — Three year summary'!C7)="",FALSE,AND('POA — Three year summary'!B7&lt;=DATE(2027,10,1),DATE(2027,10,1)&lt;='POA — Three year summary'!C7)),'POA — Monthly financial forecas'!N18,"")="",0,IF(IF(AND('POA — Three year summary'!B7&lt;=DATE(2027,10,1),DATE(2027,10,1)&lt;='POA — Three year summary'!C7)="",FALSE,AND('POA — Three year summary'!B7&lt;=DATE(2027,10,1),DATE(2027,10,1)&lt;='POA — Three year summary'!C7)),'POA — Monthly financial forecas'!N18,"")),IF(IF(IF(AND('POA — Three year summary'!B7&lt;=DATE(2027,11,1),DATE(2027,11,1)&lt;='POA — Three year summary'!C7)="",FALSE,AND('POA — Three year summary'!B7&lt;=DATE(2027,11,1),DATE(2027,11,1)&lt;='POA — Three year summary'!C7)),'POA — Monthly financial forecas'!O18,"")="",0,IF(IF(AND('POA — Three year summary'!B7&lt;=DATE(2027,11,1),DATE(2027,11,1)&lt;='POA — Three year summary'!C7)="",FALSE,AND('POA — Three year summary'!B7&lt;=DATE(2027,11,1),DATE(2027,11,1)&lt;='POA — Three year summary'!C7)),'POA — Monthly financial forecas'!O18,"")),IF(IF(IF(AND('POA — Three year summary'!B7&lt;=DATE(2027,12,1),DATE(2027,12,1)&lt;='POA — Three year summary'!C7)="",FALSE,AND('POA — Three year summary'!B7&lt;=DATE(2027,12,1),DATE(2027,12,1)&lt;='POA — Three year summary'!C7)),'POA — Monthly financial forecas'!P18,"")="",0,IF(IF(AND('POA — Three year summary'!B7&lt;=DATE(2027,12,1),DATE(2027,12,1)&lt;='POA — Three year summary'!C7)="",FALSE,AND('POA — Three year summary'!B7&lt;=DATE(2027,12,1),DATE(2027,12,1)&lt;='POA — Three year summary'!C7)),'POA — Monthly financial forecas'!P18,"")))</f>
      </c>
    </row>
    <row r="478">
      <c r="A478" t="inlineStr" s="25">
        <is>
          <t xml:space="preserve">Calculation</t>
        </is>
      </c>
      <c r="B478" s="7">
        <f>SUM(IF(IF(IF(AND('POA — Three year summary'!B7&lt;=DATE(2028,1,1),DATE(2028,1,1)&lt;='POA — Three year summary'!C7)="",FALSE,AND('POA — Three year summary'!B7&lt;=DATE(2028,1,1),DATE(2028,1,1)&lt;='POA — Three year summary'!C7)),'POA — Monthly financial forecas'!Q18,"")="",0,IF(IF(AND('POA — Three year summary'!B7&lt;=DATE(2028,1,1),DATE(2028,1,1)&lt;='POA — Three year summary'!C7)="",FALSE,AND('POA — Three year summary'!B7&lt;=DATE(2028,1,1),DATE(2028,1,1)&lt;='POA — Three year summary'!C7)),'POA — Monthly financial forecas'!Q18,"")),IF(IF(IF(AND('POA — Three year summary'!B7&lt;=DATE(2028,2,1),DATE(2028,2,1)&lt;='POA — Three year summary'!C7)="",FALSE,AND('POA — Three year summary'!B7&lt;=DATE(2028,2,1),DATE(2028,2,1)&lt;='POA — Three year summary'!C7)),'POA — Monthly financial forecas'!R18,"")="",0,IF(IF(AND('POA — Three year summary'!B7&lt;=DATE(2028,2,1),DATE(2028,2,1)&lt;='POA — Three year summary'!C7)="",FALSE,AND('POA — Three year summary'!B7&lt;=DATE(2028,2,1),DATE(2028,2,1)&lt;='POA — Three year summary'!C7)),'POA — Monthly financial forecas'!R18,"")),IF(IF(IF(AND('POA — Three year summary'!B7&lt;=DATE(2028,3,1),DATE(2028,3,1)&lt;='POA — Three year summary'!C7)="",FALSE,AND('POA — Three year summary'!B7&lt;=DATE(2028,3,1),DATE(2028,3,1)&lt;='POA — Three year summary'!C7)),'POA — Monthly financial forecas'!S18,"")="",0,IF(IF(AND('POA — Three year summary'!B7&lt;=DATE(2028,3,1),DATE(2028,3,1)&lt;='POA — Three year summary'!C7)="",FALSE,AND('POA — Three year summary'!B7&lt;=DATE(2028,3,1),DATE(2028,3,1)&lt;='POA — Three year summary'!C7)),'POA — Monthly financial forecas'!S18,"")),IF(IF(IF(AND('POA — Three year summary'!B7&lt;=DATE(2028,4,1),DATE(2028,4,1)&lt;='POA — Three year summary'!C7)="",FALSE,AND('POA — Three year summary'!B7&lt;=DATE(2028,4,1),DATE(2028,4,1)&lt;='POA — Three year summary'!C7)),'POA — Monthly financial forecas'!T18,"")="",0,IF(IF(AND('POA — Three year summary'!B7&lt;=DATE(2028,4,1),DATE(2028,4,1)&lt;='POA — Three year summary'!C7)="",FALSE,AND('POA — Three year summary'!B7&lt;=DATE(2028,4,1),DATE(2028,4,1)&lt;='POA — Three year summary'!C7)),'POA — Monthly financial forecas'!T18,"")),IF(IF(IF(AND('POA — Three year summary'!B7&lt;=DATE(2028,5,1),DATE(2028,5,1)&lt;='POA — Three year summary'!C7)="",FALSE,AND('POA — Three year summary'!B7&lt;=DATE(2028,5,1),DATE(2028,5,1)&lt;='POA — Three year summary'!C7)),'POA — Monthly financial forecas'!U18,"")="",0,IF(IF(AND('POA — Three year summary'!B7&lt;=DATE(2028,5,1),DATE(2028,5,1)&lt;='POA — Three year summary'!C7)="",FALSE,AND('POA — Three year summary'!B7&lt;=DATE(2028,5,1),DATE(2028,5,1)&lt;='POA — Three year summary'!C7)),'POA — Monthly financial forecas'!U18,"")),IF(IF(IF(AND('POA — Three year summary'!B7&lt;=DATE(2028,6,1),DATE(2028,6,1)&lt;='POA — Three year summary'!C7)="",FALSE,AND('POA — Three year summary'!B7&lt;=DATE(2028,6,1),DATE(2028,6,1)&lt;='POA — Three year summary'!C7)),'POA — Monthly financial forecas'!V18,"")="",0,IF(IF(AND('POA — Three year summary'!B7&lt;=DATE(2028,6,1),DATE(2028,6,1)&lt;='POA — Three year summary'!C7)="",FALSE,AND('POA — Three year summary'!B7&lt;=DATE(2028,6,1),DATE(2028,6,1)&lt;='POA — Three year summary'!C7)),'POA — Monthly financial forecas'!V18,"")),IF(IF(IF(AND('POA — Three year summary'!B7&lt;=DATE(2028,7,1),DATE(2028,7,1)&lt;='POA — Three year summary'!C7)="",FALSE,AND('POA — Three year summary'!B7&lt;=DATE(2028,7,1),DATE(2028,7,1)&lt;='POA — Three year summary'!C7)),'POA — Monthly financial forecas'!W18,"")="",0,IF(IF(AND('POA — Three year summary'!B7&lt;=DATE(2028,7,1),DATE(2028,7,1)&lt;='POA — Three year summary'!C7)="",FALSE,AND('POA — Three year summary'!B7&lt;=DATE(2028,7,1),DATE(2028,7,1)&lt;='POA — Three year summary'!C7)),'POA — Monthly financial forecas'!W18,"")),IF(IF(IF(AND('POA — Three year summary'!B7&lt;=DATE(2028,8,1),DATE(2028,8,1)&lt;='POA — Three year summary'!C7)="",FALSE,AND('POA — Three year summary'!B7&lt;=DATE(2028,8,1),DATE(2028,8,1)&lt;='POA — Three year summary'!C7)),'POA — Monthly financial forecas'!X18,"")="",0,IF(IF(AND('POA — Three year summary'!B7&lt;=DATE(2028,8,1),DATE(2028,8,1)&lt;='POA — Three year summary'!C7)="",FALSE,AND('POA — Three year summary'!B7&lt;=DATE(2028,8,1),DATE(2028,8,1)&lt;='POA — Three year summary'!C7)),'POA — Monthly financial forecas'!X18,"")),IF(IF(IF(AND('POA — Three year summary'!B7&lt;=DATE(2028,9,1),DATE(2028,9,1)&lt;='POA — Three year summary'!C7)="",FALSE,AND('POA — Three year summary'!B7&lt;=DATE(2028,9,1),DATE(2028,9,1)&lt;='POA — Three year summary'!C7)),'POA — Monthly financial forecas'!Y18,"")="",0,IF(IF(AND('POA — Three year summary'!B7&lt;=DATE(2028,9,1),DATE(2028,9,1)&lt;='POA — Three year summary'!C7)="",FALSE,AND('POA — Three year summary'!B7&lt;=DATE(2028,9,1),DATE(2028,9,1)&lt;='POA — Three year summary'!C7)),'POA — Monthly financial forecas'!Y18,"")),IF(IF(IF(AND('POA — Three year summary'!B7&lt;=DATE(2028,10,1),DATE(2028,10,1)&lt;='POA — Three year summary'!C7)="",FALSE,AND('POA — Three year summary'!B7&lt;=DATE(2028,10,1),DATE(2028,10,1)&lt;='POA — Three year summary'!C7)),'POA — Monthly financial forecas'!Z18,"")="",0,IF(IF(AND('POA — Three year summary'!B7&lt;=DATE(2028,10,1),DATE(2028,10,1)&lt;='POA — Three year summary'!C7)="",FALSE,AND('POA — Three year summary'!B7&lt;=DATE(2028,10,1),DATE(2028,10,1)&lt;='POA — Three year summary'!C7)),'POA — Monthly financial forecas'!Z18,"")),IF(IF(IF(AND('POA — Three year summary'!B7&lt;=DATE(2028,11,1),DATE(2028,11,1)&lt;='POA — Three year summary'!C7)="",FALSE,AND('POA — Three year summary'!B7&lt;=DATE(2028,11,1),DATE(2028,11,1)&lt;='POA — Three year summary'!C7)),'POA — Monthly financial forecas'!AA18,"")="",0,IF(IF(AND('POA — Three year summary'!B7&lt;=DATE(2028,11,1),DATE(2028,11,1)&lt;='POA — Three year summary'!C7)="",FALSE,AND('POA — Three year summary'!B7&lt;=DATE(2028,11,1),DATE(2028,11,1)&lt;='POA — Three year summary'!C7)),'POA — Monthly financial forecas'!AA18,"")),IF(IF(IF(AND('POA — Three year summary'!B7&lt;=DATE(2028,12,1),DATE(2028,12,1)&lt;='POA — Three year summary'!C7)="",FALSE,AND('POA — Three year summary'!B7&lt;=DATE(2028,12,1),DATE(2028,12,1)&lt;='POA — Three year summary'!C7)),'POA — Monthly financial forecas'!AB18,"")="",0,IF(IF(AND('POA — Three year summary'!B7&lt;=DATE(2028,12,1),DATE(2028,12,1)&lt;='POA — Three year summary'!C7)="",FALSE,AND('POA — Three year summary'!B7&lt;=DATE(2028,12,1),DATE(2028,12,1)&lt;='POA — Three year summary'!C7)),'POA — Monthly financial forecas'!AB18,"")),IF(IF(IF(AND('POA — Three year summary'!B7&lt;=DATE(2029,1,1),DATE(2029,1,1)&lt;='POA — Three year summary'!C7)="",FALSE,AND('POA — Three year summary'!B7&lt;=DATE(2029,1,1),DATE(2029,1,1)&lt;='POA — Three year summary'!C7)),'POA — Monthly financial forecas'!AC18,"")="",0,IF(IF(AND('POA — Three year summary'!B7&lt;=DATE(2029,1,1),DATE(2029,1,1)&lt;='POA — Three year summary'!C7)="",FALSE,AND('POA — Three year summary'!B7&lt;=DATE(2029,1,1),DATE(2029,1,1)&lt;='POA — Three year summary'!C7)),'POA — Monthly financial forecas'!AC18,"")),IF(IF(IF(AND('POA — Three year summary'!B7&lt;=DATE(2029,2,1),DATE(2029,2,1)&lt;='POA — Three year summary'!C7)="",FALSE,AND('POA — Three year summary'!B7&lt;=DATE(2029,2,1),DATE(2029,2,1)&lt;='POA — Three year summary'!C7)),'POA — Monthly financial forecas'!AD18,"")="",0,IF(IF(AND('POA — Three year summary'!B7&lt;=DATE(2029,2,1),DATE(2029,2,1)&lt;='POA — Three year summary'!C7)="",FALSE,AND('POA — Three year summary'!B7&lt;=DATE(2029,2,1),DATE(2029,2,1)&lt;='POA — Three year summary'!C7)),'POA — Monthly financial forecas'!AD18,"")),IF(IF(IF(AND('POA — Three year summary'!B7&lt;=DATE(2029,3,1),DATE(2029,3,1)&lt;='POA — Three year summary'!C7)="",FALSE,AND('POA — Three year summary'!B7&lt;=DATE(2029,3,1),DATE(2029,3,1)&lt;='POA — Three year summary'!C7)),'POA — Monthly financial forecas'!AE18,"")="",0,IF(IF(AND('POA — Three year summary'!B7&lt;=DATE(2029,3,1),DATE(2029,3,1)&lt;='POA — Three year summary'!C7)="",FALSE,AND('POA — Three year summary'!B7&lt;=DATE(2029,3,1),DATE(2029,3,1)&lt;='POA — Three year summary'!C7)),'POA — Monthly financial forecas'!AE18,"")))</f>
      </c>
    </row>
    <row r="479">
      <c r="A479" t="inlineStr" s="25">
        <is>
          <t xml:space="preserve">Calculation</t>
        </is>
      </c>
      <c r="B479" s="7">
        <f>SUM(IF(IF(IF(AND('POA — Three year summary'!B7&lt;=DATE(2029,4,1),DATE(2029,4,1)&lt;='POA — Three year summary'!C7)="",FALSE,AND('POA — Three year summary'!B7&lt;=DATE(2029,4,1),DATE(2029,4,1)&lt;='POA — Three year summary'!C7)),'POA — Monthly financial forecas'!AF18,"")="",0,IF(IF(AND('POA — Three year summary'!B7&lt;=DATE(2029,4,1),DATE(2029,4,1)&lt;='POA — Three year summary'!C7)="",FALSE,AND('POA — Three year summary'!B7&lt;=DATE(2029,4,1),DATE(2029,4,1)&lt;='POA — Three year summary'!C7)),'POA — Monthly financial forecas'!AF18,"")),IF(IF(IF(AND('POA — Three year summary'!B7&lt;=DATE(2029,5,1),DATE(2029,5,1)&lt;='POA — Three year summary'!C7)="",FALSE,AND('POA — Three year summary'!B7&lt;=DATE(2029,5,1),DATE(2029,5,1)&lt;='POA — Three year summary'!C7)),'POA — Monthly financial forecas'!AG18,"")="",0,IF(IF(AND('POA — Three year summary'!B7&lt;=DATE(2029,5,1),DATE(2029,5,1)&lt;='POA — Three year summary'!C7)="",FALSE,AND('POA — Three year summary'!B7&lt;=DATE(2029,5,1),DATE(2029,5,1)&lt;='POA — Three year summary'!C7)),'POA — Monthly financial forecas'!AG18,"")),IF(IF(IF(AND('POA — Three year summary'!B7&lt;=DATE(2029,6,1),DATE(2029,6,1)&lt;='POA — Three year summary'!C7)="",FALSE,AND('POA — Three year summary'!B7&lt;=DATE(2029,6,1),DATE(2029,6,1)&lt;='POA — Three year summary'!C7)),'POA — Monthly financial forecas'!AH18,"")="",0,IF(IF(AND('POA — Three year summary'!B7&lt;=DATE(2029,6,1),DATE(2029,6,1)&lt;='POA — Three year summary'!C7)="",FALSE,AND('POA — Three year summary'!B7&lt;=DATE(2029,6,1),DATE(2029,6,1)&lt;='POA — Three year summary'!C7)),'POA — Monthly financial forecas'!AH18,"")),IF(IF(IF(AND('POA — Three year summary'!B7&lt;=DATE(2029,7,1),DATE(2029,7,1)&lt;='POA — Three year summary'!C7)="",FALSE,AND('POA — Three year summary'!B7&lt;=DATE(2029,7,1),DATE(2029,7,1)&lt;='POA — Three year summary'!C7)),'POA — Monthly financial forecas'!AI18,"")="",0,IF(IF(AND('POA — Three year summary'!B7&lt;=DATE(2029,7,1),DATE(2029,7,1)&lt;='POA — Three year summary'!C7)="",FALSE,AND('POA — Three year summary'!B7&lt;=DATE(2029,7,1),DATE(2029,7,1)&lt;='POA — Three year summary'!C7)),'POA — Monthly financial forecas'!AI18,"")),IF(IF(IF(AND('POA — Three year summary'!B7&lt;=DATE(2029,8,1),DATE(2029,8,1)&lt;='POA — Three year summary'!C7)="",FALSE,AND('POA — Three year summary'!B7&lt;=DATE(2029,8,1),DATE(2029,8,1)&lt;='POA — Three year summary'!C7)),'POA — Monthly financial forecas'!AJ18,"")="",0,IF(IF(AND('POA — Three year summary'!B7&lt;=DATE(2029,8,1),DATE(2029,8,1)&lt;='POA — Three year summary'!C7)="",FALSE,AND('POA — Three year summary'!B7&lt;=DATE(2029,8,1),DATE(2029,8,1)&lt;='POA — Three year summary'!C7)),'POA — Monthly financial forecas'!AJ18,"")),IF(IF(IF(AND('POA — Three year summary'!B7&lt;=DATE(2029,9,1),DATE(2029,9,1)&lt;='POA — Three year summary'!C7)="",FALSE,AND('POA — Three year summary'!B7&lt;=DATE(2029,9,1),DATE(2029,9,1)&lt;='POA — Three year summary'!C7)),'POA — Monthly financial forecas'!AK18,"")="",0,IF(IF(AND('POA — Three year summary'!B7&lt;=DATE(2029,9,1),DATE(2029,9,1)&lt;='POA — Three year summary'!C7)="",FALSE,AND('POA — Three year summary'!B7&lt;=DATE(2029,9,1),DATE(2029,9,1)&lt;='POA — Three year summary'!C7)),'POA — Monthly financial forecas'!AK18,"")),IF(IF(IF(AND('POA — Three year summary'!B7&lt;=DATE(2026,9,1),DATE(2026,9,1)&lt;='POA — Three year summary'!C7)="",FALSE,AND('POA — Three year summary'!B7&lt;=DATE(2026,9,1),DATE(2026,9,1)&lt;='POA — Three year summary'!C7)),'Model inputs'!B79,"")="",0,IF(IF(AND('POA — Three year summary'!B7&lt;=DATE(2026,9,1),DATE(2026,9,1)&lt;='POA — Three year summary'!C7)="",FALSE,AND('POA — Three year summary'!B7&lt;=DATE(2026,9,1),DATE(2026,9,1)&lt;='POA — Three year summary'!C7)),'Model inputs'!B79,"")))</f>
      </c>
    </row>
    <row r="480">
      <c r="A480" t="inlineStr" s="25">
        <is>
          <t xml:space="preserve">Calculation</t>
        </is>
      </c>
      <c r="B480" s="7">
        <f>SUM(IF(IF(IF(AND('POA — Three year summary'!B7&lt;=DATE(2026,10,1),DATE(2026,10,1)&lt;='POA — Three year summary'!C7)="",FALSE,AND('POA — Three year summary'!B7&lt;=DATE(2026,10,1),DATE(2026,10,1)&lt;='POA — Three year summary'!C7)),'POA — Monthly financial forecas'!B22,"")="",0,IF(IF(AND('POA — Three year summary'!B7&lt;=DATE(2026,10,1),DATE(2026,10,1)&lt;='POA — Three year summary'!C7)="",FALSE,AND('POA — Three year summary'!B7&lt;=DATE(2026,10,1),DATE(2026,10,1)&lt;='POA — Three year summary'!C7)),'POA — Monthly financial forecas'!B22,"")),IF(IF(IF(AND('POA — Three year summary'!B7&lt;=DATE(2026,11,1),DATE(2026,11,1)&lt;='POA — Three year summary'!C7)="",FALSE,AND('POA — Three year summary'!B7&lt;=DATE(2026,11,1),DATE(2026,11,1)&lt;='POA — Three year summary'!C7)),'POA — Monthly financial forecas'!C22,"")="",0,IF(IF(AND('POA — Three year summary'!B7&lt;=DATE(2026,11,1),DATE(2026,11,1)&lt;='POA — Three year summary'!C7)="",FALSE,AND('POA — Three year summary'!B7&lt;=DATE(2026,11,1),DATE(2026,11,1)&lt;='POA — Three year summary'!C7)),'POA — Monthly financial forecas'!C22,"")),IF(IF(IF(AND('POA — Three year summary'!B7&lt;=DATE(2026,12,1),DATE(2026,12,1)&lt;='POA — Three year summary'!C7)="",FALSE,AND('POA — Three year summary'!B7&lt;=DATE(2026,12,1),DATE(2026,12,1)&lt;='POA — Three year summary'!C7)),'POA — Monthly financial forecas'!D22,"")="",0,IF(IF(AND('POA — Three year summary'!B7&lt;=DATE(2026,12,1),DATE(2026,12,1)&lt;='POA — Three year summary'!C7)="",FALSE,AND('POA — Three year summary'!B7&lt;=DATE(2026,12,1),DATE(2026,12,1)&lt;='POA — Three year summary'!C7)),'POA — Monthly financial forecas'!D22,"")),IF(IF(IF(AND('POA — Three year summary'!B7&lt;=DATE(2027,1,1),DATE(2027,1,1)&lt;='POA — Three year summary'!C7)="",FALSE,AND('POA — Three year summary'!B7&lt;=DATE(2027,1,1),DATE(2027,1,1)&lt;='POA — Three year summary'!C7)),'POA — Monthly financial forecas'!E22,"")="",0,IF(IF(AND('POA — Three year summary'!B7&lt;=DATE(2027,1,1),DATE(2027,1,1)&lt;='POA — Three year summary'!C7)="",FALSE,AND('POA — Three year summary'!B7&lt;=DATE(2027,1,1),DATE(2027,1,1)&lt;='POA — Three year summary'!C7)),'POA — Monthly financial forecas'!E22,"")),IF(IF(IF(AND('POA — Three year summary'!B7&lt;=DATE(2027,2,1),DATE(2027,2,1)&lt;='POA — Three year summary'!C7)="",FALSE,AND('POA — Three year summary'!B7&lt;=DATE(2027,2,1),DATE(2027,2,1)&lt;='POA — Three year summary'!C7)),'POA — Monthly financial forecas'!F22,"")="",0,IF(IF(AND('POA — Three year summary'!B7&lt;=DATE(2027,2,1),DATE(2027,2,1)&lt;='POA — Three year summary'!C7)="",FALSE,AND('POA — Three year summary'!B7&lt;=DATE(2027,2,1),DATE(2027,2,1)&lt;='POA — Three year summary'!C7)),'POA — Monthly financial forecas'!F22,"")),IF(IF(IF(AND('POA — Three year summary'!B7&lt;=DATE(2027,3,1),DATE(2027,3,1)&lt;='POA — Three year summary'!C7)="",FALSE,AND('POA — Three year summary'!B7&lt;=DATE(2027,3,1),DATE(2027,3,1)&lt;='POA — Three year summary'!C7)),'POA — Monthly financial forecas'!G22,"")="",0,IF(IF(AND('POA — Three year summary'!B7&lt;=DATE(2027,3,1),DATE(2027,3,1)&lt;='POA — Three year summary'!C7)="",FALSE,AND('POA — Three year summary'!B7&lt;=DATE(2027,3,1),DATE(2027,3,1)&lt;='POA — Three year summary'!C7)),'POA — Monthly financial forecas'!G22,"")),IF(IF(IF(AND('POA — Three year summary'!B7&lt;=DATE(2027,4,1),DATE(2027,4,1)&lt;='POA — Three year summary'!C7)="",FALSE,AND('POA — Three year summary'!B7&lt;=DATE(2027,4,1),DATE(2027,4,1)&lt;='POA — Three year summary'!C7)),'POA — Monthly financial forecas'!H22,"")="",0,IF(IF(AND('POA — Three year summary'!B7&lt;=DATE(2027,4,1),DATE(2027,4,1)&lt;='POA — Three year summary'!C7)="",FALSE,AND('POA — Three year summary'!B7&lt;=DATE(2027,4,1),DATE(2027,4,1)&lt;='POA — Three year summary'!C7)),'POA — Monthly financial forecas'!H22,"")),IF(IF(IF(AND('POA — Three year summary'!B7&lt;=DATE(2027,5,1),DATE(2027,5,1)&lt;='POA — Three year summary'!C7)="",FALSE,AND('POA — Three year summary'!B7&lt;=DATE(2027,5,1),DATE(2027,5,1)&lt;='POA — Three year summary'!C7)),'POA — Monthly financial forecas'!I22,"")="",0,IF(IF(AND('POA — Three year summary'!B7&lt;=DATE(2027,5,1),DATE(2027,5,1)&lt;='POA — Three year summary'!C7)="",FALSE,AND('POA — Three year summary'!B7&lt;=DATE(2027,5,1),DATE(2027,5,1)&lt;='POA — Three year summary'!C7)),'POA — Monthly financial forecas'!I22,"")),IF(IF(IF(AND('POA — Three year summary'!B7&lt;=DATE(2027,6,1),DATE(2027,6,1)&lt;='POA — Three year summary'!C7)="",FALSE,AND('POA — Three year summary'!B7&lt;=DATE(2027,6,1),DATE(2027,6,1)&lt;='POA — Three year summary'!C7)),'POA — Monthly financial forecas'!J22,"")="",0,IF(IF(AND('POA — Three year summary'!B7&lt;=DATE(2027,6,1),DATE(2027,6,1)&lt;='POA — Three year summary'!C7)="",FALSE,AND('POA — Three year summary'!B7&lt;=DATE(2027,6,1),DATE(2027,6,1)&lt;='POA — Three year summary'!C7)),'POA — Monthly financial forecas'!J22,"")),IF(IF(IF(AND('POA — Three year summary'!B7&lt;=DATE(2027,7,1),DATE(2027,7,1)&lt;='POA — Three year summary'!C7)="",FALSE,AND('POA — Three year summary'!B7&lt;=DATE(2027,7,1),DATE(2027,7,1)&lt;='POA — Three year summary'!C7)),'POA — Monthly financial forecas'!K22,"")="",0,IF(IF(AND('POA — Three year summary'!B7&lt;=DATE(2027,7,1),DATE(2027,7,1)&lt;='POA — Three year summary'!C7)="",FALSE,AND('POA — Three year summary'!B7&lt;=DATE(2027,7,1),DATE(2027,7,1)&lt;='POA — Three year summary'!C7)),'POA — Monthly financial forecas'!K22,"")),IF(IF(IF(AND('POA — Three year summary'!B7&lt;=DATE(2027,8,1),DATE(2027,8,1)&lt;='POA — Three year summary'!C7)="",FALSE,AND('POA — Three year summary'!B7&lt;=DATE(2027,8,1),DATE(2027,8,1)&lt;='POA — Three year summary'!C7)),'POA — Monthly financial forecas'!L22,"")="",0,IF(IF(AND('POA — Three year summary'!B7&lt;=DATE(2027,8,1),DATE(2027,8,1)&lt;='POA — Three year summary'!C7)="",FALSE,AND('POA — Three year summary'!B7&lt;=DATE(2027,8,1),DATE(2027,8,1)&lt;='POA — Three year summary'!C7)),'POA — Monthly financial forecas'!L22,"")),IF(IF(IF(AND('POA — Three year summary'!B7&lt;=DATE(2027,9,1),DATE(2027,9,1)&lt;='POA — Three year summary'!C7)="",FALSE,AND('POA — Three year summary'!B7&lt;=DATE(2027,9,1),DATE(2027,9,1)&lt;='POA — Three year summary'!C7)),'POA — Monthly financial forecas'!M22,"")="",0,IF(IF(AND('POA — Three year summary'!B7&lt;=DATE(2027,9,1),DATE(2027,9,1)&lt;='POA — Three year summary'!C7)="",FALSE,AND('POA — Three year summary'!B7&lt;=DATE(2027,9,1),DATE(2027,9,1)&lt;='POA — Three year summary'!C7)),'POA — Monthly financial forecas'!M22,"")),IF(IF(IF(AND('POA — Three year summary'!B7&lt;=DATE(2027,10,1),DATE(2027,10,1)&lt;='POA — Three year summary'!C7)="",FALSE,AND('POA — Three year summary'!B7&lt;=DATE(2027,10,1),DATE(2027,10,1)&lt;='POA — Three year summary'!C7)),'POA — Monthly financial forecas'!N22,"")="",0,IF(IF(AND('POA — Three year summary'!B7&lt;=DATE(2027,10,1),DATE(2027,10,1)&lt;='POA — Three year summary'!C7)="",FALSE,AND('POA — Three year summary'!B7&lt;=DATE(2027,10,1),DATE(2027,10,1)&lt;='POA — Three year summary'!C7)),'POA — Monthly financial forecas'!N22,"")),IF(IF(IF(AND('POA — Three year summary'!B7&lt;=DATE(2027,11,1),DATE(2027,11,1)&lt;='POA — Three year summary'!C7)="",FALSE,AND('POA — Three year summary'!B7&lt;=DATE(2027,11,1),DATE(2027,11,1)&lt;='POA — Three year summary'!C7)),'POA — Monthly financial forecas'!O22,"")="",0,IF(IF(AND('POA — Three year summary'!B7&lt;=DATE(2027,11,1),DATE(2027,11,1)&lt;='POA — Three year summary'!C7)="",FALSE,AND('POA — Three year summary'!B7&lt;=DATE(2027,11,1),DATE(2027,11,1)&lt;='POA — Three year summary'!C7)),'POA — Monthly financial forecas'!O22,"")),IF(IF(IF(AND('POA — Three year summary'!B7&lt;=DATE(2027,12,1),DATE(2027,12,1)&lt;='POA — Three year summary'!C7)="",FALSE,AND('POA — Three year summary'!B7&lt;=DATE(2027,12,1),DATE(2027,12,1)&lt;='POA — Three year summary'!C7)),'POA — Monthly financial forecas'!P22,"")="",0,IF(IF(AND('POA — Three year summary'!B7&lt;=DATE(2027,12,1),DATE(2027,12,1)&lt;='POA — Three year summary'!C7)="",FALSE,AND('POA — Three year summary'!B7&lt;=DATE(2027,12,1),DATE(2027,12,1)&lt;='POA — Three year summary'!C7)),'POA — Monthly financial forecas'!P22,"")))</f>
      </c>
    </row>
    <row r="481">
      <c r="A481" t="inlineStr" s="25">
        <is>
          <t xml:space="preserve">Calculation</t>
        </is>
      </c>
      <c r="B481" s="7">
        <f>SUM(IF(IF(IF(AND('POA — Three year summary'!B7&lt;=DATE(2028,1,1),DATE(2028,1,1)&lt;='POA — Three year summary'!C7)="",FALSE,AND('POA — Three year summary'!B7&lt;=DATE(2028,1,1),DATE(2028,1,1)&lt;='POA — Three year summary'!C7)),'POA — Monthly financial forecas'!Q22,"")="",0,IF(IF(AND('POA — Three year summary'!B7&lt;=DATE(2028,1,1),DATE(2028,1,1)&lt;='POA — Three year summary'!C7)="",FALSE,AND('POA — Three year summary'!B7&lt;=DATE(2028,1,1),DATE(2028,1,1)&lt;='POA — Three year summary'!C7)),'POA — Monthly financial forecas'!Q22,"")),IF(IF(IF(AND('POA — Three year summary'!B7&lt;=DATE(2028,2,1),DATE(2028,2,1)&lt;='POA — Three year summary'!C7)="",FALSE,AND('POA — Three year summary'!B7&lt;=DATE(2028,2,1),DATE(2028,2,1)&lt;='POA — Three year summary'!C7)),'POA — Monthly financial forecas'!R22,"")="",0,IF(IF(AND('POA — Three year summary'!B7&lt;=DATE(2028,2,1),DATE(2028,2,1)&lt;='POA — Three year summary'!C7)="",FALSE,AND('POA — Three year summary'!B7&lt;=DATE(2028,2,1),DATE(2028,2,1)&lt;='POA — Three year summary'!C7)),'POA — Monthly financial forecas'!R22,"")),IF(IF(IF(AND('POA — Three year summary'!B7&lt;=DATE(2028,3,1),DATE(2028,3,1)&lt;='POA — Three year summary'!C7)="",FALSE,AND('POA — Three year summary'!B7&lt;=DATE(2028,3,1),DATE(2028,3,1)&lt;='POA — Three year summary'!C7)),'POA — Monthly financial forecas'!S22,"")="",0,IF(IF(AND('POA — Three year summary'!B7&lt;=DATE(2028,3,1),DATE(2028,3,1)&lt;='POA — Three year summary'!C7)="",FALSE,AND('POA — Three year summary'!B7&lt;=DATE(2028,3,1),DATE(2028,3,1)&lt;='POA — Three year summary'!C7)),'POA — Monthly financial forecas'!S22,"")),IF(IF(IF(AND('POA — Three year summary'!B7&lt;=DATE(2028,4,1),DATE(2028,4,1)&lt;='POA — Three year summary'!C7)="",FALSE,AND('POA — Three year summary'!B7&lt;=DATE(2028,4,1),DATE(2028,4,1)&lt;='POA — Three year summary'!C7)),'POA — Monthly financial forecas'!T22,"")="",0,IF(IF(AND('POA — Three year summary'!B7&lt;=DATE(2028,4,1),DATE(2028,4,1)&lt;='POA — Three year summary'!C7)="",FALSE,AND('POA — Three year summary'!B7&lt;=DATE(2028,4,1),DATE(2028,4,1)&lt;='POA — Three year summary'!C7)),'POA — Monthly financial forecas'!T22,"")),IF(IF(IF(AND('POA — Three year summary'!B7&lt;=DATE(2028,5,1),DATE(2028,5,1)&lt;='POA — Three year summary'!C7)="",FALSE,AND('POA — Three year summary'!B7&lt;=DATE(2028,5,1),DATE(2028,5,1)&lt;='POA — Three year summary'!C7)),'POA — Monthly financial forecas'!U22,"")="",0,IF(IF(AND('POA — Three year summary'!B7&lt;=DATE(2028,5,1),DATE(2028,5,1)&lt;='POA — Three year summary'!C7)="",FALSE,AND('POA — Three year summary'!B7&lt;=DATE(2028,5,1),DATE(2028,5,1)&lt;='POA — Three year summary'!C7)),'POA — Monthly financial forecas'!U22,"")),IF(IF(IF(AND('POA — Three year summary'!B7&lt;=DATE(2028,6,1),DATE(2028,6,1)&lt;='POA — Three year summary'!C7)="",FALSE,AND('POA — Three year summary'!B7&lt;=DATE(2028,6,1),DATE(2028,6,1)&lt;='POA — Three year summary'!C7)),'POA — Monthly financial forecas'!V22,"")="",0,IF(IF(AND('POA — Three year summary'!B7&lt;=DATE(2028,6,1),DATE(2028,6,1)&lt;='POA — Three year summary'!C7)="",FALSE,AND('POA — Three year summary'!B7&lt;=DATE(2028,6,1),DATE(2028,6,1)&lt;='POA — Three year summary'!C7)),'POA — Monthly financial forecas'!V22,"")),IF(IF(IF(AND('POA — Three year summary'!B7&lt;=DATE(2028,7,1),DATE(2028,7,1)&lt;='POA — Three year summary'!C7)="",FALSE,AND('POA — Three year summary'!B7&lt;=DATE(2028,7,1),DATE(2028,7,1)&lt;='POA — Three year summary'!C7)),'POA — Monthly financial forecas'!W22,"")="",0,IF(IF(AND('POA — Three year summary'!B7&lt;=DATE(2028,7,1),DATE(2028,7,1)&lt;='POA — Three year summary'!C7)="",FALSE,AND('POA — Three year summary'!B7&lt;=DATE(2028,7,1),DATE(2028,7,1)&lt;='POA — Three year summary'!C7)),'POA — Monthly financial forecas'!W22,"")),IF(IF(IF(AND('POA — Three year summary'!B7&lt;=DATE(2028,8,1),DATE(2028,8,1)&lt;='POA — Three year summary'!C7)="",FALSE,AND('POA — Three year summary'!B7&lt;=DATE(2028,8,1),DATE(2028,8,1)&lt;='POA — Three year summary'!C7)),'POA — Monthly financial forecas'!X22,"")="",0,IF(IF(AND('POA — Three year summary'!B7&lt;=DATE(2028,8,1),DATE(2028,8,1)&lt;='POA — Three year summary'!C7)="",FALSE,AND('POA — Three year summary'!B7&lt;=DATE(2028,8,1),DATE(2028,8,1)&lt;='POA — Three year summary'!C7)),'POA — Monthly financial forecas'!X22,"")),IF(IF(IF(AND('POA — Three year summary'!B7&lt;=DATE(2028,9,1),DATE(2028,9,1)&lt;='POA — Three year summary'!C7)="",FALSE,AND('POA — Three year summary'!B7&lt;=DATE(2028,9,1),DATE(2028,9,1)&lt;='POA — Three year summary'!C7)),'POA — Monthly financial forecas'!Y22,"")="",0,IF(IF(AND('POA — Three year summary'!B7&lt;=DATE(2028,9,1),DATE(2028,9,1)&lt;='POA — Three year summary'!C7)="",FALSE,AND('POA — Three year summary'!B7&lt;=DATE(2028,9,1),DATE(2028,9,1)&lt;='POA — Three year summary'!C7)),'POA — Monthly financial forecas'!Y22,"")),IF(IF(IF(AND('POA — Three year summary'!B7&lt;=DATE(2028,10,1),DATE(2028,10,1)&lt;='POA — Three year summary'!C7)="",FALSE,AND('POA — Three year summary'!B7&lt;=DATE(2028,10,1),DATE(2028,10,1)&lt;='POA — Three year summary'!C7)),'POA — Monthly financial forecas'!Z22,"")="",0,IF(IF(AND('POA — Three year summary'!B7&lt;=DATE(2028,10,1),DATE(2028,10,1)&lt;='POA — Three year summary'!C7)="",FALSE,AND('POA — Three year summary'!B7&lt;=DATE(2028,10,1),DATE(2028,10,1)&lt;='POA — Three year summary'!C7)),'POA — Monthly financial forecas'!Z22,"")),IF(IF(IF(AND('POA — Three year summary'!B7&lt;=DATE(2028,11,1),DATE(2028,11,1)&lt;='POA — Three year summary'!C7)="",FALSE,AND('POA — Three year summary'!B7&lt;=DATE(2028,11,1),DATE(2028,11,1)&lt;='POA — Three year summary'!C7)),'POA — Monthly financial forecas'!AA22,"")="",0,IF(IF(AND('POA — Three year summary'!B7&lt;=DATE(2028,11,1),DATE(2028,11,1)&lt;='POA — Three year summary'!C7)="",FALSE,AND('POA — Three year summary'!B7&lt;=DATE(2028,11,1),DATE(2028,11,1)&lt;='POA — Three year summary'!C7)),'POA — Monthly financial forecas'!AA22,"")),IF(IF(IF(AND('POA — Three year summary'!B7&lt;=DATE(2028,12,1),DATE(2028,12,1)&lt;='POA — Three year summary'!C7)="",FALSE,AND('POA — Three year summary'!B7&lt;=DATE(2028,12,1),DATE(2028,12,1)&lt;='POA — Three year summary'!C7)),'POA — Monthly financial forecas'!AB22,"")="",0,IF(IF(AND('POA — Three year summary'!B7&lt;=DATE(2028,12,1),DATE(2028,12,1)&lt;='POA — Three year summary'!C7)="",FALSE,AND('POA — Three year summary'!B7&lt;=DATE(2028,12,1),DATE(2028,12,1)&lt;='POA — Three year summary'!C7)),'POA — Monthly financial forecas'!AB22,"")),IF(IF(IF(AND('POA — Three year summary'!B7&lt;=DATE(2029,1,1),DATE(2029,1,1)&lt;='POA — Three year summary'!C7)="",FALSE,AND('POA — Three year summary'!B7&lt;=DATE(2029,1,1),DATE(2029,1,1)&lt;='POA — Three year summary'!C7)),'POA — Monthly financial forecas'!AC22,"")="",0,IF(IF(AND('POA — Three year summary'!B7&lt;=DATE(2029,1,1),DATE(2029,1,1)&lt;='POA — Three year summary'!C7)="",FALSE,AND('POA — Three year summary'!B7&lt;=DATE(2029,1,1),DATE(2029,1,1)&lt;='POA — Three year summary'!C7)),'POA — Monthly financial forecas'!AC22,"")),IF(IF(IF(AND('POA — Three year summary'!B7&lt;=DATE(2029,2,1),DATE(2029,2,1)&lt;='POA — Three year summary'!C7)="",FALSE,AND('POA — Three year summary'!B7&lt;=DATE(2029,2,1),DATE(2029,2,1)&lt;='POA — Three year summary'!C7)),'POA — Monthly financial forecas'!AD22,"")="",0,IF(IF(AND('POA — Three year summary'!B7&lt;=DATE(2029,2,1),DATE(2029,2,1)&lt;='POA — Three year summary'!C7)="",FALSE,AND('POA — Three year summary'!B7&lt;=DATE(2029,2,1),DATE(2029,2,1)&lt;='POA — Three year summary'!C7)),'POA — Monthly financial forecas'!AD22,"")),IF(IF(IF(AND('POA — Three year summary'!B7&lt;=DATE(2029,3,1),DATE(2029,3,1)&lt;='POA — Three year summary'!C7)="",FALSE,AND('POA — Three year summary'!B7&lt;=DATE(2029,3,1),DATE(2029,3,1)&lt;='POA — Three year summary'!C7)),'POA — Monthly financial forecas'!AE22,"")="",0,IF(IF(AND('POA — Three year summary'!B7&lt;=DATE(2029,3,1),DATE(2029,3,1)&lt;='POA — Three year summary'!C7)="",FALSE,AND('POA — Three year summary'!B7&lt;=DATE(2029,3,1),DATE(2029,3,1)&lt;='POA — Three year summary'!C7)),'POA — Monthly financial forecas'!AE22,"")))</f>
      </c>
    </row>
    <row r="482">
      <c r="A482" t="inlineStr" s="25">
        <is>
          <t xml:space="preserve">Calculation</t>
        </is>
      </c>
      <c r="B482" s="7">
        <f>SUM(IF(IF(IF(AND('POA — Three year summary'!B7&lt;=DATE(2029,4,1),DATE(2029,4,1)&lt;='POA — Three year summary'!C7)="",FALSE,AND('POA — Three year summary'!B7&lt;=DATE(2029,4,1),DATE(2029,4,1)&lt;='POA — Three year summary'!C7)),'POA — Monthly financial forecas'!AF22,"")="",0,IF(IF(AND('POA — Three year summary'!B7&lt;=DATE(2029,4,1),DATE(2029,4,1)&lt;='POA — Three year summary'!C7)="",FALSE,AND('POA — Three year summary'!B7&lt;=DATE(2029,4,1),DATE(2029,4,1)&lt;='POA — Three year summary'!C7)),'POA — Monthly financial forecas'!AF22,"")),IF(IF(IF(AND('POA — Three year summary'!B7&lt;=DATE(2029,5,1),DATE(2029,5,1)&lt;='POA — Three year summary'!C7)="",FALSE,AND('POA — Three year summary'!B7&lt;=DATE(2029,5,1),DATE(2029,5,1)&lt;='POA — Three year summary'!C7)),'POA — Monthly financial forecas'!AG22,"")="",0,IF(IF(AND('POA — Three year summary'!B7&lt;=DATE(2029,5,1),DATE(2029,5,1)&lt;='POA — Three year summary'!C7)="",FALSE,AND('POA — Three year summary'!B7&lt;=DATE(2029,5,1),DATE(2029,5,1)&lt;='POA — Three year summary'!C7)),'POA — Monthly financial forecas'!AG22,"")),IF(IF(IF(AND('POA — Three year summary'!B7&lt;=DATE(2029,6,1),DATE(2029,6,1)&lt;='POA — Three year summary'!C7)="",FALSE,AND('POA — Three year summary'!B7&lt;=DATE(2029,6,1),DATE(2029,6,1)&lt;='POA — Three year summary'!C7)),'POA — Monthly financial forecas'!AH22,"")="",0,IF(IF(AND('POA — Three year summary'!B7&lt;=DATE(2029,6,1),DATE(2029,6,1)&lt;='POA — Three year summary'!C7)="",FALSE,AND('POA — Three year summary'!B7&lt;=DATE(2029,6,1),DATE(2029,6,1)&lt;='POA — Three year summary'!C7)),'POA — Monthly financial forecas'!AH22,"")),IF(IF(IF(AND('POA — Three year summary'!B7&lt;=DATE(2029,7,1),DATE(2029,7,1)&lt;='POA — Three year summary'!C7)="",FALSE,AND('POA — Three year summary'!B7&lt;=DATE(2029,7,1),DATE(2029,7,1)&lt;='POA — Three year summary'!C7)),'POA — Monthly financial forecas'!AI22,"")="",0,IF(IF(AND('POA — Three year summary'!B7&lt;=DATE(2029,7,1),DATE(2029,7,1)&lt;='POA — Three year summary'!C7)="",FALSE,AND('POA — Three year summary'!B7&lt;=DATE(2029,7,1),DATE(2029,7,1)&lt;='POA — Three year summary'!C7)),'POA — Monthly financial forecas'!AI22,"")),IF(IF(IF(AND('POA — Three year summary'!B7&lt;=DATE(2029,8,1),DATE(2029,8,1)&lt;='POA — Three year summary'!C7)="",FALSE,AND('POA — Three year summary'!B7&lt;=DATE(2029,8,1),DATE(2029,8,1)&lt;='POA — Three year summary'!C7)),'POA — Monthly financial forecas'!AJ22,"")="",0,IF(IF(AND('POA — Three year summary'!B7&lt;=DATE(2029,8,1),DATE(2029,8,1)&lt;='POA — Three year summary'!C7)="",FALSE,AND('POA — Three year summary'!B7&lt;=DATE(2029,8,1),DATE(2029,8,1)&lt;='POA — Three year summary'!C7)),'POA — Monthly financial forecas'!AJ22,"")),IF(IF(IF(AND('POA — Three year summary'!B7&lt;=DATE(2029,9,1),DATE(2029,9,1)&lt;='POA — Three year summary'!C7)="",FALSE,AND('POA — Three year summary'!B7&lt;=DATE(2029,9,1),DATE(2029,9,1)&lt;='POA — Three year summary'!C7)),'POA — Monthly financial forecas'!AK22,"")="",0,IF(IF(AND('POA — Three year summary'!B7&lt;=DATE(2029,9,1),DATE(2029,9,1)&lt;='POA — Three year summary'!C7)="",FALSE,AND('POA — Three year summary'!B7&lt;=DATE(2029,9,1),DATE(2029,9,1)&lt;='POA — Three year summary'!C7)),'POA — Monthly financial forecas'!AK22,"")),IF(IF(IF(AND('POA — Three year summary'!B7&lt;=DATE(2026,9,1),DATE(2026,9,1)&lt;='POA — Three year summary'!C7)="",FALSE,AND('POA — Three year summary'!B7&lt;=DATE(2026,9,1),DATE(2026,9,1)&lt;='POA — Three year summary'!C7)),'Model inputs'!B15,"")="",0,IF(IF(AND('POA — Three year summary'!B7&lt;=DATE(2026,9,1),DATE(2026,9,1)&lt;='POA — Three year summary'!C7)="",FALSE,AND('POA — Three year summary'!B7&lt;=DATE(2026,9,1),DATE(2026,9,1)&lt;='POA — Three year summary'!C7)),'Model inputs'!B15,"")))</f>
      </c>
    </row>
    <row r="483">
      <c r="A483" t="inlineStr" s="25">
        <is>
          <t xml:space="preserve">Calculation</t>
        </is>
      </c>
      <c r="B483" s="7">
        <f>SUM(IF(IF(IF(AND('POA — Three year summary'!B7&lt;=DATE(2026,10,1),DATE(2026,10,1)&lt;='POA — Three year summary'!C7)="",FALSE,AND('POA — Three year summary'!B7&lt;=DATE(2026,10,1),DATE(2026,10,1)&lt;='POA — Three year summary'!C7)),'POA — Monthly financial forecas'!B27,"")="",0,IF(IF(AND('POA — Three year summary'!B7&lt;=DATE(2026,10,1),DATE(2026,10,1)&lt;='POA — Three year summary'!C7)="",FALSE,AND('POA — Three year summary'!B7&lt;=DATE(2026,10,1),DATE(2026,10,1)&lt;='POA — Three year summary'!C7)),'POA — Monthly financial forecas'!B27,"")),IF(IF(IF(AND('POA — Three year summary'!B7&lt;=DATE(2026,11,1),DATE(2026,11,1)&lt;='POA — Three year summary'!C7)="",FALSE,AND('POA — Three year summary'!B7&lt;=DATE(2026,11,1),DATE(2026,11,1)&lt;='POA — Three year summary'!C7)),'POA — Monthly financial forecas'!C27,"")="",0,IF(IF(AND('POA — Three year summary'!B7&lt;=DATE(2026,11,1),DATE(2026,11,1)&lt;='POA — Three year summary'!C7)="",FALSE,AND('POA — Three year summary'!B7&lt;=DATE(2026,11,1),DATE(2026,11,1)&lt;='POA — Three year summary'!C7)),'POA — Monthly financial forecas'!C27,"")),IF(IF(IF(AND('POA — Three year summary'!B7&lt;=DATE(2026,12,1),DATE(2026,12,1)&lt;='POA — Three year summary'!C7)="",FALSE,AND('POA — Three year summary'!B7&lt;=DATE(2026,12,1),DATE(2026,12,1)&lt;='POA — Three year summary'!C7)),'POA — Monthly financial forecas'!D27,"")="",0,IF(IF(AND('POA — Three year summary'!B7&lt;=DATE(2026,12,1),DATE(2026,12,1)&lt;='POA — Three year summary'!C7)="",FALSE,AND('POA — Three year summary'!B7&lt;=DATE(2026,12,1),DATE(2026,12,1)&lt;='POA — Three year summary'!C7)),'POA — Monthly financial forecas'!D27,"")),IF(IF(IF(AND('POA — Three year summary'!B7&lt;=DATE(2027,1,1),DATE(2027,1,1)&lt;='POA — Three year summary'!C7)="",FALSE,AND('POA — Three year summary'!B7&lt;=DATE(2027,1,1),DATE(2027,1,1)&lt;='POA — Three year summary'!C7)),'POA — Monthly financial forecas'!E27,"")="",0,IF(IF(AND('POA — Three year summary'!B7&lt;=DATE(2027,1,1),DATE(2027,1,1)&lt;='POA — Three year summary'!C7)="",FALSE,AND('POA — Three year summary'!B7&lt;=DATE(2027,1,1),DATE(2027,1,1)&lt;='POA — Three year summary'!C7)),'POA — Monthly financial forecas'!E27,"")),IF(IF(IF(AND('POA — Three year summary'!B7&lt;=DATE(2027,2,1),DATE(2027,2,1)&lt;='POA — Three year summary'!C7)="",FALSE,AND('POA — Three year summary'!B7&lt;=DATE(2027,2,1),DATE(2027,2,1)&lt;='POA — Three year summary'!C7)),'POA — Monthly financial forecas'!F27,"")="",0,IF(IF(AND('POA — Three year summary'!B7&lt;=DATE(2027,2,1),DATE(2027,2,1)&lt;='POA — Three year summary'!C7)="",FALSE,AND('POA — Three year summary'!B7&lt;=DATE(2027,2,1),DATE(2027,2,1)&lt;='POA — Three year summary'!C7)),'POA — Monthly financial forecas'!F27,"")),IF(IF(IF(AND('POA — Three year summary'!B7&lt;=DATE(2027,3,1),DATE(2027,3,1)&lt;='POA — Three year summary'!C7)="",FALSE,AND('POA — Three year summary'!B7&lt;=DATE(2027,3,1),DATE(2027,3,1)&lt;='POA — Three year summary'!C7)),'POA — Monthly financial forecas'!G27,"")="",0,IF(IF(AND('POA — Three year summary'!B7&lt;=DATE(2027,3,1),DATE(2027,3,1)&lt;='POA — Three year summary'!C7)="",FALSE,AND('POA — Three year summary'!B7&lt;=DATE(2027,3,1),DATE(2027,3,1)&lt;='POA — Three year summary'!C7)),'POA — Monthly financial forecas'!G27,"")),IF(IF(IF(AND('POA — Three year summary'!B7&lt;=DATE(2027,4,1),DATE(2027,4,1)&lt;='POA — Three year summary'!C7)="",FALSE,AND('POA — Three year summary'!B7&lt;=DATE(2027,4,1),DATE(2027,4,1)&lt;='POA — Three year summary'!C7)),'POA — Monthly financial forecas'!H27,"")="",0,IF(IF(AND('POA — Three year summary'!B7&lt;=DATE(2027,4,1),DATE(2027,4,1)&lt;='POA — Three year summary'!C7)="",FALSE,AND('POA — Three year summary'!B7&lt;=DATE(2027,4,1),DATE(2027,4,1)&lt;='POA — Three year summary'!C7)),'POA — Monthly financial forecas'!H27,"")),IF(IF(IF(AND('POA — Three year summary'!B7&lt;=DATE(2027,5,1),DATE(2027,5,1)&lt;='POA — Three year summary'!C7)="",FALSE,AND('POA — Three year summary'!B7&lt;=DATE(2027,5,1),DATE(2027,5,1)&lt;='POA — Three year summary'!C7)),'POA — Monthly financial forecas'!I27,"")="",0,IF(IF(AND('POA — Three year summary'!B7&lt;=DATE(2027,5,1),DATE(2027,5,1)&lt;='POA — Three year summary'!C7)="",FALSE,AND('POA — Three year summary'!B7&lt;=DATE(2027,5,1),DATE(2027,5,1)&lt;='POA — Three year summary'!C7)),'POA — Monthly financial forecas'!I27,"")),IF(IF(IF(AND('POA — Three year summary'!B7&lt;=DATE(2027,6,1),DATE(2027,6,1)&lt;='POA — Three year summary'!C7)="",FALSE,AND('POA — Three year summary'!B7&lt;=DATE(2027,6,1),DATE(2027,6,1)&lt;='POA — Three year summary'!C7)),'POA — Monthly financial forecas'!J27,"")="",0,IF(IF(AND('POA — Three year summary'!B7&lt;=DATE(2027,6,1),DATE(2027,6,1)&lt;='POA — Three year summary'!C7)="",FALSE,AND('POA — Three year summary'!B7&lt;=DATE(2027,6,1),DATE(2027,6,1)&lt;='POA — Three year summary'!C7)),'POA — Monthly financial forecas'!J27,"")),IF(IF(IF(AND('POA — Three year summary'!B7&lt;=DATE(2027,7,1),DATE(2027,7,1)&lt;='POA — Three year summary'!C7)="",FALSE,AND('POA — Three year summary'!B7&lt;=DATE(2027,7,1),DATE(2027,7,1)&lt;='POA — Three year summary'!C7)),'POA — Monthly financial forecas'!K27,"")="",0,IF(IF(AND('POA — Three year summary'!B7&lt;=DATE(2027,7,1),DATE(2027,7,1)&lt;='POA — Three year summary'!C7)="",FALSE,AND('POA — Three year summary'!B7&lt;=DATE(2027,7,1),DATE(2027,7,1)&lt;='POA — Three year summary'!C7)),'POA — Monthly financial forecas'!K27,"")),IF(IF(IF(AND('POA — Three year summary'!B7&lt;=DATE(2027,8,1),DATE(2027,8,1)&lt;='POA — Three year summary'!C7)="",FALSE,AND('POA — Three year summary'!B7&lt;=DATE(2027,8,1),DATE(2027,8,1)&lt;='POA — Three year summary'!C7)),'POA — Monthly financial forecas'!L27,"")="",0,IF(IF(AND('POA — Three year summary'!B7&lt;=DATE(2027,8,1),DATE(2027,8,1)&lt;='POA — Three year summary'!C7)="",FALSE,AND('POA — Three year summary'!B7&lt;=DATE(2027,8,1),DATE(2027,8,1)&lt;='POA — Three year summary'!C7)),'POA — Monthly financial forecas'!L27,"")),IF(IF(IF(AND('POA — Three year summary'!B7&lt;=DATE(2027,9,1),DATE(2027,9,1)&lt;='POA — Three year summary'!C7)="",FALSE,AND('POA — Three year summary'!B7&lt;=DATE(2027,9,1),DATE(2027,9,1)&lt;='POA — Three year summary'!C7)),'POA — Monthly financial forecas'!M27,"")="",0,IF(IF(AND('POA — Three year summary'!B7&lt;=DATE(2027,9,1),DATE(2027,9,1)&lt;='POA — Three year summary'!C7)="",FALSE,AND('POA — Three year summary'!B7&lt;=DATE(2027,9,1),DATE(2027,9,1)&lt;='POA — Three year summary'!C7)),'POA — Monthly financial forecas'!M27,"")),IF(IF(IF(AND('POA — Three year summary'!B7&lt;=DATE(2027,10,1),DATE(2027,10,1)&lt;='POA — Three year summary'!C7)="",FALSE,AND('POA — Three year summary'!B7&lt;=DATE(2027,10,1),DATE(2027,10,1)&lt;='POA — Three year summary'!C7)),'POA — Monthly financial forecas'!N27,"")="",0,IF(IF(AND('POA — Three year summary'!B7&lt;=DATE(2027,10,1),DATE(2027,10,1)&lt;='POA — Three year summary'!C7)="",FALSE,AND('POA — Three year summary'!B7&lt;=DATE(2027,10,1),DATE(2027,10,1)&lt;='POA — Three year summary'!C7)),'POA — Monthly financial forecas'!N27,"")),IF(IF(IF(AND('POA — Three year summary'!B7&lt;=DATE(2027,11,1),DATE(2027,11,1)&lt;='POA — Three year summary'!C7)="",FALSE,AND('POA — Three year summary'!B7&lt;=DATE(2027,11,1),DATE(2027,11,1)&lt;='POA — Three year summary'!C7)),'POA — Monthly financial forecas'!O27,"")="",0,IF(IF(AND('POA — Three year summary'!B7&lt;=DATE(2027,11,1),DATE(2027,11,1)&lt;='POA — Three year summary'!C7)="",FALSE,AND('POA — Three year summary'!B7&lt;=DATE(2027,11,1),DATE(2027,11,1)&lt;='POA — Three year summary'!C7)),'POA — Monthly financial forecas'!O27,"")),IF(IF(IF(AND('POA — Three year summary'!B7&lt;=DATE(2027,12,1),DATE(2027,12,1)&lt;='POA — Three year summary'!C7)="",FALSE,AND('POA — Three year summary'!B7&lt;=DATE(2027,12,1),DATE(2027,12,1)&lt;='POA — Three year summary'!C7)),'POA — Monthly financial forecas'!P27,"")="",0,IF(IF(AND('POA — Three year summary'!B7&lt;=DATE(2027,12,1),DATE(2027,12,1)&lt;='POA — Three year summary'!C7)="",FALSE,AND('POA — Three year summary'!B7&lt;=DATE(2027,12,1),DATE(2027,12,1)&lt;='POA — Three year summary'!C7)),'POA — Monthly financial forecas'!P27,"")))</f>
      </c>
    </row>
    <row r="484">
      <c r="A484" t="inlineStr" s="25">
        <is>
          <t xml:space="preserve">Calculation</t>
        </is>
      </c>
      <c r="B484" s="7">
        <f>SUM(IF(IF(IF(AND('POA — Three year summary'!B7&lt;=DATE(2028,1,1),DATE(2028,1,1)&lt;='POA — Three year summary'!C7)="",FALSE,AND('POA — Three year summary'!B7&lt;=DATE(2028,1,1),DATE(2028,1,1)&lt;='POA — Three year summary'!C7)),'POA — Monthly financial forecas'!Q27,"")="",0,IF(IF(AND('POA — Three year summary'!B7&lt;=DATE(2028,1,1),DATE(2028,1,1)&lt;='POA — Three year summary'!C7)="",FALSE,AND('POA — Three year summary'!B7&lt;=DATE(2028,1,1),DATE(2028,1,1)&lt;='POA — Three year summary'!C7)),'POA — Monthly financial forecas'!Q27,"")),IF(IF(IF(AND('POA — Three year summary'!B7&lt;=DATE(2028,2,1),DATE(2028,2,1)&lt;='POA — Three year summary'!C7)="",FALSE,AND('POA — Three year summary'!B7&lt;=DATE(2028,2,1),DATE(2028,2,1)&lt;='POA — Three year summary'!C7)),'POA — Monthly financial forecas'!R27,"")="",0,IF(IF(AND('POA — Three year summary'!B7&lt;=DATE(2028,2,1),DATE(2028,2,1)&lt;='POA — Three year summary'!C7)="",FALSE,AND('POA — Three year summary'!B7&lt;=DATE(2028,2,1),DATE(2028,2,1)&lt;='POA — Three year summary'!C7)),'POA — Monthly financial forecas'!R27,"")),IF(IF(IF(AND('POA — Three year summary'!B7&lt;=DATE(2028,3,1),DATE(2028,3,1)&lt;='POA — Three year summary'!C7)="",FALSE,AND('POA — Three year summary'!B7&lt;=DATE(2028,3,1),DATE(2028,3,1)&lt;='POA — Three year summary'!C7)),'POA — Monthly financial forecas'!S27,"")="",0,IF(IF(AND('POA — Three year summary'!B7&lt;=DATE(2028,3,1),DATE(2028,3,1)&lt;='POA — Three year summary'!C7)="",FALSE,AND('POA — Three year summary'!B7&lt;=DATE(2028,3,1),DATE(2028,3,1)&lt;='POA — Three year summary'!C7)),'POA — Monthly financial forecas'!S27,"")),IF(IF(IF(AND('POA — Three year summary'!B7&lt;=DATE(2028,4,1),DATE(2028,4,1)&lt;='POA — Three year summary'!C7)="",FALSE,AND('POA — Three year summary'!B7&lt;=DATE(2028,4,1),DATE(2028,4,1)&lt;='POA — Three year summary'!C7)),'POA — Monthly financial forecas'!T27,"")="",0,IF(IF(AND('POA — Three year summary'!B7&lt;=DATE(2028,4,1),DATE(2028,4,1)&lt;='POA — Three year summary'!C7)="",FALSE,AND('POA — Three year summary'!B7&lt;=DATE(2028,4,1),DATE(2028,4,1)&lt;='POA — Three year summary'!C7)),'POA — Monthly financial forecas'!T27,"")),IF(IF(IF(AND('POA — Three year summary'!B7&lt;=DATE(2028,5,1),DATE(2028,5,1)&lt;='POA — Three year summary'!C7)="",FALSE,AND('POA — Three year summary'!B7&lt;=DATE(2028,5,1),DATE(2028,5,1)&lt;='POA — Three year summary'!C7)),'POA — Monthly financial forecas'!U27,"")="",0,IF(IF(AND('POA — Three year summary'!B7&lt;=DATE(2028,5,1),DATE(2028,5,1)&lt;='POA — Three year summary'!C7)="",FALSE,AND('POA — Three year summary'!B7&lt;=DATE(2028,5,1),DATE(2028,5,1)&lt;='POA — Three year summary'!C7)),'POA — Monthly financial forecas'!U27,"")),IF(IF(IF(AND('POA — Three year summary'!B7&lt;=DATE(2028,6,1),DATE(2028,6,1)&lt;='POA — Three year summary'!C7)="",FALSE,AND('POA — Three year summary'!B7&lt;=DATE(2028,6,1),DATE(2028,6,1)&lt;='POA — Three year summary'!C7)),'POA — Monthly financial forecas'!V27,"")="",0,IF(IF(AND('POA — Three year summary'!B7&lt;=DATE(2028,6,1),DATE(2028,6,1)&lt;='POA — Three year summary'!C7)="",FALSE,AND('POA — Three year summary'!B7&lt;=DATE(2028,6,1),DATE(2028,6,1)&lt;='POA — Three year summary'!C7)),'POA — Monthly financial forecas'!V27,"")),IF(IF(IF(AND('POA — Three year summary'!B7&lt;=DATE(2028,7,1),DATE(2028,7,1)&lt;='POA — Three year summary'!C7)="",FALSE,AND('POA — Three year summary'!B7&lt;=DATE(2028,7,1),DATE(2028,7,1)&lt;='POA — Three year summary'!C7)),'POA — Monthly financial forecas'!W27,"")="",0,IF(IF(AND('POA — Three year summary'!B7&lt;=DATE(2028,7,1),DATE(2028,7,1)&lt;='POA — Three year summary'!C7)="",FALSE,AND('POA — Three year summary'!B7&lt;=DATE(2028,7,1),DATE(2028,7,1)&lt;='POA — Three year summary'!C7)),'POA — Monthly financial forecas'!W27,"")),IF(IF(IF(AND('POA — Three year summary'!B7&lt;=DATE(2028,8,1),DATE(2028,8,1)&lt;='POA — Three year summary'!C7)="",FALSE,AND('POA — Three year summary'!B7&lt;=DATE(2028,8,1),DATE(2028,8,1)&lt;='POA — Three year summary'!C7)),'POA — Monthly financial forecas'!X27,"")="",0,IF(IF(AND('POA — Three year summary'!B7&lt;=DATE(2028,8,1),DATE(2028,8,1)&lt;='POA — Three year summary'!C7)="",FALSE,AND('POA — Three year summary'!B7&lt;=DATE(2028,8,1),DATE(2028,8,1)&lt;='POA — Three year summary'!C7)),'POA — Monthly financial forecas'!X27,"")),IF(IF(IF(AND('POA — Three year summary'!B7&lt;=DATE(2028,9,1),DATE(2028,9,1)&lt;='POA — Three year summary'!C7)="",FALSE,AND('POA — Three year summary'!B7&lt;=DATE(2028,9,1),DATE(2028,9,1)&lt;='POA — Three year summary'!C7)),'POA — Monthly financial forecas'!Y27,"")="",0,IF(IF(AND('POA — Three year summary'!B7&lt;=DATE(2028,9,1),DATE(2028,9,1)&lt;='POA — Three year summary'!C7)="",FALSE,AND('POA — Three year summary'!B7&lt;=DATE(2028,9,1),DATE(2028,9,1)&lt;='POA — Three year summary'!C7)),'POA — Monthly financial forecas'!Y27,"")),IF(IF(IF(AND('POA — Three year summary'!B7&lt;=DATE(2028,10,1),DATE(2028,10,1)&lt;='POA — Three year summary'!C7)="",FALSE,AND('POA — Three year summary'!B7&lt;=DATE(2028,10,1),DATE(2028,10,1)&lt;='POA — Three year summary'!C7)),'POA — Monthly financial forecas'!Z27,"")="",0,IF(IF(AND('POA — Three year summary'!B7&lt;=DATE(2028,10,1),DATE(2028,10,1)&lt;='POA — Three year summary'!C7)="",FALSE,AND('POA — Three year summary'!B7&lt;=DATE(2028,10,1),DATE(2028,10,1)&lt;='POA — Three year summary'!C7)),'POA — Monthly financial forecas'!Z27,"")),IF(IF(IF(AND('POA — Three year summary'!B7&lt;=DATE(2028,11,1),DATE(2028,11,1)&lt;='POA — Three year summary'!C7)="",FALSE,AND('POA — Three year summary'!B7&lt;=DATE(2028,11,1),DATE(2028,11,1)&lt;='POA — Three year summary'!C7)),'POA — Monthly financial forecas'!AA27,"")="",0,IF(IF(AND('POA — Three year summary'!B7&lt;=DATE(2028,11,1),DATE(2028,11,1)&lt;='POA — Three year summary'!C7)="",FALSE,AND('POA — Three year summary'!B7&lt;=DATE(2028,11,1),DATE(2028,11,1)&lt;='POA — Three year summary'!C7)),'POA — Monthly financial forecas'!AA27,"")),IF(IF(IF(AND('POA — Three year summary'!B7&lt;=DATE(2028,12,1),DATE(2028,12,1)&lt;='POA — Three year summary'!C7)="",FALSE,AND('POA — Three year summary'!B7&lt;=DATE(2028,12,1),DATE(2028,12,1)&lt;='POA — Three year summary'!C7)),'POA — Monthly financial forecas'!AB27,"")="",0,IF(IF(AND('POA — Three year summary'!B7&lt;=DATE(2028,12,1),DATE(2028,12,1)&lt;='POA — Three year summary'!C7)="",FALSE,AND('POA — Three year summary'!B7&lt;=DATE(2028,12,1),DATE(2028,12,1)&lt;='POA — Three year summary'!C7)),'POA — Monthly financial forecas'!AB27,"")),IF(IF(IF(AND('POA — Three year summary'!B7&lt;=DATE(2029,1,1),DATE(2029,1,1)&lt;='POA — Three year summary'!C7)="",FALSE,AND('POA — Three year summary'!B7&lt;=DATE(2029,1,1),DATE(2029,1,1)&lt;='POA — Three year summary'!C7)),'POA — Monthly financial forecas'!AC27,"")="",0,IF(IF(AND('POA — Three year summary'!B7&lt;=DATE(2029,1,1),DATE(2029,1,1)&lt;='POA — Three year summary'!C7)="",FALSE,AND('POA — Three year summary'!B7&lt;=DATE(2029,1,1),DATE(2029,1,1)&lt;='POA — Three year summary'!C7)),'POA — Monthly financial forecas'!AC27,"")),IF(IF(IF(AND('POA — Three year summary'!B7&lt;=DATE(2029,2,1),DATE(2029,2,1)&lt;='POA — Three year summary'!C7)="",FALSE,AND('POA — Three year summary'!B7&lt;=DATE(2029,2,1),DATE(2029,2,1)&lt;='POA — Three year summary'!C7)),'POA — Monthly financial forecas'!AD27,"")="",0,IF(IF(AND('POA — Three year summary'!B7&lt;=DATE(2029,2,1),DATE(2029,2,1)&lt;='POA — Three year summary'!C7)="",FALSE,AND('POA — Three year summary'!B7&lt;=DATE(2029,2,1),DATE(2029,2,1)&lt;='POA — Three year summary'!C7)),'POA — Monthly financial forecas'!AD27,"")),IF(IF(IF(AND('POA — Three year summary'!B7&lt;=DATE(2029,3,1),DATE(2029,3,1)&lt;='POA — Three year summary'!C7)="",FALSE,AND('POA — Three year summary'!B7&lt;=DATE(2029,3,1),DATE(2029,3,1)&lt;='POA — Three year summary'!C7)),'POA — Monthly financial forecas'!AE27,"")="",0,IF(IF(AND('POA — Three year summary'!B7&lt;=DATE(2029,3,1),DATE(2029,3,1)&lt;='POA — Three year summary'!C7)="",FALSE,AND('POA — Three year summary'!B7&lt;=DATE(2029,3,1),DATE(2029,3,1)&lt;='POA — Three year summary'!C7)),'POA — Monthly financial forecas'!AE27,"")))</f>
      </c>
    </row>
    <row r="485">
      <c r="A485" t="inlineStr" s="25">
        <is>
          <t xml:space="preserve">Calculation</t>
        </is>
      </c>
      <c r="B485" s="7">
        <f>SUM(IF(IF(IF(AND('POA — Three year summary'!B7&lt;=DATE(2029,4,1),DATE(2029,4,1)&lt;='POA — Three year summary'!C7)="",FALSE,AND('POA — Three year summary'!B7&lt;=DATE(2029,4,1),DATE(2029,4,1)&lt;='POA — Three year summary'!C7)),'POA — Monthly financial forecas'!AF27,"")="",0,IF(IF(AND('POA — Three year summary'!B7&lt;=DATE(2029,4,1),DATE(2029,4,1)&lt;='POA — Three year summary'!C7)="",FALSE,AND('POA — Three year summary'!B7&lt;=DATE(2029,4,1),DATE(2029,4,1)&lt;='POA — Three year summary'!C7)),'POA — Monthly financial forecas'!AF27,"")),IF(IF(IF(AND('POA — Three year summary'!B7&lt;=DATE(2029,5,1),DATE(2029,5,1)&lt;='POA — Three year summary'!C7)="",FALSE,AND('POA — Three year summary'!B7&lt;=DATE(2029,5,1),DATE(2029,5,1)&lt;='POA — Three year summary'!C7)),'POA — Monthly financial forecas'!AG27,"")="",0,IF(IF(AND('POA — Three year summary'!B7&lt;=DATE(2029,5,1),DATE(2029,5,1)&lt;='POA — Three year summary'!C7)="",FALSE,AND('POA — Three year summary'!B7&lt;=DATE(2029,5,1),DATE(2029,5,1)&lt;='POA — Three year summary'!C7)),'POA — Monthly financial forecas'!AG27,"")),IF(IF(IF(AND('POA — Three year summary'!B7&lt;=DATE(2029,6,1),DATE(2029,6,1)&lt;='POA — Three year summary'!C7)="",FALSE,AND('POA — Three year summary'!B7&lt;=DATE(2029,6,1),DATE(2029,6,1)&lt;='POA — Three year summary'!C7)),'POA — Monthly financial forecas'!AH27,"")="",0,IF(IF(AND('POA — Three year summary'!B7&lt;=DATE(2029,6,1),DATE(2029,6,1)&lt;='POA — Three year summary'!C7)="",FALSE,AND('POA — Three year summary'!B7&lt;=DATE(2029,6,1),DATE(2029,6,1)&lt;='POA — Three year summary'!C7)),'POA — Monthly financial forecas'!AH27,"")),IF(IF(IF(AND('POA — Three year summary'!B7&lt;=DATE(2029,7,1),DATE(2029,7,1)&lt;='POA — Three year summary'!C7)="",FALSE,AND('POA — Three year summary'!B7&lt;=DATE(2029,7,1),DATE(2029,7,1)&lt;='POA — Three year summary'!C7)),'POA — Monthly financial forecas'!AI27,"")="",0,IF(IF(AND('POA — Three year summary'!B7&lt;=DATE(2029,7,1),DATE(2029,7,1)&lt;='POA — Three year summary'!C7)="",FALSE,AND('POA — Three year summary'!B7&lt;=DATE(2029,7,1),DATE(2029,7,1)&lt;='POA — Three year summary'!C7)),'POA — Monthly financial forecas'!AI27,"")),IF(IF(IF(AND('POA — Three year summary'!B7&lt;=DATE(2029,8,1),DATE(2029,8,1)&lt;='POA — Three year summary'!C7)="",FALSE,AND('POA — Three year summary'!B7&lt;=DATE(2029,8,1),DATE(2029,8,1)&lt;='POA — Three year summary'!C7)),'POA — Monthly financial forecas'!AJ27,"")="",0,IF(IF(AND('POA — Three year summary'!B7&lt;=DATE(2029,8,1),DATE(2029,8,1)&lt;='POA — Three year summary'!C7)="",FALSE,AND('POA — Three year summary'!B7&lt;=DATE(2029,8,1),DATE(2029,8,1)&lt;='POA — Three year summary'!C7)),'POA — Monthly financial forecas'!AJ27,"")),IF(IF(IF(AND('POA — Three year summary'!B7&lt;=DATE(2029,9,1),DATE(2029,9,1)&lt;='POA — Three year summary'!C7)="",FALSE,AND('POA — Three year summary'!B7&lt;=DATE(2029,9,1),DATE(2029,9,1)&lt;='POA — Three year summary'!C7)),'POA — Monthly financial forecas'!AK27,"")="",0,IF(IF(AND('POA — Three year summary'!B7&lt;=DATE(2029,9,1),DATE(2029,9,1)&lt;='POA — Three year summary'!C7)="",FALSE,AND('POA — Three year summary'!B7&lt;=DATE(2029,9,1),DATE(2029,9,1)&lt;='POA — Three year summary'!C7)),'POA — Monthly financial forecas'!AK27,"")),IF(IF(IF(AND('POA — Three year summary'!B7&lt;=DATE(2026,9,1),DATE(2026,9,1)&lt;='POA — Three year summary'!C7)="",FALSE,AND('POA — Three year summary'!B7&lt;=DATE(2026,9,1),DATE(2026,9,1)&lt;='POA — Three year summary'!C7)),'Model inputs'!B85,"")="",0,IF(IF(AND('POA — Three year summary'!B7&lt;=DATE(2026,9,1),DATE(2026,9,1)&lt;='POA — Three year summary'!C7)="",FALSE,AND('POA — Three year summary'!B7&lt;=DATE(2026,9,1),DATE(2026,9,1)&lt;='POA — Three year summary'!C7)),'Model inputs'!B85,"")))</f>
      </c>
    </row>
    <row r="486">
      <c r="A486" t="inlineStr" s="25">
        <is>
          <t xml:space="preserve">Calculation</t>
        </is>
      </c>
      <c r="B486" s="7">
        <f>SUM(IF(IF(IF(AND('POA — Three year summary'!B7&lt;=DATE(2026,10,1),DATE(2026,10,1)&lt;='POA — Three year summary'!C7)="",FALSE,AND('POA — Three year summary'!B7&lt;=DATE(2026,10,1),DATE(2026,10,1)&lt;='POA — Three year summary'!C7)),'POA — Monthly financial forecas'!B38,"")="",0,IF(IF(AND('POA — Three year summary'!B7&lt;=DATE(2026,10,1),DATE(2026,10,1)&lt;='POA — Three year summary'!C7)="",FALSE,AND('POA — Three year summary'!B7&lt;=DATE(2026,10,1),DATE(2026,10,1)&lt;='POA — Three year summary'!C7)),'POA — Monthly financial forecas'!B38,"")),IF(IF(IF(AND('POA — Three year summary'!B7&lt;=DATE(2026,11,1),DATE(2026,11,1)&lt;='POA — Three year summary'!C7)="",FALSE,AND('POA — Three year summary'!B7&lt;=DATE(2026,11,1),DATE(2026,11,1)&lt;='POA — Three year summary'!C7)),'POA — Monthly financial forecas'!C38,"")="",0,IF(IF(AND('POA — Three year summary'!B7&lt;=DATE(2026,11,1),DATE(2026,11,1)&lt;='POA — Three year summary'!C7)="",FALSE,AND('POA — Three year summary'!B7&lt;=DATE(2026,11,1),DATE(2026,11,1)&lt;='POA — Three year summary'!C7)),'POA — Monthly financial forecas'!C38,"")),IF(IF(IF(AND('POA — Three year summary'!B7&lt;=DATE(2026,12,1),DATE(2026,12,1)&lt;='POA — Three year summary'!C7)="",FALSE,AND('POA — Three year summary'!B7&lt;=DATE(2026,12,1),DATE(2026,12,1)&lt;='POA — Three year summary'!C7)),'POA — Monthly financial forecas'!D38,"")="",0,IF(IF(AND('POA — Three year summary'!B7&lt;=DATE(2026,12,1),DATE(2026,12,1)&lt;='POA — Three year summary'!C7)="",FALSE,AND('POA — Three year summary'!B7&lt;=DATE(2026,12,1),DATE(2026,12,1)&lt;='POA — Three year summary'!C7)),'POA — Monthly financial forecas'!D38,"")),IF(IF(IF(AND('POA — Three year summary'!B7&lt;=DATE(2027,1,1),DATE(2027,1,1)&lt;='POA — Three year summary'!C7)="",FALSE,AND('POA — Three year summary'!B7&lt;=DATE(2027,1,1),DATE(2027,1,1)&lt;='POA — Three year summary'!C7)),'POA — Monthly financial forecas'!E38,"")="",0,IF(IF(AND('POA — Three year summary'!B7&lt;=DATE(2027,1,1),DATE(2027,1,1)&lt;='POA — Three year summary'!C7)="",FALSE,AND('POA — Three year summary'!B7&lt;=DATE(2027,1,1),DATE(2027,1,1)&lt;='POA — Three year summary'!C7)),'POA — Monthly financial forecas'!E38,"")),IF(IF(IF(AND('POA — Three year summary'!B7&lt;=DATE(2027,2,1),DATE(2027,2,1)&lt;='POA — Three year summary'!C7)="",FALSE,AND('POA — Three year summary'!B7&lt;=DATE(2027,2,1),DATE(2027,2,1)&lt;='POA — Three year summary'!C7)),'POA — Monthly financial forecas'!F38,"")="",0,IF(IF(AND('POA — Three year summary'!B7&lt;=DATE(2027,2,1),DATE(2027,2,1)&lt;='POA — Three year summary'!C7)="",FALSE,AND('POA — Three year summary'!B7&lt;=DATE(2027,2,1),DATE(2027,2,1)&lt;='POA — Three year summary'!C7)),'POA — Monthly financial forecas'!F38,"")),IF(IF(IF(AND('POA — Three year summary'!B7&lt;=DATE(2027,3,1),DATE(2027,3,1)&lt;='POA — Three year summary'!C7)="",FALSE,AND('POA — Three year summary'!B7&lt;=DATE(2027,3,1),DATE(2027,3,1)&lt;='POA — Three year summary'!C7)),'POA — Monthly financial forecas'!G38,"")="",0,IF(IF(AND('POA — Three year summary'!B7&lt;=DATE(2027,3,1),DATE(2027,3,1)&lt;='POA — Three year summary'!C7)="",FALSE,AND('POA — Three year summary'!B7&lt;=DATE(2027,3,1),DATE(2027,3,1)&lt;='POA — Three year summary'!C7)),'POA — Monthly financial forecas'!G38,"")),IF(IF(IF(AND('POA — Three year summary'!B7&lt;=DATE(2027,4,1),DATE(2027,4,1)&lt;='POA — Three year summary'!C7)="",FALSE,AND('POA — Three year summary'!B7&lt;=DATE(2027,4,1),DATE(2027,4,1)&lt;='POA — Three year summary'!C7)),'POA — Monthly financial forecas'!H38,"")="",0,IF(IF(AND('POA — Three year summary'!B7&lt;=DATE(2027,4,1),DATE(2027,4,1)&lt;='POA — Three year summary'!C7)="",FALSE,AND('POA — Three year summary'!B7&lt;=DATE(2027,4,1),DATE(2027,4,1)&lt;='POA — Three year summary'!C7)),'POA — Monthly financial forecas'!H38,"")),IF(IF(IF(AND('POA — Three year summary'!B7&lt;=DATE(2027,5,1),DATE(2027,5,1)&lt;='POA — Three year summary'!C7)="",FALSE,AND('POA — Three year summary'!B7&lt;=DATE(2027,5,1),DATE(2027,5,1)&lt;='POA — Three year summary'!C7)),'POA — Monthly financial forecas'!I38,"")="",0,IF(IF(AND('POA — Three year summary'!B7&lt;=DATE(2027,5,1),DATE(2027,5,1)&lt;='POA — Three year summary'!C7)="",FALSE,AND('POA — Three year summary'!B7&lt;=DATE(2027,5,1),DATE(2027,5,1)&lt;='POA — Three year summary'!C7)),'POA — Monthly financial forecas'!I38,"")),IF(IF(IF(AND('POA — Three year summary'!B7&lt;=DATE(2027,6,1),DATE(2027,6,1)&lt;='POA — Three year summary'!C7)="",FALSE,AND('POA — Three year summary'!B7&lt;=DATE(2027,6,1),DATE(2027,6,1)&lt;='POA — Three year summary'!C7)),'POA — Monthly financial forecas'!J38,"")="",0,IF(IF(AND('POA — Three year summary'!B7&lt;=DATE(2027,6,1),DATE(2027,6,1)&lt;='POA — Three year summary'!C7)="",FALSE,AND('POA — Three year summary'!B7&lt;=DATE(2027,6,1),DATE(2027,6,1)&lt;='POA — Three year summary'!C7)),'POA — Monthly financial forecas'!J38,"")),IF(IF(IF(AND('POA — Three year summary'!B7&lt;=DATE(2027,7,1),DATE(2027,7,1)&lt;='POA — Three year summary'!C7)="",FALSE,AND('POA — Three year summary'!B7&lt;=DATE(2027,7,1),DATE(2027,7,1)&lt;='POA — Three year summary'!C7)),'POA — Monthly financial forecas'!K38,"")="",0,IF(IF(AND('POA — Three year summary'!B7&lt;=DATE(2027,7,1),DATE(2027,7,1)&lt;='POA — Three year summary'!C7)="",FALSE,AND('POA — Three year summary'!B7&lt;=DATE(2027,7,1),DATE(2027,7,1)&lt;='POA — Three year summary'!C7)),'POA — Monthly financial forecas'!K38,"")),IF(IF(IF(AND('POA — Three year summary'!B7&lt;=DATE(2027,8,1),DATE(2027,8,1)&lt;='POA — Three year summary'!C7)="",FALSE,AND('POA — Three year summary'!B7&lt;=DATE(2027,8,1),DATE(2027,8,1)&lt;='POA — Three year summary'!C7)),'POA — Monthly financial forecas'!L38,"")="",0,IF(IF(AND('POA — Three year summary'!B7&lt;=DATE(2027,8,1),DATE(2027,8,1)&lt;='POA — Three year summary'!C7)="",FALSE,AND('POA — Three year summary'!B7&lt;=DATE(2027,8,1),DATE(2027,8,1)&lt;='POA — Three year summary'!C7)),'POA — Monthly financial forecas'!L38,"")),IF(IF(IF(AND('POA — Three year summary'!B7&lt;=DATE(2027,9,1),DATE(2027,9,1)&lt;='POA — Three year summary'!C7)="",FALSE,AND('POA — Three year summary'!B7&lt;=DATE(2027,9,1),DATE(2027,9,1)&lt;='POA — Three year summary'!C7)),'POA — Monthly financial forecas'!M38,"")="",0,IF(IF(AND('POA — Three year summary'!B7&lt;=DATE(2027,9,1),DATE(2027,9,1)&lt;='POA — Three year summary'!C7)="",FALSE,AND('POA — Three year summary'!B7&lt;=DATE(2027,9,1),DATE(2027,9,1)&lt;='POA — Three year summary'!C7)),'POA — Monthly financial forecas'!M38,"")),IF(IF(IF(AND('POA — Three year summary'!B7&lt;=DATE(2027,10,1),DATE(2027,10,1)&lt;='POA — Three year summary'!C7)="",FALSE,AND('POA — Three year summary'!B7&lt;=DATE(2027,10,1),DATE(2027,10,1)&lt;='POA — Three year summary'!C7)),'POA — Monthly financial forecas'!N38,"")="",0,IF(IF(AND('POA — Three year summary'!B7&lt;=DATE(2027,10,1),DATE(2027,10,1)&lt;='POA — Three year summary'!C7)="",FALSE,AND('POA — Three year summary'!B7&lt;=DATE(2027,10,1),DATE(2027,10,1)&lt;='POA — Three year summary'!C7)),'POA — Monthly financial forecas'!N38,"")),IF(IF(IF(AND('POA — Three year summary'!B7&lt;=DATE(2027,11,1),DATE(2027,11,1)&lt;='POA — Three year summary'!C7)="",FALSE,AND('POA — Three year summary'!B7&lt;=DATE(2027,11,1),DATE(2027,11,1)&lt;='POA — Three year summary'!C7)),'POA — Monthly financial forecas'!O38,"")="",0,IF(IF(AND('POA — Three year summary'!B7&lt;=DATE(2027,11,1),DATE(2027,11,1)&lt;='POA — Three year summary'!C7)="",FALSE,AND('POA — Three year summary'!B7&lt;=DATE(2027,11,1),DATE(2027,11,1)&lt;='POA — Three year summary'!C7)),'POA — Monthly financial forecas'!O38,"")),IF(IF(IF(AND('POA — Three year summary'!B7&lt;=DATE(2027,12,1),DATE(2027,12,1)&lt;='POA — Three year summary'!C7)="",FALSE,AND('POA — Three year summary'!B7&lt;=DATE(2027,12,1),DATE(2027,12,1)&lt;='POA — Three year summary'!C7)),'POA — Monthly financial forecas'!P38,"")="",0,IF(IF(AND('POA — Three year summary'!B7&lt;=DATE(2027,12,1),DATE(2027,12,1)&lt;='POA — Three year summary'!C7)="",FALSE,AND('POA — Three year summary'!B7&lt;=DATE(2027,12,1),DATE(2027,12,1)&lt;='POA — Three year summary'!C7)),'POA — Monthly financial forecas'!P38,"")))</f>
      </c>
    </row>
    <row r="487">
      <c r="A487" t="inlineStr" s="25">
        <is>
          <t xml:space="preserve">Calculation</t>
        </is>
      </c>
      <c r="B487" s="7">
        <f>SUM(IF(IF(IF(AND('POA — Three year summary'!B7&lt;=DATE(2028,1,1),DATE(2028,1,1)&lt;='POA — Three year summary'!C7)="",FALSE,AND('POA — Three year summary'!B7&lt;=DATE(2028,1,1),DATE(2028,1,1)&lt;='POA — Three year summary'!C7)),'POA — Monthly financial forecas'!Q38,"")="",0,IF(IF(AND('POA — Three year summary'!B7&lt;=DATE(2028,1,1),DATE(2028,1,1)&lt;='POA — Three year summary'!C7)="",FALSE,AND('POA — Three year summary'!B7&lt;=DATE(2028,1,1),DATE(2028,1,1)&lt;='POA — Three year summary'!C7)),'POA — Monthly financial forecas'!Q38,"")),IF(IF(IF(AND('POA — Three year summary'!B7&lt;=DATE(2028,2,1),DATE(2028,2,1)&lt;='POA — Three year summary'!C7)="",FALSE,AND('POA — Three year summary'!B7&lt;=DATE(2028,2,1),DATE(2028,2,1)&lt;='POA — Three year summary'!C7)),'POA — Monthly financial forecas'!R38,"")="",0,IF(IF(AND('POA — Three year summary'!B7&lt;=DATE(2028,2,1),DATE(2028,2,1)&lt;='POA — Three year summary'!C7)="",FALSE,AND('POA — Three year summary'!B7&lt;=DATE(2028,2,1),DATE(2028,2,1)&lt;='POA — Three year summary'!C7)),'POA — Monthly financial forecas'!R38,"")),IF(IF(IF(AND('POA — Three year summary'!B7&lt;=DATE(2028,3,1),DATE(2028,3,1)&lt;='POA — Three year summary'!C7)="",FALSE,AND('POA — Three year summary'!B7&lt;=DATE(2028,3,1),DATE(2028,3,1)&lt;='POA — Three year summary'!C7)),'POA — Monthly financial forecas'!S38,"")="",0,IF(IF(AND('POA — Three year summary'!B7&lt;=DATE(2028,3,1),DATE(2028,3,1)&lt;='POA — Three year summary'!C7)="",FALSE,AND('POA — Three year summary'!B7&lt;=DATE(2028,3,1),DATE(2028,3,1)&lt;='POA — Three year summary'!C7)),'POA — Monthly financial forecas'!S38,"")),IF(IF(IF(AND('POA — Three year summary'!B7&lt;=DATE(2028,4,1),DATE(2028,4,1)&lt;='POA — Three year summary'!C7)="",FALSE,AND('POA — Three year summary'!B7&lt;=DATE(2028,4,1),DATE(2028,4,1)&lt;='POA — Three year summary'!C7)),'POA — Monthly financial forecas'!T38,"")="",0,IF(IF(AND('POA — Three year summary'!B7&lt;=DATE(2028,4,1),DATE(2028,4,1)&lt;='POA — Three year summary'!C7)="",FALSE,AND('POA — Three year summary'!B7&lt;=DATE(2028,4,1),DATE(2028,4,1)&lt;='POA — Three year summary'!C7)),'POA — Monthly financial forecas'!T38,"")),IF(IF(IF(AND('POA — Three year summary'!B7&lt;=DATE(2028,5,1),DATE(2028,5,1)&lt;='POA — Three year summary'!C7)="",FALSE,AND('POA — Three year summary'!B7&lt;=DATE(2028,5,1),DATE(2028,5,1)&lt;='POA — Three year summary'!C7)),'POA — Monthly financial forecas'!U38,"")="",0,IF(IF(AND('POA — Three year summary'!B7&lt;=DATE(2028,5,1),DATE(2028,5,1)&lt;='POA — Three year summary'!C7)="",FALSE,AND('POA — Three year summary'!B7&lt;=DATE(2028,5,1),DATE(2028,5,1)&lt;='POA — Three year summary'!C7)),'POA — Monthly financial forecas'!U38,"")),IF(IF(IF(AND('POA — Three year summary'!B7&lt;=DATE(2028,6,1),DATE(2028,6,1)&lt;='POA — Three year summary'!C7)="",FALSE,AND('POA — Three year summary'!B7&lt;=DATE(2028,6,1),DATE(2028,6,1)&lt;='POA — Three year summary'!C7)),'POA — Monthly financial forecas'!V38,"")="",0,IF(IF(AND('POA — Three year summary'!B7&lt;=DATE(2028,6,1),DATE(2028,6,1)&lt;='POA — Three year summary'!C7)="",FALSE,AND('POA — Three year summary'!B7&lt;=DATE(2028,6,1),DATE(2028,6,1)&lt;='POA — Three year summary'!C7)),'POA — Monthly financial forecas'!V38,"")),IF(IF(IF(AND('POA — Three year summary'!B7&lt;=DATE(2028,7,1),DATE(2028,7,1)&lt;='POA — Three year summary'!C7)="",FALSE,AND('POA — Three year summary'!B7&lt;=DATE(2028,7,1),DATE(2028,7,1)&lt;='POA — Three year summary'!C7)),'POA — Monthly financial forecas'!W38,"")="",0,IF(IF(AND('POA — Three year summary'!B7&lt;=DATE(2028,7,1),DATE(2028,7,1)&lt;='POA — Three year summary'!C7)="",FALSE,AND('POA — Three year summary'!B7&lt;=DATE(2028,7,1),DATE(2028,7,1)&lt;='POA — Three year summary'!C7)),'POA — Monthly financial forecas'!W38,"")),IF(IF(IF(AND('POA — Three year summary'!B7&lt;=DATE(2028,8,1),DATE(2028,8,1)&lt;='POA — Three year summary'!C7)="",FALSE,AND('POA — Three year summary'!B7&lt;=DATE(2028,8,1),DATE(2028,8,1)&lt;='POA — Three year summary'!C7)),'POA — Monthly financial forecas'!X38,"")="",0,IF(IF(AND('POA — Three year summary'!B7&lt;=DATE(2028,8,1),DATE(2028,8,1)&lt;='POA — Three year summary'!C7)="",FALSE,AND('POA — Three year summary'!B7&lt;=DATE(2028,8,1),DATE(2028,8,1)&lt;='POA — Three year summary'!C7)),'POA — Monthly financial forecas'!X38,"")),IF(IF(IF(AND('POA — Three year summary'!B7&lt;=DATE(2028,9,1),DATE(2028,9,1)&lt;='POA — Three year summary'!C7)="",FALSE,AND('POA — Three year summary'!B7&lt;=DATE(2028,9,1),DATE(2028,9,1)&lt;='POA — Three year summary'!C7)),'POA — Monthly financial forecas'!Y38,"")="",0,IF(IF(AND('POA — Three year summary'!B7&lt;=DATE(2028,9,1),DATE(2028,9,1)&lt;='POA — Three year summary'!C7)="",FALSE,AND('POA — Three year summary'!B7&lt;=DATE(2028,9,1),DATE(2028,9,1)&lt;='POA — Three year summary'!C7)),'POA — Monthly financial forecas'!Y38,"")),IF(IF(IF(AND('POA — Three year summary'!B7&lt;=DATE(2028,10,1),DATE(2028,10,1)&lt;='POA — Three year summary'!C7)="",FALSE,AND('POA — Three year summary'!B7&lt;=DATE(2028,10,1),DATE(2028,10,1)&lt;='POA — Three year summary'!C7)),'POA — Monthly financial forecas'!Z38,"")="",0,IF(IF(AND('POA — Three year summary'!B7&lt;=DATE(2028,10,1),DATE(2028,10,1)&lt;='POA — Three year summary'!C7)="",FALSE,AND('POA — Three year summary'!B7&lt;=DATE(2028,10,1),DATE(2028,10,1)&lt;='POA — Three year summary'!C7)),'POA — Monthly financial forecas'!Z38,"")),IF(IF(IF(AND('POA — Three year summary'!B7&lt;=DATE(2028,11,1),DATE(2028,11,1)&lt;='POA — Three year summary'!C7)="",FALSE,AND('POA — Three year summary'!B7&lt;=DATE(2028,11,1),DATE(2028,11,1)&lt;='POA — Three year summary'!C7)),'POA — Monthly financial forecas'!AA38,"")="",0,IF(IF(AND('POA — Three year summary'!B7&lt;=DATE(2028,11,1),DATE(2028,11,1)&lt;='POA — Three year summary'!C7)="",FALSE,AND('POA — Three year summary'!B7&lt;=DATE(2028,11,1),DATE(2028,11,1)&lt;='POA — Three year summary'!C7)),'POA — Monthly financial forecas'!AA38,"")),IF(IF(IF(AND('POA — Three year summary'!B7&lt;=DATE(2028,12,1),DATE(2028,12,1)&lt;='POA — Three year summary'!C7)="",FALSE,AND('POA — Three year summary'!B7&lt;=DATE(2028,12,1),DATE(2028,12,1)&lt;='POA — Three year summary'!C7)),'POA — Monthly financial forecas'!AB38,"")="",0,IF(IF(AND('POA — Three year summary'!B7&lt;=DATE(2028,12,1),DATE(2028,12,1)&lt;='POA — Three year summary'!C7)="",FALSE,AND('POA — Three year summary'!B7&lt;=DATE(2028,12,1),DATE(2028,12,1)&lt;='POA — Three year summary'!C7)),'POA — Monthly financial forecas'!AB38,"")),IF(IF(IF(AND('POA — Three year summary'!B7&lt;=DATE(2029,1,1),DATE(2029,1,1)&lt;='POA — Three year summary'!C7)="",FALSE,AND('POA — Three year summary'!B7&lt;=DATE(2029,1,1),DATE(2029,1,1)&lt;='POA — Three year summary'!C7)),'POA — Monthly financial forecas'!AC38,"")="",0,IF(IF(AND('POA — Three year summary'!B7&lt;=DATE(2029,1,1),DATE(2029,1,1)&lt;='POA — Three year summary'!C7)="",FALSE,AND('POA — Three year summary'!B7&lt;=DATE(2029,1,1),DATE(2029,1,1)&lt;='POA — Three year summary'!C7)),'POA — Monthly financial forecas'!AC38,"")),IF(IF(IF(AND('POA — Three year summary'!B7&lt;=DATE(2029,2,1),DATE(2029,2,1)&lt;='POA — Three year summary'!C7)="",FALSE,AND('POA — Three year summary'!B7&lt;=DATE(2029,2,1),DATE(2029,2,1)&lt;='POA — Three year summary'!C7)),'POA — Monthly financial forecas'!AD38,"")="",0,IF(IF(AND('POA — Three year summary'!B7&lt;=DATE(2029,2,1),DATE(2029,2,1)&lt;='POA — Three year summary'!C7)="",FALSE,AND('POA — Three year summary'!B7&lt;=DATE(2029,2,1),DATE(2029,2,1)&lt;='POA — Three year summary'!C7)),'POA — Monthly financial forecas'!AD38,"")),IF(IF(IF(AND('POA — Three year summary'!B7&lt;=DATE(2029,3,1),DATE(2029,3,1)&lt;='POA — Three year summary'!C7)="",FALSE,AND('POA — Three year summary'!B7&lt;=DATE(2029,3,1),DATE(2029,3,1)&lt;='POA — Three year summary'!C7)),'POA — Monthly financial forecas'!AE38,"")="",0,IF(IF(AND('POA — Three year summary'!B7&lt;=DATE(2029,3,1),DATE(2029,3,1)&lt;='POA — Three year summary'!C7)="",FALSE,AND('POA — Three year summary'!B7&lt;=DATE(2029,3,1),DATE(2029,3,1)&lt;='POA — Three year summary'!C7)),'POA — Monthly financial forecas'!AE38,"")))</f>
      </c>
    </row>
    <row r="488">
      <c r="A488" t="inlineStr" s="25">
        <is>
          <t xml:space="preserve">Calculation</t>
        </is>
      </c>
      <c r="B488" s="7">
        <f>SUM(IF(IF(IF(AND('POA — Three year summary'!B7&lt;=DATE(2029,4,1),DATE(2029,4,1)&lt;='POA — Three year summary'!C7)="",FALSE,AND('POA — Three year summary'!B7&lt;=DATE(2029,4,1),DATE(2029,4,1)&lt;='POA — Three year summary'!C7)),'POA — Monthly financial forecas'!AF38,"")="",0,IF(IF(AND('POA — Three year summary'!B7&lt;=DATE(2029,4,1),DATE(2029,4,1)&lt;='POA — Three year summary'!C7)="",FALSE,AND('POA — Three year summary'!B7&lt;=DATE(2029,4,1),DATE(2029,4,1)&lt;='POA — Three year summary'!C7)),'POA — Monthly financial forecas'!AF38,"")),IF(IF(IF(AND('POA — Three year summary'!B7&lt;=DATE(2029,5,1),DATE(2029,5,1)&lt;='POA — Three year summary'!C7)="",FALSE,AND('POA — Three year summary'!B7&lt;=DATE(2029,5,1),DATE(2029,5,1)&lt;='POA — Three year summary'!C7)),'POA — Monthly financial forecas'!AG38,"")="",0,IF(IF(AND('POA — Three year summary'!B7&lt;=DATE(2029,5,1),DATE(2029,5,1)&lt;='POA — Three year summary'!C7)="",FALSE,AND('POA — Three year summary'!B7&lt;=DATE(2029,5,1),DATE(2029,5,1)&lt;='POA — Three year summary'!C7)),'POA — Monthly financial forecas'!AG38,"")),IF(IF(IF(AND('POA — Three year summary'!B7&lt;=DATE(2029,6,1),DATE(2029,6,1)&lt;='POA — Three year summary'!C7)="",FALSE,AND('POA — Three year summary'!B7&lt;=DATE(2029,6,1),DATE(2029,6,1)&lt;='POA — Three year summary'!C7)),'POA — Monthly financial forecas'!AH38,"")="",0,IF(IF(AND('POA — Three year summary'!B7&lt;=DATE(2029,6,1),DATE(2029,6,1)&lt;='POA — Three year summary'!C7)="",FALSE,AND('POA — Three year summary'!B7&lt;=DATE(2029,6,1),DATE(2029,6,1)&lt;='POA — Three year summary'!C7)),'POA — Monthly financial forecas'!AH38,"")),IF(IF(IF(AND('POA — Three year summary'!B7&lt;=DATE(2029,7,1),DATE(2029,7,1)&lt;='POA — Three year summary'!C7)="",FALSE,AND('POA — Three year summary'!B7&lt;=DATE(2029,7,1),DATE(2029,7,1)&lt;='POA — Three year summary'!C7)),'POA — Monthly financial forecas'!AI38,"")="",0,IF(IF(AND('POA — Three year summary'!B7&lt;=DATE(2029,7,1),DATE(2029,7,1)&lt;='POA — Three year summary'!C7)="",FALSE,AND('POA — Three year summary'!B7&lt;=DATE(2029,7,1),DATE(2029,7,1)&lt;='POA — Three year summary'!C7)),'POA — Monthly financial forecas'!AI38,"")),IF(IF(IF(AND('POA — Three year summary'!B7&lt;=DATE(2029,8,1),DATE(2029,8,1)&lt;='POA — Three year summary'!C7)="",FALSE,AND('POA — Three year summary'!B7&lt;=DATE(2029,8,1),DATE(2029,8,1)&lt;='POA — Three year summary'!C7)),'POA — Monthly financial forecas'!AJ38,"")="",0,IF(IF(AND('POA — Three year summary'!B7&lt;=DATE(2029,8,1),DATE(2029,8,1)&lt;='POA — Three year summary'!C7)="",FALSE,AND('POA — Three year summary'!B7&lt;=DATE(2029,8,1),DATE(2029,8,1)&lt;='POA — Three year summary'!C7)),'POA — Monthly financial forecas'!AJ38,"")),IF(IF(IF(AND('POA — Three year summary'!B7&lt;=DATE(2029,9,1),DATE(2029,9,1)&lt;='POA — Three year summary'!C7)="",FALSE,AND('POA — Three year summary'!B7&lt;=DATE(2029,9,1),DATE(2029,9,1)&lt;='POA — Three year summary'!C7)),'POA — Monthly financial forecas'!AK38,"")="",0,IF(IF(AND('POA — Three year summary'!B7&lt;=DATE(2029,9,1),DATE(2029,9,1)&lt;='POA — Three year summary'!C7)="",FALSE,AND('POA — Three year summary'!B7&lt;=DATE(2029,9,1),DATE(2029,9,1)&lt;='POA — Three year summary'!C7)),'POA — Monthly financial forecas'!AK38,"")),IF(IF(IF(AND('POA — Three year summary'!B7&lt;=DATE(2026,9,1),DATE(2026,9,1)&lt;='POA — Three year summary'!C7)="",FALSE,AND('POA — Three year summary'!B7&lt;=DATE(2026,9,1),DATE(2026,9,1)&lt;='POA — Three year summary'!C7)),'Model inputs'!B37,"")="",0,IF(IF(AND('POA — Three year summary'!B7&lt;=DATE(2026,9,1),DATE(2026,9,1)&lt;='POA — Three year summary'!C7)="",FALSE,AND('POA — Three year summary'!B7&lt;=DATE(2026,9,1),DATE(2026,9,1)&lt;='POA — Three year summary'!C7)),'Model inputs'!B37,"")))</f>
      </c>
    </row>
    <row r="489">
      <c r="A489" t="inlineStr" s="25">
        <is>
          <t xml:space="preserve">Calculation</t>
        </is>
      </c>
      <c r="B489" s="7">
        <f>SUM(IF(IF(IF(AND('POA — Three year summary'!B7&lt;=DATE(2026,10,1),DATE(2026,10,1)&lt;='POA — Three year summary'!C7)="",FALSE,AND('POA — Three year summary'!B7&lt;=DATE(2026,10,1),DATE(2026,10,1)&lt;='POA — Three year summary'!C7)),'POA — Monthly financial forecas'!B41,"")="",0,IF(IF(AND('POA — Three year summary'!B7&lt;=DATE(2026,10,1),DATE(2026,10,1)&lt;='POA — Three year summary'!C7)="",FALSE,AND('POA — Three year summary'!B7&lt;=DATE(2026,10,1),DATE(2026,10,1)&lt;='POA — Three year summary'!C7)),'POA — Monthly financial forecas'!B41,"")),IF(IF(IF(AND('POA — Three year summary'!B7&lt;=DATE(2026,11,1),DATE(2026,11,1)&lt;='POA — Three year summary'!C7)="",FALSE,AND('POA — Three year summary'!B7&lt;=DATE(2026,11,1),DATE(2026,11,1)&lt;='POA — Three year summary'!C7)),'POA — Monthly financial forecas'!C41,"")="",0,IF(IF(AND('POA — Three year summary'!B7&lt;=DATE(2026,11,1),DATE(2026,11,1)&lt;='POA — Three year summary'!C7)="",FALSE,AND('POA — Three year summary'!B7&lt;=DATE(2026,11,1),DATE(2026,11,1)&lt;='POA — Three year summary'!C7)),'POA — Monthly financial forecas'!C41,"")),IF(IF(IF(AND('POA — Three year summary'!B7&lt;=DATE(2026,12,1),DATE(2026,12,1)&lt;='POA — Three year summary'!C7)="",FALSE,AND('POA — Three year summary'!B7&lt;=DATE(2026,12,1),DATE(2026,12,1)&lt;='POA — Three year summary'!C7)),'POA — Monthly financial forecas'!D41,"")="",0,IF(IF(AND('POA — Three year summary'!B7&lt;=DATE(2026,12,1),DATE(2026,12,1)&lt;='POA — Three year summary'!C7)="",FALSE,AND('POA — Three year summary'!B7&lt;=DATE(2026,12,1),DATE(2026,12,1)&lt;='POA — Three year summary'!C7)),'POA — Monthly financial forecas'!D41,"")),IF(IF(IF(AND('POA — Three year summary'!B7&lt;=DATE(2027,1,1),DATE(2027,1,1)&lt;='POA — Three year summary'!C7)="",FALSE,AND('POA — Three year summary'!B7&lt;=DATE(2027,1,1),DATE(2027,1,1)&lt;='POA — Three year summary'!C7)),'POA — Monthly financial forecas'!E41,"")="",0,IF(IF(AND('POA — Three year summary'!B7&lt;=DATE(2027,1,1),DATE(2027,1,1)&lt;='POA — Three year summary'!C7)="",FALSE,AND('POA — Three year summary'!B7&lt;=DATE(2027,1,1),DATE(2027,1,1)&lt;='POA — Three year summary'!C7)),'POA — Monthly financial forecas'!E41,"")),IF(IF(IF(AND('POA — Three year summary'!B7&lt;=DATE(2027,2,1),DATE(2027,2,1)&lt;='POA — Three year summary'!C7)="",FALSE,AND('POA — Three year summary'!B7&lt;=DATE(2027,2,1),DATE(2027,2,1)&lt;='POA — Three year summary'!C7)),'POA — Monthly financial forecas'!F41,"")="",0,IF(IF(AND('POA — Three year summary'!B7&lt;=DATE(2027,2,1),DATE(2027,2,1)&lt;='POA — Three year summary'!C7)="",FALSE,AND('POA — Three year summary'!B7&lt;=DATE(2027,2,1),DATE(2027,2,1)&lt;='POA — Three year summary'!C7)),'POA — Monthly financial forecas'!F41,"")),IF(IF(IF(AND('POA — Three year summary'!B7&lt;=DATE(2027,3,1),DATE(2027,3,1)&lt;='POA — Three year summary'!C7)="",FALSE,AND('POA — Three year summary'!B7&lt;=DATE(2027,3,1),DATE(2027,3,1)&lt;='POA — Three year summary'!C7)),'POA — Monthly financial forecas'!G41,"")="",0,IF(IF(AND('POA — Three year summary'!B7&lt;=DATE(2027,3,1),DATE(2027,3,1)&lt;='POA — Three year summary'!C7)="",FALSE,AND('POA — Three year summary'!B7&lt;=DATE(2027,3,1),DATE(2027,3,1)&lt;='POA — Three year summary'!C7)),'POA — Monthly financial forecas'!G41,"")),IF(IF(IF(AND('POA — Three year summary'!B7&lt;=DATE(2027,4,1),DATE(2027,4,1)&lt;='POA — Three year summary'!C7)="",FALSE,AND('POA — Three year summary'!B7&lt;=DATE(2027,4,1),DATE(2027,4,1)&lt;='POA — Three year summary'!C7)),'POA — Monthly financial forecas'!H41,"")="",0,IF(IF(AND('POA — Three year summary'!B7&lt;=DATE(2027,4,1),DATE(2027,4,1)&lt;='POA — Three year summary'!C7)="",FALSE,AND('POA — Three year summary'!B7&lt;=DATE(2027,4,1),DATE(2027,4,1)&lt;='POA — Three year summary'!C7)),'POA — Monthly financial forecas'!H41,"")),IF(IF(IF(AND('POA — Three year summary'!B7&lt;=DATE(2027,5,1),DATE(2027,5,1)&lt;='POA — Three year summary'!C7)="",FALSE,AND('POA — Three year summary'!B7&lt;=DATE(2027,5,1),DATE(2027,5,1)&lt;='POA — Three year summary'!C7)),'POA — Monthly financial forecas'!I41,"")="",0,IF(IF(AND('POA — Three year summary'!B7&lt;=DATE(2027,5,1),DATE(2027,5,1)&lt;='POA — Three year summary'!C7)="",FALSE,AND('POA — Three year summary'!B7&lt;=DATE(2027,5,1),DATE(2027,5,1)&lt;='POA — Three year summary'!C7)),'POA — Monthly financial forecas'!I41,"")),IF(IF(IF(AND('POA — Three year summary'!B7&lt;=DATE(2027,6,1),DATE(2027,6,1)&lt;='POA — Three year summary'!C7)="",FALSE,AND('POA — Three year summary'!B7&lt;=DATE(2027,6,1),DATE(2027,6,1)&lt;='POA — Three year summary'!C7)),'POA — Monthly financial forecas'!J41,"")="",0,IF(IF(AND('POA — Three year summary'!B7&lt;=DATE(2027,6,1),DATE(2027,6,1)&lt;='POA — Three year summary'!C7)="",FALSE,AND('POA — Three year summary'!B7&lt;=DATE(2027,6,1),DATE(2027,6,1)&lt;='POA — Three year summary'!C7)),'POA — Monthly financial forecas'!J41,"")),IF(IF(IF(AND('POA — Three year summary'!B7&lt;=DATE(2027,7,1),DATE(2027,7,1)&lt;='POA — Three year summary'!C7)="",FALSE,AND('POA — Three year summary'!B7&lt;=DATE(2027,7,1),DATE(2027,7,1)&lt;='POA — Three year summary'!C7)),'POA — Monthly financial forecas'!K41,"")="",0,IF(IF(AND('POA — Three year summary'!B7&lt;=DATE(2027,7,1),DATE(2027,7,1)&lt;='POA — Three year summary'!C7)="",FALSE,AND('POA — Three year summary'!B7&lt;=DATE(2027,7,1),DATE(2027,7,1)&lt;='POA — Three year summary'!C7)),'POA — Monthly financial forecas'!K41,"")),IF(IF(IF(AND('POA — Three year summary'!B7&lt;=DATE(2027,8,1),DATE(2027,8,1)&lt;='POA — Three year summary'!C7)="",FALSE,AND('POA — Three year summary'!B7&lt;=DATE(2027,8,1),DATE(2027,8,1)&lt;='POA — Three year summary'!C7)),'POA — Monthly financial forecas'!L41,"")="",0,IF(IF(AND('POA — Three year summary'!B7&lt;=DATE(2027,8,1),DATE(2027,8,1)&lt;='POA — Three year summary'!C7)="",FALSE,AND('POA — Three year summary'!B7&lt;=DATE(2027,8,1),DATE(2027,8,1)&lt;='POA — Three year summary'!C7)),'POA — Monthly financial forecas'!L41,"")),IF(IF(IF(AND('POA — Three year summary'!B7&lt;=DATE(2027,9,1),DATE(2027,9,1)&lt;='POA — Three year summary'!C7)="",FALSE,AND('POA — Three year summary'!B7&lt;=DATE(2027,9,1),DATE(2027,9,1)&lt;='POA — Three year summary'!C7)),'POA — Monthly financial forecas'!M41,"")="",0,IF(IF(AND('POA — Three year summary'!B7&lt;=DATE(2027,9,1),DATE(2027,9,1)&lt;='POA — Three year summary'!C7)="",FALSE,AND('POA — Three year summary'!B7&lt;=DATE(2027,9,1),DATE(2027,9,1)&lt;='POA — Three year summary'!C7)),'POA — Monthly financial forecas'!M41,"")),IF(IF(IF(AND('POA — Three year summary'!B7&lt;=DATE(2027,10,1),DATE(2027,10,1)&lt;='POA — Three year summary'!C7)="",FALSE,AND('POA — Three year summary'!B7&lt;=DATE(2027,10,1),DATE(2027,10,1)&lt;='POA — Three year summary'!C7)),'POA — Monthly financial forecas'!N41,"")="",0,IF(IF(AND('POA — Three year summary'!B7&lt;=DATE(2027,10,1),DATE(2027,10,1)&lt;='POA — Three year summary'!C7)="",FALSE,AND('POA — Three year summary'!B7&lt;=DATE(2027,10,1),DATE(2027,10,1)&lt;='POA — Three year summary'!C7)),'POA — Monthly financial forecas'!N41,"")),IF(IF(IF(AND('POA — Three year summary'!B7&lt;=DATE(2027,11,1),DATE(2027,11,1)&lt;='POA — Three year summary'!C7)="",FALSE,AND('POA — Three year summary'!B7&lt;=DATE(2027,11,1),DATE(2027,11,1)&lt;='POA — Three year summary'!C7)),'POA — Monthly financial forecas'!O41,"")="",0,IF(IF(AND('POA — Three year summary'!B7&lt;=DATE(2027,11,1),DATE(2027,11,1)&lt;='POA — Three year summary'!C7)="",FALSE,AND('POA — Three year summary'!B7&lt;=DATE(2027,11,1),DATE(2027,11,1)&lt;='POA — Three year summary'!C7)),'POA — Monthly financial forecas'!O41,"")),IF(IF(IF(AND('POA — Three year summary'!B7&lt;=DATE(2027,12,1),DATE(2027,12,1)&lt;='POA — Three year summary'!C7)="",FALSE,AND('POA — Three year summary'!B7&lt;=DATE(2027,12,1),DATE(2027,12,1)&lt;='POA — Three year summary'!C7)),'POA — Monthly financial forecas'!P41,"")="",0,IF(IF(AND('POA — Three year summary'!B7&lt;=DATE(2027,12,1),DATE(2027,12,1)&lt;='POA — Three year summary'!C7)="",FALSE,AND('POA — Three year summary'!B7&lt;=DATE(2027,12,1),DATE(2027,12,1)&lt;='POA — Three year summary'!C7)),'POA — Monthly financial forecas'!P41,"")))</f>
      </c>
    </row>
    <row r="490">
      <c r="A490" t="inlineStr" s="25">
        <is>
          <t xml:space="preserve">Calculation</t>
        </is>
      </c>
      <c r="B490" s="7">
        <f>SUM(IF(IF(IF(AND('POA — Three year summary'!B7&lt;=DATE(2028,1,1),DATE(2028,1,1)&lt;='POA — Three year summary'!C7)="",FALSE,AND('POA — Three year summary'!B7&lt;=DATE(2028,1,1),DATE(2028,1,1)&lt;='POA — Three year summary'!C7)),'POA — Monthly financial forecas'!Q41,"")="",0,IF(IF(AND('POA — Three year summary'!B7&lt;=DATE(2028,1,1),DATE(2028,1,1)&lt;='POA — Three year summary'!C7)="",FALSE,AND('POA — Three year summary'!B7&lt;=DATE(2028,1,1),DATE(2028,1,1)&lt;='POA — Three year summary'!C7)),'POA — Monthly financial forecas'!Q41,"")),IF(IF(IF(AND('POA — Three year summary'!B7&lt;=DATE(2028,2,1),DATE(2028,2,1)&lt;='POA — Three year summary'!C7)="",FALSE,AND('POA — Three year summary'!B7&lt;=DATE(2028,2,1),DATE(2028,2,1)&lt;='POA — Three year summary'!C7)),'POA — Monthly financial forecas'!R41,"")="",0,IF(IF(AND('POA — Three year summary'!B7&lt;=DATE(2028,2,1),DATE(2028,2,1)&lt;='POA — Three year summary'!C7)="",FALSE,AND('POA — Three year summary'!B7&lt;=DATE(2028,2,1),DATE(2028,2,1)&lt;='POA — Three year summary'!C7)),'POA — Monthly financial forecas'!R41,"")),IF(IF(IF(AND('POA — Three year summary'!B7&lt;=DATE(2028,3,1),DATE(2028,3,1)&lt;='POA — Three year summary'!C7)="",FALSE,AND('POA — Three year summary'!B7&lt;=DATE(2028,3,1),DATE(2028,3,1)&lt;='POA — Three year summary'!C7)),'POA — Monthly financial forecas'!S41,"")="",0,IF(IF(AND('POA — Three year summary'!B7&lt;=DATE(2028,3,1),DATE(2028,3,1)&lt;='POA — Three year summary'!C7)="",FALSE,AND('POA — Three year summary'!B7&lt;=DATE(2028,3,1),DATE(2028,3,1)&lt;='POA — Three year summary'!C7)),'POA — Monthly financial forecas'!S41,"")),IF(IF(IF(AND('POA — Three year summary'!B7&lt;=DATE(2028,4,1),DATE(2028,4,1)&lt;='POA — Three year summary'!C7)="",FALSE,AND('POA — Three year summary'!B7&lt;=DATE(2028,4,1),DATE(2028,4,1)&lt;='POA — Three year summary'!C7)),'POA — Monthly financial forecas'!T41,"")="",0,IF(IF(AND('POA — Three year summary'!B7&lt;=DATE(2028,4,1),DATE(2028,4,1)&lt;='POA — Three year summary'!C7)="",FALSE,AND('POA — Three year summary'!B7&lt;=DATE(2028,4,1),DATE(2028,4,1)&lt;='POA — Three year summary'!C7)),'POA — Monthly financial forecas'!T41,"")),IF(IF(IF(AND('POA — Three year summary'!B7&lt;=DATE(2028,5,1),DATE(2028,5,1)&lt;='POA — Three year summary'!C7)="",FALSE,AND('POA — Three year summary'!B7&lt;=DATE(2028,5,1),DATE(2028,5,1)&lt;='POA — Three year summary'!C7)),'POA — Monthly financial forecas'!U41,"")="",0,IF(IF(AND('POA — Three year summary'!B7&lt;=DATE(2028,5,1),DATE(2028,5,1)&lt;='POA — Three year summary'!C7)="",FALSE,AND('POA — Three year summary'!B7&lt;=DATE(2028,5,1),DATE(2028,5,1)&lt;='POA — Three year summary'!C7)),'POA — Monthly financial forecas'!U41,"")),IF(IF(IF(AND('POA — Three year summary'!B7&lt;=DATE(2028,6,1),DATE(2028,6,1)&lt;='POA — Three year summary'!C7)="",FALSE,AND('POA — Three year summary'!B7&lt;=DATE(2028,6,1),DATE(2028,6,1)&lt;='POA — Three year summary'!C7)),'POA — Monthly financial forecas'!V41,"")="",0,IF(IF(AND('POA — Three year summary'!B7&lt;=DATE(2028,6,1),DATE(2028,6,1)&lt;='POA — Three year summary'!C7)="",FALSE,AND('POA — Three year summary'!B7&lt;=DATE(2028,6,1),DATE(2028,6,1)&lt;='POA — Three year summary'!C7)),'POA — Monthly financial forecas'!V41,"")),IF(IF(IF(AND('POA — Three year summary'!B7&lt;=DATE(2028,7,1),DATE(2028,7,1)&lt;='POA — Three year summary'!C7)="",FALSE,AND('POA — Three year summary'!B7&lt;=DATE(2028,7,1),DATE(2028,7,1)&lt;='POA — Three year summary'!C7)),'POA — Monthly financial forecas'!W41,"")="",0,IF(IF(AND('POA — Three year summary'!B7&lt;=DATE(2028,7,1),DATE(2028,7,1)&lt;='POA — Three year summary'!C7)="",FALSE,AND('POA — Three year summary'!B7&lt;=DATE(2028,7,1),DATE(2028,7,1)&lt;='POA — Three year summary'!C7)),'POA — Monthly financial forecas'!W41,"")),IF(IF(IF(AND('POA — Three year summary'!B7&lt;=DATE(2028,8,1),DATE(2028,8,1)&lt;='POA — Three year summary'!C7)="",FALSE,AND('POA — Three year summary'!B7&lt;=DATE(2028,8,1),DATE(2028,8,1)&lt;='POA — Three year summary'!C7)),'POA — Monthly financial forecas'!X41,"")="",0,IF(IF(AND('POA — Three year summary'!B7&lt;=DATE(2028,8,1),DATE(2028,8,1)&lt;='POA — Three year summary'!C7)="",FALSE,AND('POA — Three year summary'!B7&lt;=DATE(2028,8,1),DATE(2028,8,1)&lt;='POA — Three year summary'!C7)),'POA — Monthly financial forecas'!X41,"")),IF(IF(IF(AND('POA — Three year summary'!B7&lt;=DATE(2028,9,1),DATE(2028,9,1)&lt;='POA — Three year summary'!C7)="",FALSE,AND('POA — Three year summary'!B7&lt;=DATE(2028,9,1),DATE(2028,9,1)&lt;='POA — Three year summary'!C7)),'POA — Monthly financial forecas'!Y41,"")="",0,IF(IF(AND('POA — Three year summary'!B7&lt;=DATE(2028,9,1),DATE(2028,9,1)&lt;='POA — Three year summary'!C7)="",FALSE,AND('POA — Three year summary'!B7&lt;=DATE(2028,9,1),DATE(2028,9,1)&lt;='POA — Three year summary'!C7)),'POA — Monthly financial forecas'!Y41,"")),IF(IF(IF(AND('POA — Three year summary'!B7&lt;=DATE(2028,10,1),DATE(2028,10,1)&lt;='POA — Three year summary'!C7)="",FALSE,AND('POA — Three year summary'!B7&lt;=DATE(2028,10,1),DATE(2028,10,1)&lt;='POA — Three year summary'!C7)),'POA — Monthly financial forecas'!Z41,"")="",0,IF(IF(AND('POA — Three year summary'!B7&lt;=DATE(2028,10,1),DATE(2028,10,1)&lt;='POA — Three year summary'!C7)="",FALSE,AND('POA — Three year summary'!B7&lt;=DATE(2028,10,1),DATE(2028,10,1)&lt;='POA — Three year summary'!C7)),'POA — Monthly financial forecas'!Z41,"")),IF(IF(IF(AND('POA — Three year summary'!B7&lt;=DATE(2028,11,1),DATE(2028,11,1)&lt;='POA — Three year summary'!C7)="",FALSE,AND('POA — Three year summary'!B7&lt;=DATE(2028,11,1),DATE(2028,11,1)&lt;='POA — Three year summary'!C7)),'POA — Monthly financial forecas'!AA41,"")="",0,IF(IF(AND('POA — Three year summary'!B7&lt;=DATE(2028,11,1),DATE(2028,11,1)&lt;='POA — Three year summary'!C7)="",FALSE,AND('POA — Three year summary'!B7&lt;=DATE(2028,11,1),DATE(2028,11,1)&lt;='POA — Three year summary'!C7)),'POA — Monthly financial forecas'!AA41,"")),IF(IF(IF(AND('POA — Three year summary'!B7&lt;=DATE(2028,12,1),DATE(2028,12,1)&lt;='POA — Three year summary'!C7)="",FALSE,AND('POA — Three year summary'!B7&lt;=DATE(2028,12,1),DATE(2028,12,1)&lt;='POA — Three year summary'!C7)),'POA — Monthly financial forecas'!AB41,"")="",0,IF(IF(AND('POA — Three year summary'!B7&lt;=DATE(2028,12,1),DATE(2028,12,1)&lt;='POA — Three year summary'!C7)="",FALSE,AND('POA — Three year summary'!B7&lt;=DATE(2028,12,1),DATE(2028,12,1)&lt;='POA — Three year summary'!C7)),'POA — Monthly financial forecas'!AB41,"")),IF(IF(IF(AND('POA — Three year summary'!B7&lt;=DATE(2029,1,1),DATE(2029,1,1)&lt;='POA — Three year summary'!C7)="",FALSE,AND('POA — Three year summary'!B7&lt;=DATE(2029,1,1),DATE(2029,1,1)&lt;='POA — Three year summary'!C7)),'POA — Monthly financial forecas'!AC41,"")="",0,IF(IF(AND('POA — Three year summary'!B7&lt;=DATE(2029,1,1),DATE(2029,1,1)&lt;='POA — Three year summary'!C7)="",FALSE,AND('POA — Three year summary'!B7&lt;=DATE(2029,1,1),DATE(2029,1,1)&lt;='POA — Three year summary'!C7)),'POA — Monthly financial forecas'!AC41,"")),IF(IF(IF(AND('POA — Three year summary'!B7&lt;=DATE(2029,2,1),DATE(2029,2,1)&lt;='POA — Three year summary'!C7)="",FALSE,AND('POA — Three year summary'!B7&lt;=DATE(2029,2,1),DATE(2029,2,1)&lt;='POA — Three year summary'!C7)),'POA — Monthly financial forecas'!AD41,"")="",0,IF(IF(AND('POA — Three year summary'!B7&lt;=DATE(2029,2,1),DATE(2029,2,1)&lt;='POA — Three year summary'!C7)="",FALSE,AND('POA — Three year summary'!B7&lt;=DATE(2029,2,1),DATE(2029,2,1)&lt;='POA — Three year summary'!C7)),'POA — Monthly financial forecas'!AD41,"")),IF(IF(IF(AND('POA — Three year summary'!B7&lt;=DATE(2029,3,1),DATE(2029,3,1)&lt;='POA — Three year summary'!C7)="",FALSE,AND('POA — Three year summary'!B7&lt;=DATE(2029,3,1),DATE(2029,3,1)&lt;='POA — Three year summary'!C7)),'POA — Monthly financial forecas'!AE41,"")="",0,IF(IF(AND('POA — Three year summary'!B7&lt;=DATE(2029,3,1),DATE(2029,3,1)&lt;='POA — Three year summary'!C7)="",FALSE,AND('POA — Three year summary'!B7&lt;=DATE(2029,3,1),DATE(2029,3,1)&lt;='POA — Three year summary'!C7)),'POA — Monthly financial forecas'!AE41,"")))</f>
      </c>
    </row>
    <row r="491">
      <c r="A491" t="inlineStr" s="25">
        <is>
          <t xml:space="preserve">Calculation</t>
        </is>
      </c>
      <c r="B491" s="7">
        <f>SUM(IF(IF(IF(AND('POA — Three year summary'!B7&lt;=DATE(2029,4,1),DATE(2029,4,1)&lt;='POA — Three year summary'!C7)="",FALSE,AND('POA — Three year summary'!B7&lt;=DATE(2029,4,1),DATE(2029,4,1)&lt;='POA — Three year summary'!C7)),'POA — Monthly financial forecas'!AF41,"")="",0,IF(IF(AND('POA — Three year summary'!B7&lt;=DATE(2029,4,1),DATE(2029,4,1)&lt;='POA — Three year summary'!C7)="",FALSE,AND('POA — Three year summary'!B7&lt;=DATE(2029,4,1),DATE(2029,4,1)&lt;='POA — Three year summary'!C7)),'POA — Monthly financial forecas'!AF41,"")),IF(IF(IF(AND('POA — Three year summary'!B7&lt;=DATE(2029,5,1),DATE(2029,5,1)&lt;='POA — Three year summary'!C7)="",FALSE,AND('POA — Three year summary'!B7&lt;=DATE(2029,5,1),DATE(2029,5,1)&lt;='POA — Three year summary'!C7)),'POA — Monthly financial forecas'!AG41,"")="",0,IF(IF(AND('POA — Three year summary'!B7&lt;=DATE(2029,5,1),DATE(2029,5,1)&lt;='POA — Three year summary'!C7)="",FALSE,AND('POA — Three year summary'!B7&lt;=DATE(2029,5,1),DATE(2029,5,1)&lt;='POA — Three year summary'!C7)),'POA — Monthly financial forecas'!AG41,"")),IF(IF(IF(AND('POA — Three year summary'!B7&lt;=DATE(2029,6,1),DATE(2029,6,1)&lt;='POA — Three year summary'!C7)="",FALSE,AND('POA — Three year summary'!B7&lt;=DATE(2029,6,1),DATE(2029,6,1)&lt;='POA — Three year summary'!C7)),'POA — Monthly financial forecas'!AH41,"")="",0,IF(IF(AND('POA — Three year summary'!B7&lt;=DATE(2029,6,1),DATE(2029,6,1)&lt;='POA — Three year summary'!C7)="",FALSE,AND('POA — Three year summary'!B7&lt;=DATE(2029,6,1),DATE(2029,6,1)&lt;='POA — Three year summary'!C7)),'POA — Monthly financial forecas'!AH41,"")),IF(IF(IF(AND('POA — Three year summary'!B7&lt;=DATE(2029,7,1),DATE(2029,7,1)&lt;='POA — Three year summary'!C7)="",FALSE,AND('POA — Three year summary'!B7&lt;=DATE(2029,7,1),DATE(2029,7,1)&lt;='POA — Three year summary'!C7)),'POA — Monthly financial forecas'!AI41,"")="",0,IF(IF(AND('POA — Three year summary'!B7&lt;=DATE(2029,7,1),DATE(2029,7,1)&lt;='POA — Three year summary'!C7)="",FALSE,AND('POA — Three year summary'!B7&lt;=DATE(2029,7,1),DATE(2029,7,1)&lt;='POA — Three year summary'!C7)),'POA — Monthly financial forecas'!AI41,"")),IF(IF(IF(AND('POA — Three year summary'!B7&lt;=DATE(2029,8,1),DATE(2029,8,1)&lt;='POA — Three year summary'!C7)="",FALSE,AND('POA — Three year summary'!B7&lt;=DATE(2029,8,1),DATE(2029,8,1)&lt;='POA — Three year summary'!C7)),'POA — Monthly financial forecas'!AJ41,"")="",0,IF(IF(AND('POA — Three year summary'!B7&lt;=DATE(2029,8,1),DATE(2029,8,1)&lt;='POA — Three year summary'!C7)="",FALSE,AND('POA — Three year summary'!B7&lt;=DATE(2029,8,1),DATE(2029,8,1)&lt;='POA — Three year summary'!C7)),'POA — Monthly financial forecas'!AJ41,"")),IF(IF(IF(AND('POA — Three year summary'!B7&lt;=DATE(2029,9,1),DATE(2029,9,1)&lt;='POA — Three year summary'!C7)="",FALSE,AND('POA — Three year summary'!B7&lt;=DATE(2029,9,1),DATE(2029,9,1)&lt;='POA — Three year summary'!C7)),'POA — Monthly financial forecas'!AK41,"")="",0,IF(IF(AND('POA — Three year summary'!B7&lt;=DATE(2029,9,1),DATE(2029,9,1)&lt;='POA — Three year summary'!C7)="",FALSE,AND('POA — Three year summary'!B7&lt;=DATE(2029,9,1),DATE(2029,9,1)&lt;='POA — Three year summary'!C7)),'POA — Monthly financial forecas'!AK41,"")),IF(IF(IF(AND('POA — Three year summary'!B7&lt;=DATE(2026,9,1),DATE(2026,9,1)&lt;='POA — Three year summary'!C7)="",FALSE,AND('POA — Three year summary'!B7&lt;=DATE(2026,9,1),DATE(2026,9,1)&lt;='POA — Three year summary'!C7)),'Model inputs'!B68,"")="",0,IF(IF(AND('POA — Three year summary'!B7&lt;=DATE(2026,9,1),DATE(2026,9,1)&lt;='POA — Three year summary'!C7)="",FALSE,AND('POA — Three year summary'!B7&lt;=DATE(2026,9,1),DATE(2026,9,1)&lt;='POA — Three year summary'!C7)),'Model inputs'!B68,"")))</f>
      </c>
    </row>
    <row r="492">
      <c r="A492" t="inlineStr" s="25">
        <is>
          <t xml:space="preserve">Calculation</t>
        </is>
      </c>
      <c r="B492" s="7">
        <f>SUM(IF(IF(IF(AND('POA — Three year summary'!B7&lt;=DATE(2026,10,1),DATE(2026,10,1)&lt;='POA — Three year summary'!C7)="",FALSE,AND('POA — Three year summary'!B7&lt;=DATE(2026,10,1),DATE(2026,10,1)&lt;='POA — Three year summary'!C7)),'POA — Monthly financial forecas'!B47,"")="",0,IF(IF(AND('POA — Three year summary'!B7&lt;=DATE(2026,10,1),DATE(2026,10,1)&lt;='POA — Three year summary'!C7)="",FALSE,AND('POA — Three year summary'!B7&lt;=DATE(2026,10,1),DATE(2026,10,1)&lt;='POA — Three year summary'!C7)),'POA — Monthly financial forecas'!B47,"")),IF(IF(IF(AND('POA — Three year summary'!B7&lt;=DATE(2026,11,1),DATE(2026,11,1)&lt;='POA — Three year summary'!C7)="",FALSE,AND('POA — Three year summary'!B7&lt;=DATE(2026,11,1),DATE(2026,11,1)&lt;='POA — Three year summary'!C7)),'POA — Monthly financial forecas'!C47,"")="",0,IF(IF(AND('POA — Three year summary'!B7&lt;=DATE(2026,11,1),DATE(2026,11,1)&lt;='POA — Three year summary'!C7)="",FALSE,AND('POA — Three year summary'!B7&lt;=DATE(2026,11,1),DATE(2026,11,1)&lt;='POA — Three year summary'!C7)),'POA — Monthly financial forecas'!C47,"")),IF(IF(IF(AND('POA — Three year summary'!B7&lt;=DATE(2026,12,1),DATE(2026,12,1)&lt;='POA — Three year summary'!C7)="",FALSE,AND('POA — Three year summary'!B7&lt;=DATE(2026,12,1),DATE(2026,12,1)&lt;='POA — Three year summary'!C7)),'POA — Monthly financial forecas'!D47,"")="",0,IF(IF(AND('POA — Three year summary'!B7&lt;=DATE(2026,12,1),DATE(2026,12,1)&lt;='POA — Three year summary'!C7)="",FALSE,AND('POA — Three year summary'!B7&lt;=DATE(2026,12,1),DATE(2026,12,1)&lt;='POA — Three year summary'!C7)),'POA — Monthly financial forecas'!D47,"")),IF(IF(IF(AND('POA — Three year summary'!B7&lt;=DATE(2027,1,1),DATE(2027,1,1)&lt;='POA — Three year summary'!C7)="",FALSE,AND('POA — Three year summary'!B7&lt;=DATE(2027,1,1),DATE(2027,1,1)&lt;='POA — Three year summary'!C7)),'POA — Monthly financial forecas'!E47,"")="",0,IF(IF(AND('POA — Three year summary'!B7&lt;=DATE(2027,1,1),DATE(2027,1,1)&lt;='POA — Three year summary'!C7)="",FALSE,AND('POA — Three year summary'!B7&lt;=DATE(2027,1,1),DATE(2027,1,1)&lt;='POA — Three year summary'!C7)),'POA — Monthly financial forecas'!E47,"")),IF(IF(IF(AND('POA — Three year summary'!B7&lt;=DATE(2027,2,1),DATE(2027,2,1)&lt;='POA — Three year summary'!C7)="",FALSE,AND('POA — Three year summary'!B7&lt;=DATE(2027,2,1),DATE(2027,2,1)&lt;='POA — Three year summary'!C7)),'POA — Monthly financial forecas'!F47,"")="",0,IF(IF(AND('POA — Three year summary'!B7&lt;=DATE(2027,2,1),DATE(2027,2,1)&lt;='POA — Three year summary'!C7)="",FALSE,AND('POA — Three year summary'!B7&lt;=DATE(2027,2,1),DATE(2027,2,1)&lt;='POA — Three year summary'!C7)),'POA — Monthly financial forecas'!F47,"")),IF(IF(IF(AND('POA — Three year summary'!B7&lt;=DATE(2027,3,1),DATE(2027,3,1)&lt;='POA — Three year summary'!C7)="",FALSE,AND('POA — Three year summary'!B7&lt;=DATE(2027,3,1),DATE(2027,3,1)&lt;='POA — Three year summary'!C7)),'POA — Monthly financial forecas'!G47,"")="",0,IF(IF(AND('POA — Three year summary'!B7&lt;=DATE(2027,3,1),DATE(2027,3,1)&lt;='POA — Three year summary'!C7)="",FALSE,AND('POA — Three year summary'!B7&lt;=DATE(2027,3,1),DATE(2027,3,1)&lt;='POA — Three year summary'!C7)),'POA — Monthly financial forecas'!G47,"")),IF(IF(IF(AND('POA — Three year summary'!B7&lt;=DATE(2027,4,1),DATE(2027,4,1)&lt;='POA — Three year summary'!C7)="",FALSE,AND('POA — Three year summary'!B7&lt;=DATE(2027,4,1),DATE(2027,4,1)&lt;='POA — Three year summary'!C7)),'POA — Monthly financial forecas'!H47,"")="",0,IF(IF(AND('POA — Three year summary'!B7&lt;=DATE(2027,4,1),DATE(2027,4,1)&lt;='POA — Three year summary'!C7)="",FALSE,AND('POA — Three year summary'!B7&lt;=DATE(2027,4,1),DATE(2027,4,1)&lt;='POA — Three year summary'!C7)),'POA — Monthly financial forecas'!H47,"")),IF(IF(IF(AND('POA — Three year summary'!B7&lt;=DATE(2027,5,1),DATE(2027,5,1)&lt;='POA — Three year summary'!C7)="",FALSE,AND('POA — Three year summary'!B7&lt;=DATE(2027,5,1),DATE(2027,5,1)&lt;='POA — Three year summary'!C7)),'POA — Monthly financial forecas'!I47,"")="",0,IF(IF(AND('POA — Three year summary'!B7&lt;=DATE(2027,5,1),DATE(2027,5,1)&lt;='POA — Three year summary'!C7)="",FALSE,AND('POA — Three year summary'!B7&lt;=DATE(2027,5,1),DATE(2027,5,1)&lt;='POA — Three year summary'!C7)),'POA — Monthly financial forecas'!I47,"")),IF(IF(IF(AND('POA — Three year summary'!B7&lt;=DATE(2027,6,1),DATE(2027,6,1)&lt;='POA — Three year summary'!C7)="",FALSE,AND('POA — Three year summary'!B7&lt;=DATE(2027,6,1),DATE(2027,6,1)&lt;='POA — Three year summary'!C7)),'POA — Monthly financial forecas'!J47,"")="",0,IF(IF(AND('POA — Three year summary'!B7&lt;=DATE(2027,6,1),DATE(2027,6,1)&lt;='POA — Three year summary'!C7)="",FALSE,AND('POA — Three year summary'!B7&lt;=DATE(2027,6,1),DATE(2027,6,1)&lt;='POA — Three year summary'!C7)),'POA — Monthly financial forecas'!J47,"")),IF(IF(IF(AND('POA — Three year summary'!B7&lt;=DATE(2027,7,1),DATE(2027,7,1)&lt;='POA — Three year summary'!C7)="",FALSE,AND('POA — Three year summary'!B7&lt;=DATE(2027,7,1),DATE(2027,7,1)&lt;='POA — Three year summary'!C7)),'POA — Monthly financial forecas'!K47,"")="",0,IF(IF(AND('POA — Three year summary'!B7&lt;=DATE(2027,7,1),DATE(2027,7,1)&lt;='POA — Three year summary'!C7)="",FALSE,AND('POA — Three year summary'!B7&lt;=DATE(2027,7,1),DATE(2027,7,1)&lt;='POA — Three year summary'!C7)),'POA — Monthly financial forecas'!K47,"")),IF(IF(IF(AND('POA — Three year summary'!B7&lt;=DATE(2027,8,1),DATE(2027,8,1)&lt;='POA — Three year summary'!C7)="",FALSE,AND('POA — Three year summary'!B7&lt;=DATE(2027,8,1),DATE(2027,8,1)&lt;='POA — Three year summary'!C7)),'POA — Monthly financial forecas'!L47,"")="",0,IF(IF(AND('POA — Three year summary'!B7&lt;=DATE(2027,8,1),DATE(2027,8,1)&lt;='POA — Three year summary'!C7)="",FALSE,AND('POA — Three year summary'!B7&lt;=DATE(2027,8,1),DATE(2027,8,1)&lt;='POA — Three year summary'!C7)),'POA — Monthly financial forecas'!L47,"")),IF(IF(IF(AND('POA — Three year summary'!B7&lt;=DATE(2027,9,1),DATE(2027,9,1)&lt;='POA — Three year summary'!C7)="",FALSE,AND('POA — Three year summary'!B7&lt;=DATE(2027,9,1),DATE(2027,9,1)&lt;='POA — Three year summary'!C7)),'POA — Monthly financial forecas'!M47,"")="",0,IF(IF(AND('POA — Three year summary'!B7&lt;=DATE(2027,9,1),DATE(2027,9,1)&lt;='POA — Three year summary'!C7)="",FALSE,AND('POA — Three year summary'!B7&lt;=DATE(2027,9,1),DATE(2027,9,1)&lt;='POA — Three year summary'!C7)),'POA — Monthly financial forecas'!M47,"")),IF(IF(IF(AND('POA — Three year summary'!B7&lt;=DATE(2027,10,1),DATE(2027,10,1)&lt;='POA — Three year summary'!C7)="",FALSE,AND('POA — Three year summary'!B7&lt;=DATE(2027,10,1),DATE(2027,10,1)&lt;='POA — Three year summary'!C7)),'POA — Monthly financial forecas'!N47,"")="",0,IF(IF(AND('POA — Three year summary'!B7&lt;=DATE(2027,10,1),DATE(2027,10,1)&lt;='POA — Three year summary'!C7)="",FALSE,AND('POA — Three year summary'!B7&lt;=DATE(2027,10,1),DATE(2027,10,1)&lt;='POA — Three year summary'!C7)),'POA — Monthly financial forecas'!N47,"")),IF(IF(IF(AND('POA — Three year summary'!B7&lt;=DATE(2027,11,1),DATE(2027,11,1)&lt;='POA — Three year summary'!C7)="",FALSE,AND('POA — Three year summary'!B7&lt;=DATE(2027,11,1),DATE(2027,11,1)&lt;='POA — Three year summary'!C7)),'POA — Monthly financial forecas'!O47,"")="",0,IF(IF(AND('POA — Three year summary'!B7&lt;=DATE(2027,11,1),DATE(2027,11,1)&lt;='POA — Three year summary'!C7)="",FALSE,AND('POA — Three year summary'!B7&lt;=DATE(2027,11,1),DATE(2027,11,1)&lt;='POA — Three year summary'!C7)),'POA — Monthly financial forecas'!O47,"")),IF(IF(IF(AND('POA — Three year summary'!B7&lt;=DATE(2027,12,1),DATE(2027,12,1)&lt;='POA — Three year summary'!C7)="",FALSE,AND('POA — Three year summary'!B7&lt;=DATE(2027,12,1),DATE(2027,12,1)&lt;='POA — Three year summary'!C7)),'POA — Monthly financial forecas'!P47,"")="",0,IF(IF(AND('POA — Three year summary'!B7&lt;=DATE(2027,12,1),DATE(2027,12,1)&lt;='POA — Three year summary'!C7)="",FALSE,AND('POA — Three year summary'!B7&lt;=DATE(2027,12,1),DATE(2027,12,1)&lt;='POA — Three year summary'!C7)),'POA — Monthly financial forecas'!P47,"")))</f>
      </c>
    </row>
    <row r="493">
      <c r="A493" t="inlineStr" s="25">
        <is>
          <t xml:space="preserve">Calculation</t>
        </is>
      </c>
      <c r="B493" s="7">
        <f>SUM(IF(IF(IF(AND('POA — Three year summary'!B7&lt;=DATE(2028,1,1),DATE(2028,1,1)&lt;='POA — Three year summary'!C7)="",FALSE,AND('POA — Three year summary'!B7&lt;=DATE(2028,1,1),DATE(2028,1,1)&lt;='POA — Three year summary'!C7)),'POA — Monthly financial forecas'!Q47,"")="",0,IF(IF(AND('POA — Three year summary'!B7&lt;=DATE(2028,1,1),DATE(2028,1,1)&lt;='POA — Three year summary'!C7)="",FALSE,AND('POA — Three year summary'!B7&lt;=DATE(2028,1,1),DATE(2028,1,1)&lt;='POA — Three year summary'!C7)),'POA — Monthly financial forecas'!Q47,"")),IF(IF(IF(AND('POA — Three year summary'!B7&lt;=DATE(2028,2,1),DATE(2028,2,1)&lt;='POA — Three year summary'!C7)="",FALSE,AND('POA — Three year summary'!B7&lt;=DATE(2028,2,1),DATE(2028,2,1)&lt;='POA — Three year summary'!C7)),'POA — Monthly financial forecas'!R47,"")="",0,IF(IF(AND('POA — Three year summary'!B7&lt;=DATE(2028,2,1),DATE(2028,2,1)&lt;='POA — Three year summary'!C7)="",FALSE,AND('POA — Three year summary'!B7&lt;=DATE(2028,2,1),DATE(2028,2,1)&lt;='POA — Three year summary'!C7)),'POA — Monthly financial forecas'!R47,"")),IF(IF(IF(AND('POA — Three year summary'!B7&lt;=DATE(2028,3,1),DATE(2028,3,1)&lt;='POA — Three year summary'!C7)="",FALSE,AND('POA — Three year summary'!B7&lt;=DATE(2028,3,1),DATE(2028,3,1)&lt;='POA — Three year summary'!C7)),'POA — Monthly financial forecas'!S47,"")="",0,IF(IF(AND('POA — Three year summary'!B7&lt;=DATE(2028,3,1),DATE(2028,3,1)&lt;='POA — Three year summary'!C7)="",FALSE,AND('POA — Three year summary'!B7&lt;=DATE(2028,3,1),DATE(2028,3,1)&lt;='POA — Three year summary'!C7)),'POA — Monthly financial forecas'!S47,"")),IF(IF(IF(AND('POA — Three year summary'!B7&lt;=DATE(2028,4,1),DATE(2028,4,1)&lt;='POA — Three year summary'!C7)="",FALSE,AND('POA — Three year summary'!B7&lt;=DATE(2028,4,1),DATE(2028,4,1)&lt;='POA — Three year summary'!C7)),'POA — Monthly financial forecas'!T47,"")="",0,IF(IF(AND('POA — Three year summary'!B7&lt;=DATE(2028,4,1),DATE(2028,4,1)&lt;='POA — Three year summary'!C7)="",FALSE,AND('POA — Three year summary'!B7&lt;=DATE(2028,4,1),DATE(2028,4,1)&lt;='POA — Three year summary'!C7)),'POA — Monthly financial forecas'!T47,"")),IF(IF(IF(AND('POA — Three year summary'!B7&lt;=DATE(2028,5,1),DATE(2028,5,1)&lt;='POA — Three year summary'!C7)="",FALSE,AND('POA — Three year summary'!B7&lt;=DATE(2028,5,1),DATE(2028,5,1)&lt;='POA — Three year summary'!C7)),'POA — Monthly financial forecas'!U47,"")="",0,IF(IF(AND('POA — Three year summary'!B7&lt;=DATE(2028,5,1),DATE(2028,5,1)&lt;='POA — Three year summary'!C7)="",FALSE,AND('POA — Three year summary'!B7&lt;=DATE(2028,5,1),DATE(2028,5,1)&lt;='POA — Three year summary'!C7)),'POA — Monthly financial forecas'!U47,"")),IF(IF(IF(AND('POA — Three year summary'!B7&lt;=DATE(2028,6,1),DATE(2028,6,1)&lt;='POA — Three year summary'!C7)="",FALSE,AND('POA — Three year summary'!B7&lt;=DATE(2028,6,1),DATE(2028,6,1)&lt;='POA — Three year summary'!C7)),'POA — Monthly financial forecas'!V47,"")="",0,IF(IF(AND('POA — Three year summary'!B7&lt;=DATE(2028,6,1),DATE(2028,6,1)&lt;='POA — Three year summary'!C7)="",FALSE,AND('POA — Three year summary'!B7&lt;=DATE(2028,6,1),DATE(2028,6,1)&lt;='POA — Three year summary'!C7)),'POA — Monthly financial forecas'!V47,"")),IF(IF(IF(AND('POA — Three year summary'!B7&lt;=DATE(2028,7,1),DATE(2028,7,1)&lt;='POA — Three year summary'!C7)="",FALSE,AND('POA — Three year summary'!B7&lt;=DATE(2028,7,1),DATE(2028,7,1)&lt;='POA — Three year summary'!C7)),'POA — Monthly financial forecas'!W47,"")="",0,IF(IF(AND('POA — Three year summary'!B7&lt;=DATE(2028,7,1),DATE(2028,7,1)&lt;='POA — Three year summary'!C7)="",FALSE,AND('POA — Three year summary'!B7&lt;=DATE(2028,7,1),DATE(2028,7,1)&lt;='POA — Three year summary'!C7)),'POA — Monthly financial forecas'!W47,"")),IF(IF(IF(AND('POA — Three year summary'!B7&lt;=DATE(2028,8,1),DATE(2028,8,1)&lt;='POA — Three year summary'!C7)="",FALSE,AND('POA — Three year summary'!B7&lt;=DATE(2028,8,1),DATE(2028,8,1)&lt;='POA — Three year summary'!C7)),'POA — Monthly financial forecas'!X47,"")="",0,IF(IF(AND('POA — Three year summary'!B7&lt;=DATE(2028,8,1),DATE(2028,8,1)&lt;='POA — Three year summary'!C7)="",FALSE,AND('POA — Three year summary'!B7&lt;=DATE(2028,8,1),DATE(2028,8,1)&lt;='POA — Three year summary'!C7)),'POA — Monthly financial forecas'!X47,"")),IF(IF(IF(AND('POA — Three year summary'!B7&lt;=DATE(2028,9,1),DATE(2028,9,1)&lt;='POA — Three year summary'!C7)="",FALSE,AND('POA — Three year summary'!B7&lt;=DATE(2028,9,1),DATE(2028,9,1)&lt;='POA — Three year summary'!C7)),'POA — Monthly financial forecas'!Y47,"")="",0,IF(IF(AND('POA — Three year summary'!B7&lt;=DATE(2028,9,1),DATE(2028,9,1)&lt;='POA — Three year summary'!C7)="",FALSE,AND('POA — Three year summary'!B7&lt;=DATE(2028,9,1),DATE(2028,9,1)&lt;='POA — Three year summary'!C7)),'POA — Monthly financial forecas'!Y47,"")),IF(IF(IF(AND('POA — Three year summary'!B7&lt;=DATE(2028,10,1),DATE(2028,10,1)&lt;='POA — Three year summary'!C7)="",FALSE,AND('POA — Three year summary'!B7&lt;=DATE(2028,10,1),DATE(2028,10,1)&lt;='POA — Three year summary'!C7)),'POA — Monthly financial forecas'!Z47,"")="",0,IF(IF(AND('POA — Three year summary'!B7&lt;=DATE(2028,10,1),DATE(2028,10,1)&lt;='POA — Three year summary'!C7)="",FALSE,AND('POA — Three year summary'!B7&lt;=DATE(2028,10,1),DATE(2028,10,1)&lt;='POA — Three year summary'!C7)),'POA — Monthly financial forecas'!Z47,"")),IF(IF(IF(AND('POA — Three year summary'!B7&lt;=DATE(2028,11,1),DATE(2028,11,1)&lt;='POA — Three year summary'!C7)="",FALSE,AND('POA — Three year summary'!B7&lt;=DATE(2028,11,1),DATE(2028,11,1)&lt;='POA — Three year summary'!C7)),'POA — Monthly financial forecas'!AA47,"")="",0,IF(IF(AND('POA — Three year summary'!B7&lt;=DATE(2028,11,1),DATE(2028,11,1)&lt;='POA — Three year summary'!C7)="",FALSE,AND('POA — Three year summary'!B7&lt;=DATE(2028,11,1),DATE(2028,11,1)&lt;='POA — Three year summary'!C7)),'POA — Monthly financial forecas'!AA47,"")),IF(IF(IF(AND('POA — Three year summary'!B7&lt;=DATE(2028,12,1),DATE(2028,12,1)&lt;='POA — Three year summary'!C7)="",FALSE,AND('POA — Three year summary'!B7&lt;=DATE(2028,12,1),DATE(2028,12,1)&lt;='POA — Three year summary'!C7)),'POA — Monthly financial forecas'!AB47,"")="",0,IF(IF(AND('POA — Three year summary'!B7&lt;=DATE(2028,12,1),DATE(2028,12,1)&lt;='POA — Three year summary'!C7)="",FALSE,AND('POA — Three year summary'!B7&lt;=DATE(2028,12,1),DATE(2028,12,1)&lt;='POA — Three year summary'!C7)),'POA — Monthly financial forecas'!AB47,"")),IF(IF(IF(AND('POA — Three year summary'!B7&lt;=DATE(2029,1,1),DATE(2029,1,1)&lt;='POA — Three year summary'!C7)="",FALSE,AND('POA — Three year summary'!B7&lt;=DATE(2029,1,1),DATE(2029,1,1)&lt;='POA — Three year summary'!C7)),'POA — Monthly financial forecas'!AC47,"")="",0,IF(IF(AND('POA — Three year summary'!B7&lt;=DATE(2029,1,1),DATE(2029,1,1)&lt;='POA — Three year summary'!C7)="",FALSE,AND('POA — Three year summary'!B7&lt;=DATE(2029,1,1),DATE(2029,1,1)&lt;='POA — Three year summary'!C7)),'POA — Monthly financial forecas'!AC47,"")),IF(IF(IF(AND('POA — Three year summary'!B7&lt;=DATE(2029,2,1),DATE(2029,2,1)&lt;='POA — Three year summary'!C7)="",FALSE,AND('POA — Three year summary'!B7&lt;=DATE(2029,2,1),DATE(2029,2,1)&lt;='POA — Three year summary'!C7)),'POA — Monthly financial forecas'!AD47,"")="",0,IF(IF(AND('POA — Three year summary'!B7&lt;=DATE(2029,2,1),DATE(2029,2,1)&lt;='POA — Three year summary'!C7)="",FALSE,AND('POA — Three year summary'!B7&lt;=DATE(2029,2,1),DATE(2029,2,1)&lt;='POA — Three year summary'!C7)),'POA — Monthly financial forecas'!AD47,"")),IF(IF(IF(AND('POA — Three year summary'!B7&lt;=DATE(2029,3,1),DATE(2029,3,1)&lt;='POA — Three year summary'!C7)="",FALSE,AND('POA — Three year summary'!B7&lt;=DATE(2029,3,1),DATE(2029,3,1)&lt;='POA — Three year summary'!C7)),'POA — Monthly financial forecas'!AE47,"")="",0,IF(IF(AND('POA — Three year summary'!B7&lt;=DATE(2029,3,1),DATE(2029,3,1)&lt;='POA — Three year summary'!C7)="",FALSE,AND('POA — Three year summary'!B7&lt;=DATE(2029,3,1),DATE(2029,3,1)&lt;='POA — Three year summary'!C7)),'POA — Monthly financial forecas'!AE47,"")))</f>
      </c>
    </row>
    <row r="494">
      <c r="A494" t="inlineStr" s="25">
        <is>
          <t xml:space="preserve">Calculation</t>
        </is>
      </c>
      <c r="B494" s="7">
        <f>SUM(IF(IF(IF(AND('POA — Three year summary'!B7&lt;=DATE(2029,4,1),DATE(2029,4,1)&lt;='POA — Three year summary'!C7)="",FALSE,AND('POA — Three year summary'!B7&lt;=DATE(2029,4,1),DATE(2029,4,1)&lt;='POA — Three year summary'!C7)),'POA — Monthly financial forecas'!AF47,"")="",0,IF(IF(AND('POA — Three year summary'!B7&lt;=DATE(2029,4,1),DATE(2029,4,1)&lt;='POA — Three year summary'!C7)="",FALSE,AND('POA — Three year summary'!B7&lt;=DATE(2029,4,1),DATE(2029,4,1)&lt;='POA — Three year summary'!C7)),'POA — Monthly financial forecas'!AF47,"")),IF(IF(IF(AND('POA — Three year summary'!B7&lt;=DATE(2029,5,1),DATE(2029,5,1)&lt;='POA — Three year summary'!C7)="",FALSE,AND('POA — Three year summary'!B7&lt;=DATE(2029,5,1),DATE(2029,5,1)&lt;='POA — Three year summary'!C7)),'POA — Monthly financial forecas'!AG47,"")="",0,IF(IF(AND('POA — Three year summary'!B7&lt;=DATE(2029,5,1),DATE(2029,5,1)&lt;='POA — Three year summary'!C7)="",FALSE,AND('POA — Three year summary'!B7&lt;=DATE(2029,5,1),DATE(2029,5,1)&lt;='POA — Three year summary'!C7)),'POA — Monthly financial forecas'!AG47,"")),IF(IF(IF(AND('POA — Three year summary'!B7&lt;=DATE(2029,6,1),DATE(2029,6,1)&lt;='POA — Three year summary'!C7)="",FALSE,AND('POA — Three year summary'!B7&lt;=DATE(2029,6,1),DATE(2029,6,1)&lt;='POA — Three year summary'!C7)),'POA — Monthly financial forecas'!AH47,"")="",0,IF(IF(AND('POA — Three year summary'!B7&lt;=DATE(2029,6,1),DATE(2029,6,1)&lt;='POA — Three year summary'!C7)="",FALSE,AND('POA — Three year summary'!B7&lt;=DATE(2029,6,1),DATE(2029,6,1)&lt;='POA — Three year summary'!C7)),'POA — Monthly financial forecas'!AH47,"")),IF(IF(IF(AND('POA — Three year summary'!B7&lt;=DATE(2029,7,1),DATE(2029,7,1)&lt;='POA — Three year summary'!C7)="",FALSE,AND('POA — Three year summary'!B7&lt;=DATE(2029,7,1),DATE(2029,7,1)&lt;='POA — Three year summary'!C7)),'POA — Monthly financial forecas'!AI47,"")="",0,IF(IF(AND('POA — Three year summary'!B7&lt;=DATE(2029,7,1),DATE(2029,7,1)&lt;='POA — Three year summary'!C7)="",FALSE,AND('POA — Three year summary'!B7&lt;=DATE(2029,7,1),DATE(2029,7,1)&lt;='POA — Three year summary'!C7)),'POA — Monthly financial forecas'!AI47,"")),IF(IF(IF(AND('POA — Three year summary'!B7&lt;=DATE(2029,8,1),DATE(2029,8,1)&lt;='POA — Three year summary'!C7)="",FALSE,AND('POA — Three year summary'!B7&lt;=DATE(2029,8,1),DATE(2029,8,1)&lt;='POA — Three year summary'!C7)),'POA — Monthly financial forecas'!AJ47,"")="",0,IF(IF(AND('POA — Three year summary'!B7&lt;=DATE(2029,8,1),DATE(2029,8,1)&lt;='POA — Three year summary'!C7)="",FALSE,AND('POA — Three year summary'!B7&lt;=DATE(2029,8,1),DATE(2029,8,1)&lt;='POA — Three year summary'!C7)),'POA — Monthly financial forecas'!AJ47,"")),IF(IF(IF(AND('POA — Three year summary'!B7&lt;=DATE(2029,9,1),DATE(2029,9,1)&lt;='POA — Three year summary'!C7)="",FALSE,AND('POA — Three year summary'!B7&lt;=DATE(2029,9,1),DATE(2029,9,1)&lt;='POA — Three year summary'!C7)),'POA — Monthly financial forecas'!AK47,"")="",0,IF(IF(AND('POA — Three year summary'!B7&lt;=DATE(2029,9,1),DATE(2029,9,1)&lt;='POA — Three year summary'!C7)="",FALSE,AND('POA — Three year summary'!B7&lt;=DATE(2029,9,1),DATE(2029,9,1)&lt;='POA — Three year summary'!C7)),'POA — Monthly financial forecas'!AK47,"")),IF(IF(IF(AND('POA — Three year summary'!B7&lt;=DATE(2026,9,1),DATE(2026,9,1)&lt;='POA — Three year summary'!C7)="",FALSE,AND('POA — Three year summary'!B7&lt;=DATE(2026,9,1),DATE(2026,9,1)&lt;='POA — Three year summary'!C7)),'Model inputs'!B29,"")="",0,IF(IF(AND('POA — Three year summary'!B7&lt;=DATE(2026,9,1),DATE(2026,9,1)&lt;='POA — Three year summary'!C7)="",FALSE,AND('POA — Three year summary'!B7&lt;=DATE(2026,9,1),DATE(2026,9,1)&lt;='POA — Three year summary'!C7)),'Model inputs'!B29,"")))</f>
      </c>
    </row>
    <row r="495">
      <c r="A495" t="inlineStr" s="25">
        <is>
          <t xml:space="preserve">Calculation</t>
        </is>
      </c>
      <c r="B495" s="7">
        <f>SUM(IF(IF(IF(AND('POA — Three year summary'!B7&lt;=DATE(2026,10,1),DATE(2026,10,1)&lt;='POA — Three year summary'!C7)="",FALSE,AND('POA — Three year summary'!B7&lt;=DATE(2026,10,1),DATE(2026,10,1)&lt;='POA — Three year summary'!C7)),'POA — Monthly financial forecas'!B49,"")="",0,IF(IF(AND('POA — Three year summary'!B7&lt;=DATE(2026,10,1),DATE(2026,10,1)&lt;='POA — Three year summary'!C7)="",FALSE,AND('POA — Three year summary'!B7&lt;=DATE(2026,10,1),DATE(2026,10,1)&lt;='POA — Three year summary'!C7)),'POA — Monthly financial forecas'!B49,"")),IF(IF(IF(AND('POA — Three year summary'!B7&lt;=DATE(2026,11,1),DATE(2026,11,1)&lt;='POA — Three year summary'!C7)="",FALSE,AND('POA — Three year summary'!B7&lt;=DATE(2026,11,1),DATE(2026,11,1)&lt;='POA — Three year summary'!C7)),'POA — Monthly financial forecas'!C49,"")="",0,IF(IF(AND('POA — Three year summary'!B7&lt;=DATE(2026,11,1),DATE(2026,11,1)&lt;='POA — Three year summary'!C7)="",FALSE,AND('POA — Three year summary'!B7&lt;=DATE(2026,11,1),DATE(2026,11,1)&lt;='POA — Three year summary'!C7)),'POA — Monthly financial forecas'!C49,"")),IF(IF(IF(AND('POA — Three year summary'!B7&lt;=DATE(2026,12,1),DATE(2026,12,1)&lt;='POA — Three year summary'!C7)="",FALSE,AND('POA — Three year summary'!B7&lt;=DATE(2026,12,1),DATE(2026,12,1)&lt;='POA — Three year summary'!C7)),'POA — Monthly financial forecas'!D49,"")="",0,IF(IF(AND('POA — Three year summary'!B7&lt;=DATE(2026,12,1),DATE(2026,12,1)&lt;='POA — Three year summary'!C7)="",FALSE,AND('POA — Three year summary'!B7&lt;=DATE(2026,12,1),DATE(2026,12,1)&lt;='POA — Three year summary'!C7)),'POA — Monthly financial forecas'!D49,"")),IF(IF(IF(AND('POA — Three year summary'!B7&lt;=DATE(2027,1,1),DATE(2027,1,1)&lt;='POA — Three year summary'!C7)="",FALSE,AND('POA — Three year summary'!B7&lt;=DATE(2027,1,1),DATE(2027,1,1)&lt;='POA — Three year summary'!C7)),'POA — Monthly financial forecas'!E49,"")="",0,IF(IF(AND('POA — Three year summary'!B7&lt;=DATE(2027,1,1),DATE(2027,1,1)&lt;='POA — Three year summary'!C7)="",FALSE,AND('POA — Three year summary'!B7&lt;=DATE(2027,1,1),DATE(2027,1,1)&lt;='POA — Three year summary'!C7)),'POA — Monthly financial forecas'!E49,"")),IF(IF(IF(AND('POA — Three year summary'!B7&lt;=DATE(2027,2,1),DATE(2027,2,1)&lt;='POA — Three year summary'!C7)="",FALSE,AND('POA — Three year summary'!B7&lt;=DATE(2027,2,1),DATE(2027,2,1)&lt;='POA — Three year summary'!C7)),'POA — Monthly financial forecas'!F49,"")="",0,IF(IF(AND('POA — Three year summary'!B7&lt;=DATE(2027,2,1),DATE(2027,2,1)&lt;='POA — Three year summary'!C7)="",FALSE,AND('POA — Three year summary'!B7&lt;=DATE(2027,2,1),DATE(2027,2,1)&lt;='POA — Three year summary'!C7)),'POA — Monthly financial forecas'!F49,"")),IF(IF(IF(AND('POA — Three year summary'!B7&lt;=DATE(2027,3,1),DATE(2027,3,1)&lt;='POA — Three year summary'!C7)="",FALSE,AND('POA — Three year summary'!B7&lt;=DATE(2027,3,1),DATE(2027,3,1)&lt;='POA — Three year summary'!C7)),'POA — Monthly financial forecas'!G49,"")="",0,IF(IF(AND('POA — Three year summary'!B7&lt;=DATE(2027,3,1),DATE(2027,3,1)&lt;='POA — Three year summary'!C7)="",FALSE,AND('POA — Three year summary'!B7&lt;=DATE(2027,3,1),DATE(2027,3,1)&lt;='POA — Three year summary'!C7)),'POA — Monthly financial forecas'!G49,"")),IF(IF(IF(AND('POA — Three year summary'!B7&lt;=DATE(2027,4,1),DATE(2027,4,1)&lt;='POA — Three year summary'!C7)="",FALSE,AND('POA — Three year summary'!B7&lt;=DATE(2027,4,1),DATE(2027,4,1)&lt;='POA — Three year summary'!C7)),'POA — Monthly financial forecas'!H49,"")="",0,IF(IF(AND('POA — Three year summary'!B7&lt;=DATE(2027,4,1),DATE(2027,4,1)&lt;='POA — Three year summary'!C7)="",FALSE,AND('POA — Three year summary'!B7&lt;=DATE(2027,4,1),DATE(2027,4,1)&lt;='POA — Three year summary'!C7)),'POA — Monthly financial forecas'!H49,"")),IF(IF(IF(AND('POA — Three year summary'!B7&lt;=DATE(2027,5,1),DATE(2027,5,1)&lt;='POA — Three year summary'!C7)="",FALSE,AND('POA — Three year summary'!B7&lt;=DATE(2027,5,1),DATE(2027,5,1)&lt;='POA — Three year summary'!C7)),'POA — Monthly financial forecas'!I49,"")="",0,IF(IF(AND('POA — Three year summary'!B7&lt;=DATE(2027,5,1),DATE(2027,5,1)&lt;='POA — Three year summary'!C7)="",FALSE,AND('POA — Three year summary'!B7&lt;=DATE(2027,5,1),DATE(2027,5,1)&lt;='POA — Three year summary'!C7)),'POA — Monthly financial forecas'!I49,"")),IF(IF(IF(AND('POA — Three year summary'!B7&lt;=DATE(2027,6,1),DATE(2027,6,1)&lt;='POA — Three year summary'!C7)="",FALSE,AND('POA — Three year summary'!B7&lt;=DATE(2027,6,1),DATE(2027,6,1)&lt;='POA — Three year summary'!C7)),'POA — Monthly financial forecas'!J49,"")="",0,IF(IF(AND('POA — Three year summary'!B7&lt;=DATE(2027,6,1),DATE(2027,6,1)&lt;='POA — Three year summary'!C7)="",FALSE,AND('POA — Three year summary'!B7&lt;=DATE(2027,6,1),DATE(2027,6,1)&lt;='POA — Three year summary'!C7)),'POA — Monthly financial forecas'!J49,"")),IF(IF(IF(AND('POA — Three year summary'!B7&lt;=DATE(2027,7,1),DATE(2027,7,1)&lt;='POA — Three year summary'!C7)="",FALSE,AND('POA — Three year summary'!B7&lt;=DATE(2027,7,1),DATE(2027,7,1)&lt;='POA — Three year summary'!C7)),'POA — Monthly financial forecas'!K49,"")="",0,IF(IF(AND('POA — Three year summary'!B7&lt;=DATE(2027,7,1),DATE(2027,7,1)&lt;='POA — Three year summary'!C7)="",FALSE,AND('POA — Three year summary'!B7&lt;=DATE(2027,7,1),DATE(2027,7,1)&lt;='POA — Three year summary'!C7)),'POA — Monthly financial forecas'!K49,"")),IF(IF(IF(AND('POA — Three year summary'!B7&lt;=DATE(2027,8,1),DATE(2027,8,1)&lt;='POA — Three year summary'!C7)="",FALSE,AND('POA — Three year summary'!B7&lt;=DATE(2027,8,1),DATE(2027,8,1)&lt;='POA — Three year summary'!C7)),'POA — Monthly financial forecas'!L49,"")="",0,IF(IF(AND('POA — Three year summary'!B7&lt;=DATE(2027,8,1),DATE(2027,8,1)&lt;='POA — Three year summary'!C7)="",FALSE,AND('POA — Three year summary'!B7&lt;=DATE(2027,8,1),DATE(2027,8,1)&lt;='POA — Three year summary'!C7)),'POA — Monthly financial forecas'!L49,"")),IF(IF(IF(AND('POA — Three year summary'!B7&lt;=DATE(2027,9,1),DATE(2027,9,1)&lt;='POA — Three year summary'!C7)="",FALSE,AND('POA — Three year summary'!B7&lt;=DATE(2027,9,1),DATE(2027,9,1)&lt;='POA — Three year summary'!C7)),'POA — Monthly financial forecas'!M49,"")="",0,IF(IF(AND('POA — Three year summary'!B7&lt;=DATE(2027,9,1),DATE(2027,9,1)&lt;='POA — Three year summary'!C7)="",FALSE,AND('POA — Three year summary'!B7&lt;=DATE(2027,9,1),DATE(2027,9,1)&lt;='POA — Three year summary'!C7)),'POA — Monthly financial forecas'!M49,"")),IF(IF(IF(AND('POA — Three year summary'!B7&lt;=DATE(2027,10,1),DATE(2027,10,1)&lt;='POA — Three year summary'!C7)="",FALSE,AND('POA — Three year summary'!B7&lt;=DATE(2027,10,1),DATE(2027,10,1)&lt;='POA — Three year summary'!C7)),'POA — Monthly financial forecas'!N49,"")="",0,IF(IF(AND('POA — Three year summary'!B7&lt;=DATE(2027,10,1),DATE(2027,10,1)&lt;='POA — Three year summary'!C7)="",FALSE,AND('POA — Three year summary'!B7&lt;=DATE(2027,10,1),DATE(2027,10,1)&lt;='POA — Three year summary'!C7)),'POA — Monthly financial forecas'!N49,"")),IF(IF(IF(AND('POA — Three year summary'!B7&lt;=DATE(2027,11,1),DATE(2027,11,1)&lt;='POA — Three year summary'!C7)="",FALSE,AND('POA — Three year summary'!B7&lt;=DATE(2027,11,1),DATE(2027,11,1)&lt;='POA — Three year summary'!C7)),'POA — Monthly financial forecas'!O49,"")="",0,IF(IF(AND('POA — Three year summary'!B7&lt;=DATE(2027,11,1),DATE(2027,11,1)&lt;='POA — Three year summary'!C7)="",FALSE,AND('POA — Three year summary'!B7&lt;=DATE(2027,11,1),DATE(2027,11,1)&lt;='POA — Three year summary'!C7)),'POA — Monthly financial forecas'!O49,"")),IF(IF(IF(AND('POA — Three year summary'!B7&lt;=DATE(2027,12,1),DATE(2027,12,1)&lt;='POA — Three year summary'!C7)="",FALSE,AND('POA — Three year summary'!B7&lt;=DATE(2027,12,1),DATE(2027,12,1)&lt;='POA — Three year summary'!C7)),'POA — Monthly financial forecas'!P49,"")="",0,IF(IF(AND('POA — Three year summary'!B7&lt;=DATE(2027,12,1),DATE(2027,12,1)&lt;='POA — Three year summary'!C7)="",FALSE,AND('POA — Three year summary'!B7&lt;=DATE(2027,12,1),DATE(2027,12,1)&lt;='POA — Three year summary'!C7)),'POA — Monthly financial forecas'!P49,"")))</f>
      </c>
    </row>
    <row r="496">
      <c r="A496" t="inlineStr" s="25">
        <is>
          <t xml:space="preserve">Calculation</t>
        </is>
      </c>
      <c r="B496" s="7">
        <f>SUM(IF(IF(IF(AND('POA — Three year summary'!B7&lt;=DATE(2028,1,1),DATE(2028,1,1)&lt;='POA — Three year summary'!C7)="",FALSE,AND('POA — Three year summary'!B7&lt;=DATE(2028,1,1),DATE(2028,1,1)&lt;='POA — Three year summary'!C7)),'POA — Monthly financial forecas'!Q49,"")="",0,IF(IF(AND('POA — Three year summary'!B7&lt;=DATE(2028,1,1),DATE(2028,1,1)&lt;='POA — Three year summary'!C7)="",FALSE,AND('POA — Three year summary'!B7&lt;=DATE(2028,1,1),DATE(2028,1,1)&lt;='POA — Three year summary'!C7)),'POA — Monthly financial forecas'!Q49,"")),IF(IF(IF(AND('POA — Three year summary'!B7&lt;=DATE(2028,2,1),DATE(2028,2,1)&lt;='POA — Three year summary'!C7)="",FALSE,AND('POA — Three year summary'!B7&lt;=DATE(2028,2,1),DATE(2028,2,1)&lt;='POA — Three year summary'!C7)),'POA — Monthly financial forecas'!R49,"")="",0,IF(IF(AND('POA — Three year summary'!B7&lt;=DATE(2028,2,1),DATE(2028,2,1)&lt;='POA — Three year summary'!C7)="",FALSE,AND('POA — Three year summary'!B7&lt;=DATE(2028,2,1),DATE(2028,2,1)&lt;='POA — Three year summary'!C7)),'POA — Monthly financial forecas'!R49,"")),IF(IF(IF(AND('POA — Three year summary'!B7&lt;=DATE(2028,3,1),DATE(2028,3,1)&lt;='POA — Three year summary'!C7)="",FALSE,AND('POA — Three year summary'!B7&lt;=DATE(2028,3,1),DATE(2028,3,1)&lt;='POA — Three year summary'!C7)),'POA — Monthly financial forecas'!S49,"")="",0,IF(IF(AND('POA — Three year summary'!B7&lt;=DATE(2028,3,1),DATE(2028,3,1)&lt;='POA — Three year summary'!C7)="",FALSE,AND('POA — Three year summary'!B7&lt;=DATE(2028,3,1),DATE(2028,3,1)&lt;='POA — Three year summary'!C7)),'POA — Monthly financial forecas'!S49,"")),IF(IF(IF(AND('POA — Three year summary'!B7&lt;=DATE(2028,4,1),DATE(2028,4,1)&lt;='POA — Three year summary'!C7)="",FALSE,AND('POA — Three year summary'!B7&lt;=DATE(2028,4,1),DATE(2028,4,1)&lt;='POA — Three year summary'!C7)),'POA — Monthly financial forecas'!T49,"")="",0,IF(IF(AND('POA — Three year summary'!B7&lt;=DATE(2028,4,1),DATE(2028,4,1)&lt;='POA — Three year summary'!C7)="",FALSE,AND('POA — Three year summary'!B7&lt;=DATE(2028,4,1),DATE(2028,4,1)&lt;='POA — Three year summary'!C7)),'POA — Monthly financial forecas'!T49,"")),IF(IF(IF(AND('POA — Three year summary'!B7&lt;=DATE(2028,5,1),DATE(2028,5,1)&lt;='POA — Three year summary'!C7)="",FALSE,AND('POA — Three year summary'!B7&lt;=DATE(2028,5,1),DATE(2028,5,1)&lt;='POA — Three year summary'!C7)),'POA — Monthly financial forecas'!U49,"")="",0,IF(IF(AND('POA — Three year summary'!B7&lt;=DATE(2028,5,1),DATE(2028,5,1)&lt;='POA — Three year summary'!C7)="",FALSE,AND('POA — Three year summary'!B7&lt;=DATE(2028,5,1),DATE(2028,5,1)&lt;='POA — Three year summary'!C7)),'POA — Monthly financial forecas'!U49,"")),IF(IF(IF(AND('POA — Three year summary'!B7&lt;=DATE(2028,6,1),DATE(2028,6,1)&lt;='POA — Three year summary'!C7)="",FALSE,AND('POA — Three year summary'!B7&lt;=DATE(2028,6,1),DATE(2028,6,1)&lt;='POA — Three year summary'!C7)),'POA — Monthly financial forecas'!V49,"")="",0,IF(IF(AND('POA — Three year summary'!B7&lt;=DATE(2028,6,1),DATE(2028,6,1)&lt;='POA — Three year summary'!C7)="",FALSE,AND('POA — Three year summary'!B7&lt;=DATE(2028,6,1),DATE(2028,6,1)&lt;='POA — Three year summary'!C7)),'POA — Monthly financial forecas'!V49,"")),IF(IF(IF(AND('POA — Three year summary'!B7&lt;=DATE(2028,7,1),DATE(2028,7,1)&lt;='POA — Three year summary'!C7)="",FALSE,AND('POA — Three year summary'!B7&lt;=DATE(2028,7,1),DATE(2028,7,1)&lt;='POA — Three year summary'!C7)),'POA — Monthly financial forecas'!W49,"")="",0,IF(IF(AND('POA — Three year summary'!B7&lt;=DATE(2028,7,1),DATE(2028,7,1)&lt;='POA — Three year summary'!C7)="",FALSE,AND('POA — Three year summary'!B7&lt;=DATE(2028,7,1),DATE(2028,7,1)&lt;='POA — Three year summary'!C7)),'POA — Monthly financial forecas'!W49,"")),IF(IF(IF(AND('POA — Three year summary'!B7&lt;=DATE(2028,8,1),DATE(2028,8,1)&lt;='POA — Three year summary'!C7)="",FALSE,AND('POA — Three year summary'!B7&lt;=DATE(2028,8,1),DATE(2028,8,1)&lt;='POA — Three year summary'!C7)),'POA — Monthly financial forecas'!X49,"")="",0,IF(IF(AND('POA — Three year summary'!B7&lt;=DATE(2028,8,1),DATE(2028,8,1)&lt;='POA — Three year summary'!C7)="",FALSE,AND('POA — Three year summary'!B7&lt;=DATE(2028,8,1),DATE(2028,8,1)&lt;='POA — Three year summary'!C7)),'POA — Monthly financial forecas'!X49,"")),IF(IF(IF(AND('POA — Three year summary'!B7&lt;=DATE(2028,9,1),DATE(2028,9,1)&lt;='POA — Three year summary'!C7)="",FALSE,AND('POA — Three year summary'!B7&lt;=DATE(2028,9,1),DATE(2028,9,1)&lt;='POA — Three year summary'!C7)),'POA — Monthly financial forecas'!Y49,"")="",0,IF(IF(AND('POA — Three year summary'!B7&lt;=DATE(2028,9,1),DATE(2028,9,1)&lt;='POA — Three year summary'!C7)="",FALSE,AND('POA — Three year summary'!B7&lt;=DATE(2028,9,1),DATE(2028,9,1)&lt;='POA — Three year summary'!C7)),'POA — Monthly financial forecas'!Y49,"")),IF(IF(IF(AND('POA — Three year summary'!B7&lt;=DATE(2028,10,1),DATE(2028,10,1)&lt;='POA — Three year summary'!C7)="",FALSE,AND('POA — Three year summary'!B7&lt;=DATE(2028,10,1),DATE(2028,10,1)&lt;='POA — Three year summary'!C7)),'POA — Monthly financial forecas'!Z49,"")="",0,IF(IF(AND('POA — Three year summary'!B7&lt;=DATE(2028,10,1),DATE(2028,10,1)&lt;='POA — Three year summary'!C7)="",FALSE,AND('POA — Three year summary'!B7&lt;=DATE(2028,10,1),DATE(2028,10,1)&lt;='POA — Three year summary'!C7)),'POA — Monthly financial forecas'!Z49,"")),IF(IF(IF(AND('POA — Three year summary'!B7&lt;=DATE(2028,11,1),DATE(2028,11,1)&lt;='POA — Three year summary'!C7)="",FALSE,AND('POA — Three year summary'!B7&lt;=DATE(2028,11,1),DATE(2028,11,1)&lt;='POA — Three year summary'!C7)),'POA — Monthly financial forecas'!AA49,"")="",0,IF(IF(AND('POA — Three year summary'!B7&lt;=DATE(2028,11,1),DATE(2028,11,1)&lt;='POA — Three year summary'!C7)="",FALSE,AND('POA — Three year summary'!B7&lt;=DATE(2028,11,1),DATE(2028,11,1)&lt;='POA — Three year summary'!C7)),'POA — Monthly financial forecas'!AA49,"")),IF(IF(IF(AND('POA — Three year summary'!B7&lt;=DATE(2028,12,1),DATE(2028,12,1)&lt;='POA — Three year summary'!C7)="",FALSE,AND('POA — Three year summary'!B7&lt;=DATE(2028,12,1),DATE(2028,12,1)&lt;='POA — Three year summary'!C7)),'POA — Monthly financial forecas'!AB49,"")="",0,IF(IF(AND('POA — Three year summary'!B7&lt;=DATE(2028,12,1),DATE(2028,12,1)&lt;='POA — Three year summary'!C7)="",FALSE,AND('POA — Three year summary'!B7&lt;=DATE(2028,12,1),DATE(2028,12,1)&lt;='POA — Three year summary'!C7)),'POA — Monthly financial forecas'!AB49,"")),IF(IF(IF(AND('POA — Three year summary'!B7&lt;=DATE(2029,1,1),DATE(2029,1,1)&lt;='POA — Three year summary'!C7)="",FALSE,AND('POA — Three year summary'!B7&lt;=DATE(2029,1,1),DATE(2029,1,1)&lt;='POA — Three year summary'!C7)),'POA — Monthly financial forecas'!AC49,"")="",0,IF(IF(AND('POA — Three year summary'!B7&lt;=DATE(2029,1,1),DATE(2029,1,1)&lt;='POA — Three year summary'!C7)="",FALSE,AND('POA — Three year summary'!B7&lt;=DATE(2029,1,1),DATE(2029,1,1)&lt;='POA — Three year summary'!C7)),'POA — Monthly financial forecas'!AC49,"")),IF(IF(IF(AND('POA — Three year summary'!B7&lt;=DATE(2029,2,1),DATE(2029,2,1)&lt;='POA — Three year summary'!C7)="",FALSE,AND('POA — Three year summary'!B7&lt;=DATE(2029,2,1),DATE(2029,2,1)&lt;='POA — Three year summary'!C7)),'POA — Monthly financial forecas'!AD49,"")="",0,IF(IF(AND('POA — Three year summary'!B7&lt;=DATE(2029,2,1),DATE(2029,2,1)&lt;='POA — Three year summary'!C7)="",FALSE,AND('POA — Three year summary'!B7&lt;=DATE(2029,2,1),DATE(2029,2,1)&lt;='POA — Three year summary'!C7)),'POA — Monthly financial forecas'!AD49,"")),IF(IF(IF(AND('POA — Three year summary'!B7&lt;=DATE(2029,3,1),DATE(2029,3,1)&lt;='POA — Three year summary'!C7)="",FALSE,AND('POA — Three year summary'!B7&lt;=DATE(2029,3,1),DATE(2029,3,1)&lt;='POA — Three year summary'!C7)),'POA — Monthly financial forecas'!AE49,"")="",0,IF(IF(AND('POA — Three year summary'!B7&lt;=DATE(2029,3,1),DATE(2029,3,1)&lt;='POA — Three year summary'!C7)="",FALSE,AND('POA — Three year summary'!B7&lt;=DATE(2029,3,1),DATE(2029,3,1)&lt;='POA — Three year summary'!C7)),'POA — Monthly financial forecas'!AE49,"")))</f>
      </c>
    </row>
    <row r="497">
      <c r="A497" t="inlineStr" s="25">
        <is>
          <t xml:space="preserve">Calculation</t>
        </is>
      </c>
      <c r="B497" s="7">
        <f>SUM(IF(IF(IF(AND('POA — Three year summary'!B7&lt;=DATE(2029,4,1),DATE(2029,4,1)&lt;='POA — Three year summary'!C7)="",FALSE,AND('POA — Three year summary'!B7&lt;=DATE(2029,4,1),DATE(2029,4,1)&lt;='POA — Three year summary'!C7)),'POA — Monthly financial forecas'!AF49,"")="",0,IF(IF(AND('POA — Three year summary'!B7&lt;=DATE(2029,4,1),DATE(2029,4,1)&lt;='POA — Three year summary'!C7)="",FALSE,AND('POA — Three year summary'!B7&lt;=DATE(2029,4,1),DATE(2029,4,1)&lt;='POA — Three year summary'!C7)),'POA — Monthly financial forecas'!AF49,"")),IF(IF(IF(AND('POA — Three year summary'!B7&lt;=DATE(2029,5,1),DATE(2029,5,1)&lt;='POA — Three year summary'!C7)="",FALSE,AND('POA — Three year summary'!B7&lt;=DATE(2029,5,1),DATE(2029,5,1)&lt;='POA — Three year summary'!C7)),'POA — Monthly financial forecas'!AG49,"")="",0,IF(IF(AND('POA — Three year summary'!B7&lt;=DATE(2029,5,1),DATE(2029,5,1)&lt;='POA — Three year summary'!C7)="",FALSE,AND('POA — Three year summary'!B7&lt;=DATE(2029,5,1),DATE(2029,5,1)&lt;='POA — Three year summary'!C7)),'POA — Monthly financial forecas'!AG49,"")),IF(IF(IF(AND('POA — Three year summary'!B7&lt;=DATE(2029,6,1),DATE(2029,6,1)&lt;='POA — Three year summary'!C7)="",FALSE,AND('POA — Three year summary'!B7&lt;=DATE(2029,6,1),DATE(2029,6,1)&lt;='POA — Three year summary'!C7)),'POA — Monthly financial forecas'!AH49,"")="",0,IF(IF(AND('POA — Three year summary'!B7&lt;=DATE(2029,6,1),DATE(2029,6,1)&lt;='POA — Three year summary'!C7)="",FALSE,AND('POA — Three year summary'!B7&lt;=DATE(2029,6,1),DATE(2029,6,1)&lt;='POA — Three year summary'!C7)),'POA — Monthly financial forecas'!AH49,"")),IF(IF(IF(AND('POA — Three year summary'!B7&lt;=DATE(2029,7,1),DATE(2029,7,1)&lt;='POA — Three year summary'!C7)="",FALSE,AND('POA — Three year summary'!B7&lt;=DATE(2029,7,1),DATE(2029,7,1)&lt;='POA — Three year summary'!C7)),'POA — Monthly financial forecas'!AI49,"")="",0,IF(IF(AND('POA — Three year summary'!B7&lt;=DATE(2029,7,1),DATE(2029,7,1)&lt;='POA — Three year summary'!C7)="",FALSE,AND('POA — Three year summary'!B7&lt;=DATE(2029,7,1),DATE(2029,7,1)&lt;='POA — Three year summary'!C7)),'POA — Monthly financial forecas'!AI49,"")),IF(IF(IF(AND('POA — Three year summary'!B7&lt;=DATE(2029,8,1),DATE(2029,8,1)&lt;='POA — Three year summary'!C7)="",FALSE,AND('POA — Three year summary'!B7&lt;=DATE(2029,8,1),DATE(2029,8,1)&lt;='POA — Three year summary'!C7)),'POA — Monthly financial forecas'!AJ49,"")="",0,IF(IF(AND('POA — Three year summary'!B7&lt;=DATE(2029,8,1),DATE(2029,8,1)&lt;='POA — Three year summary'!C7)="",FALSE,AND('POA — Three year summary'!B7&lt;=DATE(2029,8,1),DATE(2029,8,1)&lt;='POA — Three year summary'!C7)),'POA — Monthly financial forecas'!AJ49,"")),IF(IF(IF(AND('POA — Three year summary'!B7&lt;=DATE(2029,9,1),DATE(2029,9,1)&lt;='POA — Three year summary'!C7)="",FALSE,AND('POA — Three year summary'!B7&lt;=DATE(2029,9,1),DATE(2029,9,1)&lt;='POA — Three year summary'!C7)),'POA — Monthly financial forecas'!AK49,"")="",0,IF(IF(AND('POA — Three year summary'!B7&lt;=DATE(2029,9,1),DATE(2029,9,1)&lt;='POA — Three year summary'!C7)="",FALSE,AND('POA — Three year summary'!B7&lt;=DATE(2029,9,1),DATE(2029,9,1)&lt;='POA — Three year summary'!C7)),'POA — Monthly financial forecas'!AK49,"")),IF(IF(IF(AND('POA — Three year summary'!B7&lt;=DATE(2026,9,1),DATE(2026,9,1)&lt;='POA — Three year summary'!C7)="",FALSE,AND('POA — Three year summary'!B7&lt;=DATE(2026,9,1),DATE(2026,9,1)&lt;='POA — Three year summary'!C7)),'Model inputs'!B33,"")="",0,IF(IF(AND('POA — Three year summary'!B7&lt;=DATE(2026,9,1),DATE(2026,9,1)&lt;='POA — Three year summary'!C7)="",FALSE,AND('POA — Three year summary'!B7&lt;=DATE(2026,9,1),DATE(2026,9,1)&lt;='POA — Three year summary'!C7)),'Model inputs'!B33,"")))</f>
      </c>
    </row>
    <row r="498">
      <c r="A498" t="inlineStr" s="25">
        <is>
          <t xml:space="preserve">Calculation</t>
        </is>
      </c>
      <c r="B498" s="7">
        <f>SUM(IF(IF(IF(AND('POA — Three year summary'!B7&lt;=DATE(2026,10,1),DATE(2026,10,1)&lt;='POA — Three year summary'!C7)="",FALSE,AND('POA — Three year summary'!B7&lt;=DATE(2026,10,1),DATE(2026,10,1)&lt;='POA — Three year summary'!C7)),'POA — Monthly financial forecas'!B55,"")="",0,IF(IF(AND('POA — Three year summary'!B7&lt;=DATE(2026,10,1),DATE(2026,10,1)&lt;='POA — Three year summary'!C7)="",FALSE,AND('POA — Three year summary'!B7&lt;=DATE(2026,10,1),DATE(2026,10,1)&lt;='POA — Three year summary'!C7)),'POA — Monthly financial forecas'!B55,"")),IF(IF(IF(AND('POA — Three year summary'!B7&lt;=DATE(2026,11,1),DATE(2026,11,1)&lt;='POA — Three year summary'!C7)="",FALSE,AND('POA — Three year summary'!B7&lt;=DATE(2026,11,1),DATE(2026,11,1)&lt;='POA — Three year summary'!C7)),'POA — Monthly financial forecas'!C55,"")="",0,IF(IF(AND('POA — Three year summary'!B7&lt;=DATE(2026,11,1),DATE(2026,11,1)&lt;='POA — Three year summary'!C7)="",FALSE,AND('POA — Three year summary'!B7&lt;=DATE(2026,11,1),DATE(2026,11,1)&lt;='POA — Three year summary'!C7)),'POA — Monthly financial forecas'!C55,"")),IF(IF(IF(AND('POA — Three year summary'!B7&lt;=DATE(2026,12,1),DATE(2026,12,1)&lt;='POA — Three year summary'!C7)="",FALSE,AND('POA — Three year summary'!B7&lt;=DATE(2026,12,1),DATE(2026,12,1)&lt;='POA — Three year summary'!C7)),'POA — Monthly financial forecas'!D55,"")="",0,IF(IF(AND('POA — Three year summary'!B7&lt;=DATE(2026,12,1),DATE(2026,12,1)&lt;='POA — Three year summary'!C7)="",FALSE,AND('POA — Three year summary'!B7&lt;=DATE(2026,12,1),DATE(2026,12,1)&lt;='POA — Three year summary'!C7)),'POA — Monthly financial forecas'!D55,"")),IF(IF(IF(AND('POA — Three year summary'!B7&lt;=DATE(2027,1,1),DATE(2027,1,1)&lt;='POA — Three year summary'!C7)="",FALSE,AND('POA — Three year summary'!B7&lt;=DATE(2027,1,1),DATE(2027,1,1)&lt;='POA — Three year summary'!C7)),'POA — Monthly financial forecas'!E55,"")="",0,IF(IF(AND('POA — Three year summary'!B7&lt;=DATE(2027,1,1),DATE(2027,1,1)&lt;='POA — Three year summary'!C7)="",FALSE,AND('POA — Three year summary'!B7&lt;=DATE(2027,1,1),DATE(2027,1,1)&lt;='POA — Three year summary'!C7)),'POA — Monthly financial forecas'!E55,"")),IF(IF(IF(AND('POA — Three year summary'!B7&lt;=DATE(2027,2,1),DATE(2027,2,1)&lt;='POA — Three year summary'!C7)="",FALSE,AND('POA — Three year summary'!B7&lt;=DATE(2027,2,1),DATE(2027,2,1)&lt;='POA — Three year summary'!C7)),'POA — Monthly financial forecas'!F55,"")="",0,IF(IF(AND('POA — Three year summary'!B7&lt;=DATE(2027,2,1),DATE(2027,2,1)&lt;='POA — Three year summary'!C7)="",FALSE,AND('POA — Three year summary'!B7&lt;=DATE(2027,2,1),DATE(2027,2,1)&lt;='POA — Three year summary'!C7)),'POA — Monthly financial forecas'!F55,"")),IF(IF(IF(AND('POA — Three year summary'!B7&lt;=DATE(2027,3,1),DATE(2027,3,1)&lt;='POA — Three year summary'!C7)="",FALSE,AND('POA — Three year summary'!B7&lt;=DATE(2027,3,1),DATE(2027,3,1)&lt;='POA — Three year summary'!C7)),'POA — Monthly financial forecas'!G55,"")="",0,IF(IF(AND('POA — Three year summary'!B7&lt;=DATE(2027,3,1),DATE(2027,3,1)&lt;='POA — Three year summary'!C7)="",FALSE,AND('POA — Three year summary'!B7&lt;=DATE(2027,3,1),DATE(2027,3,1)&lt;='POA — Three year summary'!C7)),'POA — Monthly financial forecas'!G55,"")),IF(IF(IF(AND('POA — Three year summary'!B7&lt;=DATE(2027,4,1),DATE(2027,4,1)&lt;='POA — Three year summary'!C7)="",FALSE,AND('POA — Three year summary'!B7&lt;=DATE(2027,4,1),DATE(2027,4,1)&lt;='POA — Three year summary'!C7)),'POA — Monthly financial forecas'!H55,"")="",0,IF(IF(AND('POA — Three year summary'!B7&lt;=DATE(2027,4,1),DATE(2027,4,1)&lt;='POA — Three year summary'!C7)="",FALSE,AND('POA — Three year summary'!B7&lt;=DATE(2027,4,1),DATE(2027,4,1)&lt;='POA — Three year summary'!C7)),'POA — Monthly financial forecas'!H55,"")),IF(IF(IF(AND('POA — Three year summary'!B7&lt;=DATE(2027,5,1),DATE(2027,5,1)&lt;='POA — Three year summary'!C7)="",FALSE,AND('POA — Three year summary'!B7&lt;=DATE(2027,5,1),DATE(2027,5,1)&lt;='POA — Three year summary'!C7)),'POA — Monthly financial forecas'!I55,"")="",0,IF(IF(AND('POA — Three year summary'!B7&lt;=DATE(2027,5,1),DATE(2027,5,1)&lt;='POA — Three year summary'!C7)="",FALSE,AND('POA — Three year summary'!B7&lt;=DATE(2027,5,1),DATE(2027,5,1)&lt;='POA — Three year summary'!C7)),'POA — Monthly financial forecas'!I55,"")),IF(IF(IF(AND('POA — Three year summary'!B7&lt;=DATE(2027,6,1),DATE(2027,6,1)&lt;='POA — Three year summary'!C7)="",FALSE,AND('POA — Three year summary'!B7&lt;=DATE(2027,6,1),DATE(2027,6,1)&lt;='POA — Three year summary'!C7)),'POA — Monthly financial forecas'!J55,"")="",0,IF(IF(AND('POA — Three year summary'!B7&lt;=DATE(2027,6,1),DATE(2027,6,1)&lt;='POA — Three year summary'!C7)="",FALSE,AND('POA — Three year summary'!B7&lt;=DATE(2027,6,1),DATE(2027,6,1)&lt;='POA — Three year summary'!C7)),'POA — Monthly financial forecas'!J55,"")),IF(IF(IF(AND('POA — Three year summary'!B7&lt;=DATE(2027,7,1),DATE(2027,7,1)&lt;='POA — Three year summary'!C7)="",FALSE,AND('POA — Three year summary'!B7&lt;=DATE(2027,7,1),DATE(2027,7,1)&lt;='POA — Three year summary'!C7)),'POA — Monthly financial forecas'!K55,"")="",0,IF(IF(AND('POA — Three year summary'!B7&lt;=DATE(2027,7,1),DATE(2027,7,1)&lt;='POA — Three year summary'!C7)="",FALSE,AND('POA — Three year summary'!B7&lt;=DATE(2027,7,1),DATE(2027,7,1)&lt;='POA — Three year summary'!C7)),'POA — Monthly financial forecas'!K55,"")),IF(IF(IF(AND('POA — Three year summary'!B7&lt;=DATE(2027,8,1),DATE(2027,8,1)&lt;='POA — Three year summary'!C7)="",FALSE,AND('POA — Three year summary'!B7&lt;=DATE(2027,8,1),DATE(2027,8,1)&lt;='POA — Three year summary'!C7)),'POA — Monthly financial forecas'!L55,"")="",0,IF(IF(AND('POA — Three year summary'!B7&lt;=DATE(2027,8,1),DATE(2027,8,1)&lt;='POA — Three year summary'!C7)="",FALSE,AND('POA — Three year summary'!B7&lt;=DATE(2027,8,1),DATE(2027,8,1)&lt;='POA — Three year summary'!C7)),'POA — Monthly financial forecas'!L55,"")),IF(IF(IF(AND('POA — Three year summary'!B7&lt;=DATE(2027,9,1),DATE(2027,9,1)&lt;='POA — Three year summary'!C7)="",FALSE,AND('POA — Three year summary'!B7&lt;=DATE(2027,9,1),DATE(2027,9,1)&lt;='POA — Three year summary'!C7)),'POA — Monthly financial forecas'!M55,"")="",0,IF(IF(AND('POA — Three year summary'!B7&lt;=DATE(2027,9,1),DATE(2027,9,1)&lt;='POA — Three year summary'!C7)="",FALSE,AND('POA — Three year summary'!B7&lt;=DATE(2027,9,1),DATE(2027,9,1)&lt;='POA — Three year summary'!C7)),'POA — Monthly financial forecas'!M55,"")),IF(IF(IF(AND('POA — Three year summary'!B7&lt;=DATE(2027,10,1),DATE(2027,10,1)&lt;='POA — Three year summary'!C7)="",FALSE,AND('POA — Three year summary'!B7&lt;=DATE(2027,10,1),DATE(2027,10,1)&lt;='POA — Three year summary'!C7)),'POA — Monthly financial forecas'!N55,"")="",0,IF(IF(AND('POA — Three year summary'!B7&lt;=DATE(2027,10,1),DATE(2027,10,1)&lt;='POA — Three year summary'!C7)="",FALSE,AND('POA — Three year summary'!B7&lt;=DATE(2027,10,1),DATE(2027,10,1)&lt;='POA — Three year summary'!C7)),'POA — Monthly financial forecas'!N55,"")),IF(IF(IF(AND('POA — Three year summary'!B7&lt;=DATE(2027,11,1),DATE(2027,11,1)&lt;='POA — Three year summary'!C7)="",FALSE,AND('POA — Three year summary'!B7&lt;=DATE(2027,11,1),DATE(2027,11,1)&lt;='POA — Three year summary'!C7)),'POA — Monthly financial forecas'!O55,"")="",0,IF(IF(AND('POA — Three year summary'!B7&lt;=DATE(2027,11,1),DATE(2027,11,1)&lt;='POA — Three year summary'!C7)="",FALSE,AND('POA — Three year summary'!B7&lt;=DATE(2027,11,1),DATE(2027,11,1)&lt;='POA — Three year summary'!C7)),'POA — Monthly financial forecas'!O55,"")),IF(IF(IF(AND('POA — Three year summary'!B7&lt;=DATE(2027,12,1),DATE(2027,12,1)&lt;='POA — Three year summary'!C7)="",FALSE,AND('POA — Three year summary'!B7&lt;=DATE(2027,12,1),DATE(2027,12,1)&lt;='POA — Three year summary'!C7)),'POA — Monthly financial forecas'!P55,"")="",0,IF(IF(AND('POA — Three year summary'!B7&lt;=DATE(2027,12,1),DATE(2027,12,1)&lt;='POA — Three year summary'!C7)="",FALSE,AND('POA — Three year summary'!B7&lt;=DATE(2027,12,1),DATE(2027,12,1)&lt;='POA — Three year summary'!C7)),'POA — Monthly financial forecas'!P55,"")))</f>
      </c>
    </row>
    <row r="499">
      <c r="A499" t="inlineStr" s="25">
        <is>
          <t xml:space="preserve">Calculation</t>
        </is>
      </c>
      <c r="B499" s="7">
        <f>SUM(IF(IF(IF(AND('POA — Three year summary'!B7&lt;=DATE(2028,1,1),DATE(2028,1,1)&lt;='POA — Three year summary'!C7)="",FALSE,AND('POA — Three year summary'!B7&lt;=DATE(2028,1,1),DATE(2028,1,1)&lt;='POA — Three year summary'!C7)),'POA — Monthly financial forecas'!Q55,"")="",0,IF(IF(AND('POA — Three year summary'!B7&lt;=DATE(2028,1,1),DATE(2028,1,1)&lt;='POA — Three year summary'!C7)="",FALSE,AND('POA — Three year summary'!B7&lt;=DATE(2028,1,1),DATE(2028,1,1)&lt;='POA — Three year summary'!C7)),'POA — Monthly financial forecas'!Q55,"")),IF(IF(IF(AND('POA — Three year summary'!B7&lt;=DATE(2028,2,1),DATE(2028,2,1)&lt;='POA — Three year summary'!C7)="",FALSE,AND('POA — Three year summary'!B7&lt;=DATE(2028,2,1),DATE(2028,2,1)&lt;='POA — Three year summary'!C7)),'POA — Monthly financial forecas'!R55,"")="",0,IF(IF(AND('POA — Three year summary'!B7&lt;=DATE(2028,2,1),DATE(2028,2,1)&lt;='POA — Three year summary'!C7)="",FALSE,AND('POA — Three year summary'!B7&lt;=DATE(2028,2,1),DATE(2028,2,1)&lt;='POA — Three year summary'!C7)),'POA — Monthly financial forecas'!R55,"")),IF(IF(IF(AND('POA — Three year summary'!B7&lt;=DATE(2028,3,1),DATE(2028,3,1)&lt;='POA — Three year summary'!C7)="",FALSE,AND('POA — Three year summary'!B7&lt;=DATE(2028,3,1),DATE(2028,3,1)&lt;='POA — Three year summary'!C7)),'POA — Monthly financial forecas'!S55,"")="",0,IF(IF(AND('POA — Three year summary'!B7&lt;=DATE(2028,3,1),DATE(2028,3,1)&lt;='POA — Three year summary'!C7)="",FALSE,AND('POA — Three year summary'!B7&lt;=DATE(2028,3,1),DATE(2028,3,1)&lt;='POA — Three year summary'!C7)),'POA — Monthly financial forecas'!S55,"")),IF(IF(IF(AND('POA — Three year summary'!B7&lt;=DATE(2028,4,1),DATE(2028,4,1)&lt;='POA — Three year summary'!C7)="",FALSE,AND('POA — Three year summary'!B7&lt;=DATE(2028,4,1),DATE(2028,4,1)&lt;='POA — Three year summary'!C7)),'POA — Monthly financial forecas'!T55,"")="",0,IF(IF(AND('POA — Three year summary'!B7&lt;=DATE(2028,4,1),DATE(2028,4,1)&lt;='POA — Three year summary'!C7)="",FALSE,AND('POA — Three year summary'!B7&lt;=DATE(2028,4,1),DATE(2028,4,1)&lt;='POA — Three year summary'!C7)),'POA — Monthly financial forecas'!T55,"")),IF(IF(IF(AND('POA — Three year summary'!B7&lt;=DATE(2028,5,1),DATE(2028,5,1)&lt;='POA — Three year summary'!C7)="",FALSE,AND('POA — Three year summary'!B7&lt;=DATE(2028,5,1),DATE(2028,5,1)&lt;='POA — Three year summary'!C7)),'POA — Monthly financial forecas'!U55,"")="",0,IF(IF(AND('POA — Three year summary'!B7&lt;=DATE(2028,5,1),DATE(2028,5,1)&lt;='POA — Three year summary'!C7)="",FALSE,AND('POA — Three year summary'!B7&lt;=DATE(2028,5,1),DATE(2028,5,1)&lt;='POA — Three year summary'!C7)),'POA — Monthly financial forecas'!U55,"")),IF(IF(IF(AND('POA — Three year summary'!B7&lt;=DATE(2028,6,1),DATE(2028,6,1)&lt;='POA — Three year summary'!C7)="",FALSE,AND('POA — Three year summary'!B7&lt;=DATE(2028,6,1),DATE(2028,6,1)&lt;='POA — Three year summary'!C7)),'POA — Monthly financial forecas'!V55,"")="",0,IF(IF(AND('POA — Three year summary'!B7&lt;=DATE(2028,6,1),DATE(2028,6,1)&lt;='POA — Three year summary'!C7)="",FALSE,AND('POA — Three year summary'!B7&lt;=DATE(2028,6,1),DATE(2028,6,1)&lt;='POA — Three year summary'!C7)),'POA — Monthly financial forecas'!V55,"")),IF(IF(IF(AND('POA — Three year summary'!B7&lt;=DATE(2028,7,1),DATE(2028,7,1)&lt;='POA — Three year summary'!C7)="",FALSE,AND('POA — Three year summary'!B7&lt;=DATE(2028,7,1),DATE(2028,7,1)&lt;='POA — Three year summary'!C7)),'POA — Monthly financial forecas'!W55,"")="",0,IF(IF(AND('POA — Three year summary'!B7&lt;=DATE(2028,7,1),DATE(2028,7,1)&lt;='POA — Three year summary'!C7)="",FALSE,AND('POA — Three year summary'!B7&lt;=DATE(2028,7,1),DATE(2028,7,1)&lt;='POA — Three year summary'!C7)),'POA — Monthly financial forecas'!W55,"")),IF(IF(IF(AND('POA — Three year summary'!B7&lt;=DATE(2028,8,1),DATE(2028,8,1)&lt;='POA — Three year summary'!C7)="",FALSE,AND('POA — Three year summary'!B7&lt;=DATE(2028,8,1),DATE(2028,8,1)&lt;='POA — Three year summary'!C7)),'POA — Monthly financial forecas'!X55,"")="",0,IF(IF(AND('POA — Three year summary'!B7&lt;=DATE(2028,8,1),DATE(2028,8,1)&lt;='POA — Three year summary'!C7)="",FALSE,AND('POA — Three year summary'!B7&lt;=DATE(2028,8,1),DATE(2028,8,1)&lt;='POA — Three year summary'!C7)),'POA — Monthly financial forecas'!X55,"")),IF(IF(IF(AND('POA — Three year summary'!B7&lt;=DATE(2028,9,1),DATE(2028,9,1)&lt;='POA — Three year summary'!C7)="",FALSE,AND('POA — Three year summary'!B7&lt;=DATE(2028,9,1),DATE(2028,9,1)&lt;='POA — Three year summary'!C7)),'POA — Monthly financial forecas'!Y55,"")="",0,IF(IF(AND('POA — Three year summary'!B7&lt;=DATE(2028,9,1),DATE(2028,9,1)&lt;='POA — Three year summary'!C7)="",FALSE,AND('POA — Three year summary'!B7&lt;=DATE(2028,9,1),DATE(2028,9,1)&lt;='POA — Three year summary'!C7)),'POA — Monthly financial forecas'!Y55,"")),IF(IF(IF(AND('POA — Three year summary'!B7&lt;=DATE(2028,10,1),DATE(2028,10,1)&lt;='POA — Three year summary'!C7)="",FALSE,AND('POA — Three year summary'!B7&lt;=DATE(2028,10,1),DATE(2028,10,1)&lt;='POA — Three year summary'!C7)),'POA — Monthly financial forecas'!Z55,"")="",0,IF(IF(AND('POA — Three year summary'!B7&lt;=DATE(2028,10,1),DATE(2028,10,1)&lt;='POA — Three year summary'!C7)="",FALSE,AND('POA — Three year summary'!B7&lt;=DATE(2028,10,1),DATE(2028,10,1)&lt;='POA — Three year summary'!C7)),'POA — Monthly financial forecas'!Z55,"")),IF(IF(IF(AND('POA — Three year summary'!B7&lt;=DATE(2028,11,1),DATE(2028,11,1)&lt;='POA — Three year summary'!C7)="",FALSE,AND('POA — Three year summary'!B7&lt;=DATE(2028,11,1),DATE(2028,11,1)&lt;='POA — Three year summary'!C7)),'POA — Monthly financial forecas'!AA55,"")="",0,IF(IF(AND('POA — Three year summary'!B7&lt;=DATE(2028,11,1),DATE(2028,11,1)&lt;='POA — Three year summary'!C7)="",FALSE,AND('POA — Three year summary'!B7&lt;=DATE(2028,11,1),DATE(2028,11,1)&lt;='POA — Three year summary'!C7)),'POA — Monthly financial forecas'!AA55,"")),IF(IF(IF(AND('POA — Three year summary'!B7&lt;=DATE(2028,12,1),DATE(2028,12,1)&lt;='POA — Three year summary'!C7)="",FALSE,AND('POA — Three year summary'!B7&lt;=DATE(2028,12,1),DATE(2028,12,1)&lt;='POA — Three year summary'!C7)),'POA — Monthly financial forecas'!AB55,"")="",0,IF(IF(AND('POA — Three year summary'!B7&lt;=DATE(2028,12,1),DATE(2028,12,1)&lt;='POA — Three year summary'!C7)="",FALSE,AND('POA — Three year summary'!B7&lt;=DATE(2028,12,1),DATE(2028,12,1)&lt;='POA — Three year summary'!C7)),'POA — Monthly financial forecas'!AB55,"")),IF(IF(IF(AND('POA — Three year summary'!B7&lt;=DATE(2029,1,1),DATE(2029,1,1)&lt;='POA — Three year summary'!C7)="",FALSE,AND('POA — Three year summary'!B7&lt;=DATE(2029,1,1),DATE(2029,1,1)&lt;='POA — Three year summary'!C7)),'POA — Monthly financial forecas'!AC55,"")="",0,IF(IF(AND('POA — Three year summary'!B7&lt;=DATE(2029,1,1),DATE(2029,1,1)&lt;='POA — Three year summary'!C7)="",FALSE,AND('POA — Three year summary'!B7&lt;=DATE(2029,1,1),DATE(2029,1,1)&lt;='POA — Three year summary'!C7)),'POA — Monthly financial forecas'!AC55,"")),IF(IF(IF(AND('POA — Three year summary'!B7&lt;=DATE(2029,2,1),DATE(2029,2,1)&lt;='POA — Three year summary'!C7)="",FALSE,AND('POA — Three year summary'!B7&lt;=DATE(2029,2,1),DATE(2029,2,1)&lt;='POA — Three year summary'!C7)),'POA — Monthly financial forecas'!AD55,"")="",0,IF(IF(AND('POA — Three year summary'!B7&lt;=DATE(2029,2,1),DATE(2029,2,1)&lt;='POA — Three year summary'!C7)="",FALSE,AND('POA — Three year summary'!B7&lt;=DATE(2029,2,1),DATE(2029,2,1)&lt;='POA — Three year summary'!C7)),'POA — Monthly financial forecas'!AD55,"")),IF(IF(IF(AND('POA — Three year summary'!B7&lt;=DATE(2029,3,1),DATE(2029,3,1)&lt;='POA — Three year summary'!C7)="",FALSE,AND('POA — Three year summary'!B7&lt;=DATE(2029,3,1),DATE(2029,3,1)&lt;='POA — Three year summary'!C7)),'POA — Monthly financial forecas'!AE55,"")="",0,IF(IF(AND('POA — Three year summary'!B7&lt;=DATE(2029,3,1),DATE(2029,3,1)&lt;='POA — Three year summary'!C7)="",FALSE,AND('POA — Three year summary'!B7&lt;=DATE(2029,3,1),DATE(2029,3,1)&lt;='POA — Three year summary'!C7)),'POA — Monthly financial forecas'!AE55,"")))</f>
      </c>
    </row>
    <row r="500">
      <c r="A500" t="inlineStr" s="25">
        <is>
          <t xml:space="preserve">Calculation</t>
        </is>
      </c>
      <c r="B500" s="7">
        <f>SUM(IF(IF(IF(AND('POA — Three year summary'!B7&lt;=DATE(2029,4,1),DATE(2029,4,1)&lt;='POA — Three year summary'!C7)="",FALSE,AND('POA — Three year summary'!B7&lt;=DATE(2029,4,1),DATE(2029,4,1)&lt;='POA — Three year summary'!C7)),'POA — Monthly financial forecas'!AF55,"")="",0,IF(IF(AND('POA — Three year summary'!B7&lt;=DATE(2029,4,1),DATE(2029,4,1)&lt;='POA — Three year summary'!C7)="",FALSE,AND('POA — Three year summary'!B7&lt;=DATE(2029,4,1),DATE(2029,4,1)&lt;='POA — Three year summary'!C7)),'POA — Monthly financial forecas'!AF55,"")),IF(IF(IF(AND('POA — Three year summary'!B7&lt;=DATE(2029,5,1),DATE(2029,5,1)&lt;='POA — Three year summary'!C7)="",FALSE,AND('POA — Three year summary'!B7&lt;=DATE(2029,5,1),DATE(2029,5,1)&lt;='POA — Three year summary'!C7)),'POA — Monthly financial forecas'!AG55,"")="",0,IF(IF(AND('POA — Three year summary'!B7&lt;=DATE(2029,5,1),DATE(2029,5,1)&lt;='POA — Three year summary'!C7)="",FALSE,AND('POA — Three year summary'!B7&lt;=DATE(2029,5,1),DATE(2029,5,1)&lt;='POA — Three year summary'!C7)),'POA — Monthly financial forecas'!AG55,"")),IF(IF(IF(AND('POA — Three year summary'!B7&lt;=DATE(2029,6,1),DATE(2029,6,1)&lt;='POA — Three year summary'!C7)="",FALSE,AND('POA — Three year summary'!B7&lt;=DATE(2029,6,1),DATE(2029,6,1)&lt;='POA — Three year summary'!C7)),'POA — Monthly financial forecas'!AH55,"")="",0,IF(IF(AND('POA — Three year summary'!B7&lt;=DATE(2029,6,1),DATE(2029,6,1)&lt;='POA — Three year summary'!C7)="",FALSE,AND('POA — Three year summary'!B7&lt;=DATE(2029,6,1),DATE(2029,6,1)&lt;='POA — Three year summary'!C7)),'POA — Monthly financial forecas'!AH55,"")),IF(IF(IF(AND('POA — Three year summary'!B7&lt;=DATE(2029,7,1),DATE(2029,7,1)&lt;='POA — Three year summary'!C7)="",FALSE,AND('POA — Three year summary'!B7&lt;=DATE(2029,7,1),DATE(2029,7,1)&lt;='POA — Three year summary'!C7)),'POA — Monthly financial forecas'!AI55,"")="",0,IF(IF(AND('POA — Three year summary'!B7&lt;=DATE(2029,7,1),DATE(2029,7,1)&lt;='POA — Three year summary'!C7)="",FALSE,AND('POA — Three year summary'!B7&lt;=DATE(2029,7,1),DATE(2029,7,1)&lt;='POA — Three year summary'!C7)),'POA — Monthly financial forecas'!AI55,"")),IF(IF(IF(AND('POA — Three year summary'!B7&lt;=DATE(2029,8,1),DATE(2029,8,1)&lt;='POA — Three year summary'!C7)="",FALSE,AND('POA — Three year summary'!B7&lt;=DATE(2029,8,1),DATE(2029,8,1)&lt;='POA — Three year summary'!C7)),'POA — Monthly financial forecas'!AJ55,"")="",0,IF(IF(AND('POA — Three year summary'!B7&lt;=DATE(2029,8,1),DATE(2029,8,1)&lt;='POA — Three year summary'!C7)="",FALSE,AND('POA — Three year summary'!B7&lt;=DATE(2029,8,1),DATE(2029,8,1)&lt;='POA — Three year summary'!C7)),'POA — Monthly financial forecas'!AJ55,"")),IF(IF(IF(AND('POA — Three year summary'!B7&lt;=DATE(2029,9,1),DATE(2029,9,1)&lt;='POA — Three year summary'!C7)="",FALSE,AND('POA — Three year summary'!B7&lt;=DATE(2029,9,1),DATE(2029,9,1)&lt;='POA — Three year summary'!C7)),'POA — Monthly financial forecas'!AK55,"")="",0,IF(IF(AND('POA — Three year summary'!B7&lt;=DATE(2029,9,1),DATE(2029,9,1)&lt;='POA — Three year summary'!C7)="",FALSE,AND('POA — Three year summary'!B7&lt;=DATE(2029,9,1),DATE(2029,9,1)&lt;='POA — Three year summary'!C7)),'POA — Monthly financial forecas'!AK55,"")),IF(IF(IF(AND('POA — Three year summary'!B7&lt;=DATE(2026,9,1),DATE(2026,9,1)&lt;='POA — Three year summary'!C7)="",FALSE,AND('POA — Three year summary'!B7&lt;=DATE(2026,9,1),DATE(2026,9,1)&lt;='POA — Three year summary'!C7)),'Model inputs'!B45,"")="",0,IF(IF(AND('POA — Three year summary'!B7&lt;=DATE(2026,9,1),DATE(2026,9,1)&lt;='POA — Three year summary'!C7)="",FALSE,AND('POA — Three year summary'!B7&lt;=DATE(2026,9,1),DATE(2026,9,1)&lt;='POA — Three year summary'!C7)),'Model inputs'!B45,"")))</f>
      </c>
    </row>
    <row r="501">
      <c r="A501" t="inlineStr" s="25">
        <is>
          <t xml:space="preserve">Calculation</t>
        </is>
      </c>
      <c r="B501">
        <f>IF(IF(DATE(2026,10,1)='POA — Three year summary'!C7="",FALSE,DATE(2026,10,1)='POA — Three year summary'!C7),IF('POA — Monthly financial forecas'!B63="","",'POA — Monthly financial forecas'!B63),"")</f>
      </c>
    </row>
    <row r="502">
      <c r="A502" t="inlineStr" s="25">
        <is>
          <t xml:space="preserve">Calculation</t>
        </is>
      </c>
      <c r="B502">
        <f>IF(IF(DATE(2026,11,1)='POA — Three year summary'!C7="",FALSE,DATE(2026,11,1)='POA — Three year summary'!C7),IF('POA — Monthly financial forecas'!C63="","",'POA — Monthly financial forecas'!C63),"")</f>
      </c>
    </row>
    <row r="503">
      <c r="A503" t="inlineStr" s="25">
        <is>
          <t xml:space="preserve">Calculation</t>
        </is>
      </c>
      <c r="B503">
        <f>IF(IF(DATE(2026,12,1)='POA — Three year summary'!C7="",FALSE,DATE(2026,12,1)='POA — Three year summary'!C7),IF('POA — Monthly financial forecas'!D63="","",'POA — Monthly financial forecas'!D63),"")</f>
      </c>
    </row>
    <row r="504">
      <c r="A504" t="inlineStr" s="25">
        <is>
          <t xml:space="preserve">Calculation</t>
        </is>
      </c>
      <c r="B504">
        <f>IF(IF(DATE(2027,1,1)='POA — Three year summary'!C7="",FALSE,DATE(2027,1,1)='POA — Three year summary'!C7),IF('POA — Monthly financial forecas'!E63="","",'POA — Monthly financial forecas'!E63),"")</f>
      </c>
    </row>
    <row r="505">
      <c r="A505" t="inlineStr" s="25">
        <is>
          <t xml:space="preserve">Calculation</t>
        </is>
      </c>
      <c r="B505">
        <f>IF(IF(DATE(2027,2,1)='POA — Three year summary'!C7="",FALSE,DATE(2027,2,1)='POA — Three year summary'!C7),IF('POA — Monthly financial forecas'!F63="","",'POA — Monthly financial forecas'!F63),"")</f>
      </c>
    </row>
    <row r="506">
      <c r="A506" t="inlineStr" s="25">
        <is>
          <t xml:space="preserve">Calculation</t>
        </is>
      </c>
      <c r="B506">
        <f>IF(IF(DATE(2027,3,1)='POA — Three year summary'!C7="",FALSE,DATE(2027,3,1)='POA — Three year summary'!C7),IF('POA — Monthly financial forecas'!G63="","",'POA — Monthly financial forecas'!G63),"")</f>
      </c>
    </row>
    <row r="507">
      <c r="A507" t="inlineStr" s="25">
        <is>
          <t xml:space="preserve">Calculation</t>
        </is>
      </c>
      <c r="B507">
        <f>IF(IF(DATE(2027,4,1)='POA — Three year summary'!C7="",FALSE,DATE(2027,4,1)='POA — Three year summary'!C7),IF('POA — Monthly financial forecas'!H63="","",'POA — Monthly financial forecas'!H63),"")</f>
      </c>
    </row>
    <row r="508">
      <c r="A508" t="inlineStr" s="25">
        <is>
          <t xml:space="preserve">Calculation</t>
        </is>
      </c>
      <c r="B508">
        <f>IF(IF(DATE(2027,5,1)='POA — Three year summary'!C7="",FALSE,DATE(2027,5,1)='POA — Three year summary'!C7),IF('POA — Monthly financial forecas'!I63="","",'POA — Monthly financial forecas'!I63),"")</f>
      </c>
    </row>
    <row r="509">
      <c r="A509" t="inlineStr" s="25">
        <is>
          <t xml:space="preserve">Calculation</t>
        </is>
      </c>
      <c r="B509">
        <f>IF(IF(DATE(2027,6,1)='POA — Three year summary'!C7="",FALSE,DATE(2027,6,1)='POA — Three year summary'!C7),IF('POA — Monthly financial forecas'!J63="","",'POA — Monthly financial forecas'!J63),"")</f>
      </c>
    </row>
    <row r="510">
      <c r="A510" t="inlineStr" s="25">
        <is>
          <t xml:space="preserve">Calculation</t>
        </is>
      </c>
      <c r="B510">
        <f>IF(IF(DATE(2027,7,1)='POA — Three year summary'!C7="",FALSE,DATE(2027,7,1)='POA — Three year summary'!C7),IF('POA — Monthly financial forecas'!K63="","",'POA — Monthly financial forecas'!K63),"")</f>
      </c>
    </row>
    <row r="511">
      <c r="A511" t="inlineStr" s="25">
        <is>
          <t xml:space="preserve">Calculation</t>
        </is>
      </c>
      <c r="B511">
        <f>IF(IF(DATE(2027,8,1)='POA — Three year summary'!C7="",FALSE,DATE(2027,8,1)='POA — Three year summary'!C7),IF('POA — Monthly financial forecas'!L63="","",'POA — Monthly financial forecas'!L63),"")</f>
      </c>
    </row>
    <row r="512">
      <c r="A512" t="inlineStr" s="25">
        <is>
          <t xml:space="preserve">Calculation</t>
        </is>
      </c>
      <c r="B512">
        <f>IF(IF(DATE(2027,9,1)='POA — Three year summary'!C7="",FALSE,DATE(2027,9,1)='POA — Three year summary'!C7),IF('POA — Monthly financial forecas'!M63="","",'POA — Monthly financial forecas'!M63),"")</f>
      </c>
    </row>
    <row r="513">
      <c r="A513" t="inlineStr" s="25">
        <is>
          <t xml:space="preserve">Calculation</t>
        </is>
      </c>
      <c r="B513">
        <f>IF(IF(DATE(2027,10,1)='POA — Three year summary'!C7="",FALSE,DATE(2027,10,1)='POA — Three year summary'!C7),IF('POA — Monthly financial forecas'!N63="","",'POA — Monthly financial forecas'!N63),"")</f>
      </c>
    </row>
    <row r="514">
      <c r="A514" t="inlineStr" s="25">
        <is>
          <t xml:space="preserve">Calculation</t>
        </is>
      </c>
      <c r="B514">
        <f>IF(IF(DATE(2027,11,1)='POA — Three year summary'!C7="",FALSE,DATE(2027,11,1)='POA — Three year summary'!C7),IF('POA — Monthly financial forecas'!O63="","",'POA — Monthly financial forecas'!O63),"")</f>
      </c>
    </row>
    <row r="515">
      <c r="A515" t="inlineStr" s="25">
        <is>
          <t xml:space="preserve">Calculation</t>
        </is>
      </c>
      <c r="B515">
        <f>IF(IF(DATE(2027,12,1)='POA — Three year summary'!C7="",FALSE,DATE(2027,12,1)='POA — Three year summary'!C7),IF('POA — Monthly financial forecas'!P63="","",'POA — Monthly financial forecas'!P63),"")</f>
      </c>
    </row>
    <row r="516">
      <c r="A516" t="inlineStr" s="25">
        <is>
          <t xml:space="preserve">Calculation</t>
        </is>
      </c>
      <c r="B516">
        <f>IF(IF(DATE(2028,1,1)='POA — Three year summary'!C7="",FALSE,DATE(2028,1,1)='POA — Three year summary'!C7),IF('POA — Monthly financial forecas'!Q63="","",'POA — Monthly financial forecas'!Q63),"")</f>
      </c>
    </row>
    <row r="517">
      <c r="A517" t="inlineStr" s="25">
        <is>
          <t xml:space="preserve">Calculation</t>
        </is>
      </c>
      <c r="B517">
        <f>IF(IF(DATE(2028,2,1)='POA — Three year summary'!C7="",FALSE,DATE(2028,2,1)='POA — Three year summary'!C7),IF('POA — Monthly financial forecas'!R63="","",'POA — Monthly financial forecas'!R63),"")</f>
      </c>
    </row>
    <row r="518">
      <c r="A518" t="inlineStr" s="25">
        <is>
          <t xml:space="preserve">Calculation</t>
        </is>
      </c>
      <c r="B518">
        <f>IF(IF(DATE(2028,3,1)='POA — Three year summary'!C7="",FALSE,DATE(2028,3,1)='POA — Three year summary'!C7),IF('POA — Monthly financial forecas'!S63="","",'POA — Monthly financial forecas'!S63),"")</f>
      </c>
    </row>
    <row r="519">
      <c r="A519" t="inlineStr" s="25">
        <is>
          <t xml:space="preserve">Calculation</t>
        </is>
      </c>
      <c r="B519">
        <f>IF(IF(DATE(2028,4,1)='POA — Three year summary'!C7="",FALSE,DATE(2028,4,1)='POA — Three year summary'!C7),IF('POA — Monthly financial forecas'!T63="","",'POA — Monthly financial forecas'!T63),"")</f>
      </c>
    </row>
    <row r="520">
      <c r="A520" t="inlineStr" s="25">
        <is>
          <t xml:space="preserve">Calculation</t>
        </is>
      </c>
      <c r="B520">
        <f>IF(IF(DATE(2028,5,1)='POA — Three year summary'!C7="",FALSE,DATE(2028,5,1)='POA — Three year summary'!C7),IF('POA — Monthly financial forecas'!U63="","",'POA — Monthly financial forecas'!U63),"")</f>
      </c>
    </row>
    <row r="521">
      <c r="A521" t="inlineStr" s="25">
        <is>
          <t xml:space="preserve">Calculation</t>
        </is>
      </c>
      <c r="B521">
        <f>IF(IF(DATE(2028,6,1)='POA — Three year summary'!C7="",FALSE,DATE(2028,6,1)='POA — Three year summary'!C7),IF('POA — Monthly financial forecas'!V63="","",'POA — Monthly financial forecas'!V63),"")</f>
      </c>
    </row>
    <row r="522">
      <c r="A522" t="inlineStr" s="25">
        <is>
          <t xml:space="preserve">Calculation</t>
        </is>
      </c>
      <c r="B522">
        <f>IF(IF(DATE(2028,7,1)='POA — Three year summary'!C7="",FALSE,DATE(2028,7,1)='POA — Three year summary'!C7),IF('POA — Monthly financial forecas'!W63="","",'POA — Monthly financial forecas'!W63),"")</f>
      </c>
    </row>
    <row r="523">
      <c r="A523" t="inlineStr" s="25">
        <is>
          <t xml:space="preserve">Calculation</t>
        </is>
      </c>
      <c r="B523">
        <f>IF(IF(DATE(2028,8,1)='POA — Three year summary'!C7="",FALSE,DATE(2028,8,1)='POA — Three year summary'!C7),IF('POA — Monthly financial forecas'!X63="","",'POA — Monthly financial forecas'!X63),"")</f>
      </c>
    </row>
    <row r="524">
      <c r="A524" t="inlineStr" s="25">
        <is>
          <t xml:space="preserve">Calculation</t>
        </is>
      </c>
      <c r="B524">
        <f>IF(IF(DATE(2028,9,1)='POA — Three year summary'!C7="",FALSE,DATE(2028,9,1)='POA — Three year summary'!C7),IF('POA — Monthly financial forecas'!Y63="","",'POA — Monthly financial forecas'!Y63),"")</f>
      </c>
    </row>
    <row r="525">
      <c r="A525" t="inlineStr" s="25">
        <is>
          <t xml:space="preserve">Calculation</t>
        </is>
      </c>
      <c r="B525">
        <f>IF(IF(DATE(2028,10,1)='POA — Three year summary'!C7="",FALSE,DATE(2028,10,1)='POA — Three year summary'!C7),IF('POA — Monthly financial forecas'!Z63="","",'POA — Monthly financial forecas'!Z63),"")</f>
      </c>
    </row>
    <row r="526">
      <c r="A526" t="inlineStr" s="25">
        <is>
          <t xml:space="preserve">Calculation</t>
        </is>
      </c>
      <c r="B526">
        <f>IF(IF(DATE(2028,11,1)='POA — Three year summary'!C7="",FALSE,DATE(2028,11,1)='POA — Three year summary'!C7),IF('POA — Monthly financial forecas'!AA63="","",'POA — Monthly financial forecas'!AA63),"")</f>
      </c>
    </row>
    <row r="527">
      <c r="A527" t="inlineStr" s="25">
        <is>
          <t xml:space="preserve">Calculation</t>
        </is>
      </c>
      <c r="B527">
        <f>IF(IF(DATE(2028,12,1)='POA — Three year summary'!C7="",FALSE,DATE(2028,12,1)='POA — Three year summary'!C7),IF('POA — Monthly financial forecas'!AB63="","",'POA — Monthly financial forecas'!AB63),"")</f>
      </c>
    </row>
    <row r="528">
      <c r="A528" t="inlineStr" s="25">
        <is>
          <t xml:space="preserve">Calculation</t>
        </is>
      </c>
      <c r="B528">
        <f>IF(IF(DATE(2029,1,1)='POA — Three year summary'!C7="",FALSE,DATE(2029,1,1)='POA — Three year summary'!C7),IF('POA — Monthly financial forecas'!AC63="","",'POA — Monthly financial forecas'!AC63),"")</f>
      </c>
    </row>
    <row r="529">
      <c r="A529" t="inlineStr" s="25">
        <is>
          <t xml:space="preserve">Calculation</t>
        </is>
      </c>
      <c r="B529">
        <f>IF(IF(DATE(2029,2,1)='POA — Three year summary'!C7="",FALSE,DATE(2029,2,1)='POA — Three year summary'!C7),IF('POA — Monthly financial forecas'!AD63="","",'POA — Monthly financial forecas'!AD63),"")</f>
      </c>
    </row>
    <row r="530">
      <c r="A530" t="inlineStr" s="25">
        <is>
          <t xml:space="preserve">Calculation</t>
        </is>
      </c>
      <c r="B530">
        <f>IF(IF(DATE(2029,3,1)='POA — Three year summary'!C7="",FALSE,DATE(2029,3,1)='POA — Three year summary'!C7),IF('POA — Monthly financial forecas'!AE63="","",'POA — Monthly financial forecas'!AE63),"")</f>
      </c>
    </row>
    <row r="531">
      <c r="A531" t="inlineStr" s="25">
        <is>
          <t xml:space="preserve">Calculation</t>
        </is>
      </c>
      <c r="B531">
        <f>IF(IF(DATE(2029,4,1)='POA — Three year summary'!C7="",FALSE,DATE(2029,4,1)='POA — Three year summary'!C7),IF('POA — Monthly financial forecas'!AF63="","",'POA — Monthly financial forecas'!AF63),"")</f>
      </c>
    </row>
    <row r="532">
      <c r="A532" t="inlineStr" s="25">
        <is>
          <t xml:space="preserve">Calculation</t>
        </is>
      </c>
      <c r="B532">
        <f>IF(IF(DATE(2029,5,1)='POA — Three year summary'!C7="",FALSE,DATE(2029,5,1)='POA — Three year summary'!C7),IF('POA — Monthly financial forecas'!AG63="","",'POA — Monthly financial forecas'!AG63),"")</f>
      </c>
    </row>
    <row r="533">
      <c r="A533" t="inlineStr" s="25">
        <is>
          <t xml:space="preserve">Calculation</t>
        </is>
      </c>
      <c r="B533">
        <f>IF(IF(DATE(2029,6,1)='POA — Three year summary'!C7="",FALSE,DATE(2029,6,1)='POA — Three year summary'!C7),IF('POA — Monthly financial forecas'!AH63="","",'POA — Monthly financial forecas'!AH63),"")</f>
      </c>
    </row>
    <row r="534">
      <c r="A534" t="inlineStr" s="25">
        <is>
          <t xml:space="preserve">Calculation</t>
        </is>
      </c>
      <c r="B534">
        <f>IF(IF(DATE(2029,7,1)='POA — Three year summary'!C7="",FALSE,DATE(2029,7,1)='POA — Three year summary'!C7),IF('POA — Monthly financial forecas'!AI63="","",'POA — Monthly financial forecas'!AI63),"")</f>
      </c>
    </row>
    <row r="535">
      <c r="A535" t="inlineStr" s="25">
        <is>
          <t xml:space="preserve">Calculation</t>
        </is>
      </c>
      <c r="B535">
        <f>IF(IF(DATE(2029,8,1)='POA — Three year summary'!C7="",FALSE,DATE(2029,8,1)='POA — Three year summary'!C7),IF('POA — Monthly financial forecas'!AJ63="","",'POA — Monthly financial forecas'!AJ63),"")</f>
      </c>
    </row>
    <row r="536">
      <c r="A536" t="inlineStr" s="25">
        <is>
          <t xml:space="preserve">Calculation</t>
        </is>
      </c>
      <c r="B536">
        <f>IF(IF(DATE(2029,9,1)='POA — Three year summary'!C7="",FALSE,DATE(2029,9,1)='POA — Three year summary'!C7),IF('POA — Monthly financial forecas'!AK63="","",'POA — Monthly financial forecas'!AK63),"")</f>
      </c>
    </row>
    <row r="537">
      <c r="A537" t="inlineStr" s="25">
        <is>
          <t xml:space="preserve">Calculation</t>
        </is>
      </c>
      <c r="B537">
        <f>IF(IF(DATE(2026,9,1)='POA — Three year summary'!C7="",FALSE,DATE(2026,9,1)='POA — Three year summary'!C7),IF('Model inputs'!B34="","",'Model inputs'!B34),"")</f>
      </c>
    </row>
    <row r="538">
      <c r="A538" t="inlineStr" s="25">
        <is>
          <t xml:space="preserve">Calculation</t>
        </is>
      </c>
      <c r="B538">
        <f>SUM(IF(IF('Model inputs'!B501="",0,1)="",0,IF('Model inputs'!B501="",0,1)),IF(IF('Model inputs'!B502="",0,1)="",0,IF('Model inputs'!B502="",0,1)),IF(IF('Model inputs'!B503="",0,1)="",0,IF('Model inputs'!B503="",0,1)),IF(IF('Model inputs'!B504="",0,1)="",0,IF('Model inputs'!B504="",0,1)),IF(IF('Model inputs'!B505="",0,1)="",0,IF('Model inputs'!B505="",0,1)),IF(IF('Model inputs'!B506="",0,1)="",0,IF('Model inputs'!B506="",0,1)),IF(IF('Model inputs'!B507="",0,1)="",0,IF('Model inputs'!B507="",0,1)),IF(IF('Model inputs'!B508="",0,1)="",0,IF('Model inputs'!B508="",0,1)),IF(IF('Model inputs'!B509="",0,1)="",0,IF('Model inputs'!B509="",0,1)),IF(IF('Model inputs'!B510="",0,1)="",0,IF('Model inputs'!B510="",0,1)),IF(IF('Model inputs'!B511="",0,1)="",0,IF('Model inputs'!B511="",0,1)),IF(IF('Model inputs'!B512="",0,1)="",0,IF('Model inputs'!B512="",0,1)),IF(IF('Model inputs'!B513="",0,1)="",0,IF('Model inputs'!B513="",0,1)),IF(IF('Model inputs'!B514="",0,1)="",0,IF('Model inputs'!B514="",0,1)),IF(IF('Model inputs'!B515="",0,1)="",0,IF('Model inputs'!B515="",0,1)),IF(IF('Model inputs'!B516="",0,1)="",0,IF('Model inputs'!B516="",0,1)),IF(IF('Model inputs'!B517="",0,1)="",0,IF('Model inputs'!B517="",0,1)),IF(IF('Model inputs'!B518="",0,1)="",0,IF('Model inputs'!B518="",0,1)),IF(IF('Model inputs'!B519="",0,1)="",0,IF('Model inputs'!B519="",0,1)),IF(IF('Model inputs'!B520="",0,1)="",0,IF('Model inputs'!B520="",0,1)),IF(IF('Model inputs'!B521="",0,1)="",0,IF('Model inputs'!B521="",0,1)),IF(IF('Model inputs'!B522="",0,1)="",0,IF('Model inputs'!B522="",0,1)),IF(IF('Model inputs'!B523="",0,1)="",0,IF('Model inputs'!B523="",0,1)),IF(IF('Model inputs'!B524="",0,1)="",0,IF('Model inputs'!B524="",0,1)),IF(IF('Model inputs'!B525="",0,1)="",0,IF('Model inputs'!B525="",0,1)),IF(IF('Model inputs'!B526="",0,1)="",0,IF('Model inputs'!B526="",0,1)),IF(IF('Model inputs'!B527="",0,1)="",0,IF('Model inputs'!B527="",0,1)),IF(IF('Model inputs'!B528="",0,1)="",0,IF('Model inputs'!B528="",0,1)),IF(IF('Model inputs'!B529="",0,1)="",0,IF('Model inputs'!B529="",0,1)),IF(IF('Model inputs'!B530="",0,1)="",0,IF('Model inputs'!B530="",0,1)),IF(IF('Model inputs'!B531="",0,1)="",0,IF('Model inputs'!B531="",0,1)),IF(IF('Model inputs'!B532="",0,1)="",0,IF('Model inputs'!B532="",0,1)),IF(IF('Model inputs'!B533="",0,1)="",0,IF('Model inputs'!B533="",0,1)),IF(IF('Model inputs'!B534="",0,1)="",0,IF('Model inputs'!B534="",0,1)),IF(IF('Model inputs'!B535="",0,1)="",0,IF('Model inputs'!B535="",0,1)),IF(IF('Model inputs'!B536="",0,1)="",0,IF('Model inputs'!B536="",0,1)),IF(IF('Model inputs'!B537="",0,1)="",0,IF('Model inputs'!B537="",0,1)))</f>
      </c>
    </row>
    <row r="539">
      <c r="A539" t="inlineStr" s="25">
        <is>
          <t xml:space="preserve">Calculation</t>
        </is>
      </c>
      <c r="B539">
        <f>IF(IF(DATE(2026,10,1)='POA — Three year summary'!C7="",FALSE,DATE(2026,10,1)='POA — Three year summary'!C7),IF('POA — Monthly financial forecas'!B7="","",'POA — Monthly financial forecas'!B7),"")</f>
      </c>
    </row>
    <row r="540">
      <c r="A540" t="inlineStr" s="25">
        <is>
          <t xml:space="preserve">Calculation</t>
        </is>
      </c>
      <c r="B540">
        <f>IF(IF(DATE(2026,11,1)='POA — Three year summary'!C7="",FALSE,DATE(2026,11,1)='POA — Three year summary'!C7),IF('POA — Monthly financial forecas'!C7="","",'POA — Monthly financial forecas'!C7),"")</f>
      </c>
    </row>
    <row r="541">
      <c r="A541" t="inlineStr" s="25">
        <is>
          <t xml:space="preserve">Calculation</t>
        </is>
      </c>
      <c r="B541">
        <f>IF(IF(DATE(2026,12,1)='POA — Three year summary'!C7="",FALSE,DATE(2026,12,1)='POA — Three year summary'!C7),IF('POA — Monthly financial forecas'!D7="","",'POA — Monthly financial forecas'!D7),"")</f>
      </c>
    </row>
    <row r="542">
      <c r="A542" t="inlineStr" s="25">
        <is>
          <t xml:space="preserve">Calculation</t>
        </is>
      </c>
      <c r="B542">
        <f>IF(IF(DATE(2027,1,1)='POA — Three year summary'!C7="",FALSE,DATE(2027,1,1)='POA — Three year summary'!C7),IF('POA — Monthly financial forecas'!E7="","",'POA — Monthly financial forecas'!E7),"")</f>
      </c>
    </row>
    <row r="543">
      <c r="A543" t="inlineStr" s="25">
        <is>
          <t xml:space="preserve">Calculation</t>
        </is>
      </c>
      <c r="B543">
        <f>IF(IF(DATE(2027,2,1)='POA — Three year summary'!C7="",FALSE,DATE(2027,2,1)='POA — Three year summary'!C7),IF('POA — Monthly financial forecas'!F7="","",'POA — Monthly financial forecas'!F7),"")</f>
      </c>
    </row>
    <row r="544">
      <c r="A544" t="inlineStr" s="25">
        <is>
          <t xml:space="preserve">Calculation</t>
        </is>
      </c>
      <c r="B544">
        <f>IF(IF(DATE(2027,3,1)='POA — Three year summary'!C7="",FALSE,DATE(2027,3,1)='POA — Three year summary'!C7),IF('POA — Monthly financial forecas'!G7="","",'POA — Monthly financial forecas'!G7),"")</f>
      </c>
    </row>
    <row r="545">
      <c r="A545" t="inlineStr" s="25">
        <is>
          <t xml:space="preserve">Calculation</t>
        </is>
      </c>
      <c r="B545">
        <f>IF(IF(DATE(2027,4,1)='POA — Three year summary'!C7="",FALSE,DATE(2027,4,1)='POA — Three year summary'!C7),IF('POA — Monthly financial forecas'!H7="","",'POA — Monthly financial forecas'!H7),"")</f>
      </c>
    </row>
    <row r="546">
      <c r="A546" t="inlineStr" s="25">
        <is>
          <t xml:space="preserve">Calculation</t>
        </is>
      </c>
      <c r="B546">
        <f>IF(IF(DATE(2027,5,1)='POA — Three year summary'!C7="",FALSE,DATE(2027,5,1)='POA — Three year summary'!C7),IF('POA — Monthly financial forecas'!I7="","",'POA — Monthly financial forecas'!I7),"")</f>
      </c>
    </row>
    <row r="547">
      <c r="A547" t="inlineStr" s="25">
        <is>
          <t xml:space="preserve">Calculation</t>
        </is>
      </c>
      <c r="B547">
        <f>IF(IF(DATE(2027,6,1)='POA — Three year summary'!C7="",FALSE,DATE(2027,6,1)='POA — Three year summary'!C7),IF('POA — Monthly financial forecas'!J7="","",'POA — Monthly financial forecas'!J7),"")</f>
      </c>
    </row>
    <row r="548">
      <c r="A548" t="inlineStr" s="25">
        <is>
          <t xml:space="preserve">Calculation</t>
        </is>
      </c>
      <c r="B548">
        <f>IF(IF(DATE(2027,7,1)='POA — Three year summary'!C7="",FALSE,DATE(2027,7,1)='POA — Three year summary'!C7),IF('POA — Monthly financial forecas'!K7="","",'POA — Monthly financial forecas'!K7),"")</f>
      </c>
    </row>
    <row r="549">
      <c r="A549" t="inlineStr" s="25">
        <is>
          <t xml:space="preserve">Calculation</t>
        </is>
      </c>
      <c r="B549">
        <f>IF(IF(DATE(2027,8,1)='POA — Three year summary'!C7="",FALSE,DATE(2027,8,1)='POA — Three year summary'!C7),IF('POA — Monthly financial forecas'!L7="","",'POA — Monthly financial forecas'!L7),"")</f>
      </c>
    </row>
    <row r="550">
      <c r="A550" t="inlineStr" s="25">
        <is>
          <t xml:space="preserve">Calculation</t>
        </is>
      </c>
      <c r="B550">
        <f>IF(IF(DATE(2027,9,1)='POA — Three year summary'!C7="",FALSE,DATE(2027,9,1)='POA — Three year summary'!C7),IF('POA — Monthly financial forecas'!M7="","",'POA — Monthly financial forecas'!M7),"")</f>
      </c>
    </row>
    <row r="551">
      <c r="A551" t="inlineStr" s="25">
        <is>
          <t xml:space="preserve">Calculation</t>
        </is>
      </c>
      <c r="B551">
        <f>IF(IF(DATE(2027,10,1)='POA — Three year summary'!C7="",FALSE,DATE(2027,10,1)='POA — Three year summary'!C7),IF('POA — Monthly financial forecas'!N7="","",'POA — Monthly financial forecas'!N7),"")</f>
      </c>
    </row>
    <row r="552">
      <c r="A552" t="inlineStr" s="25">
        <is>
          <t xml:space="preserve">Calculation</t>
        </is>
      </c>
      <c r="B552">
        <f>IF(IF(DATE(2027,11,1)='POA — Three year summary'!C7="",FALSE,DATE(2027,11,1)='POA — Three year summary'!C7),IF('POA — Monthly financial forecas'!O7="","",'POA — Monthly financial forecas'!O7),"")</f>
      </c>
    </row>
    <row r="553">
      <c r="A553" t="inlineStr" s="25">
        <is>
          <t xml:space="preserve">Calculation</t>
        </is>
      </c>
      <c r="B553">
        <f>IF(IF(DATE(2027,12,1)='POA — Three year summary'!C7="",FALSE,DATE(2027,12,1)='POA — Three year summary'!C7),IF('POA — Monthly financial forecas'!P7="","",'POA — Monthly financial forecas'!P7),"")</f>
      </c>
    </row>
    <row r="554">
      <c r="A554" t="inlineStr" s="25">
        <is>
          <t xml:space="preserve">Calculation</t>
        </is>
      </c>
      <c r="B554">
        <f>IF(IF(DATE(2028,1,1)='POA — Three year summary'!C7="",FALSE,DATE(2028,1,1)='POA — Three year summary'!C7),IF('POA — Monthly financial forecas'!Q7="","",'POA — Monthly financial forecas'!Q7),"")</f>
      </c>
    </row>
    <row r="555">
      <c r="A555" t="inlineStr" s="25">
        <is>
          <t xml:space="preserve">Calculation</t>
        </is>
      </c>
      <c r="B555">
        <f>IF(IF(DATE(2028,2,1)='POA — Three year summary'!C7="",FALSE,DATE(2028,2,1)='POA — Three year summary'!C7),IF('POA — Monthly financial forecas'!R7="","",'POA — Monthly financial forecas'!R7),"")</f>
      </c>
    </row>
    <row r="556">
      <c r="A556" t="inlineStr" s="25">
        <is>
          <t xml:space="preserve">Calculation</t>
        </is>
      </c>
      <c r="B556">
        <f>IF(IF(DATE(2028,3,1)='POA — Three year summary'!C7="",FALSE,DATE(2028,3,1)='POA — Three year summary'!C7),IF('POA — Monthly financial forecas'!S7="","",'POA — Monthly financial forecas'!S7),"")</f>
      </c>
    </row>
    <row r="557">
      <c r="A557" t="inlineStr" s="25">
        <is>
          <t xml:space="preserve">Calculation</t>
        </is>
      </c>
      <c r="B557">
        <f>IF(IF(DATE(2028,4,1)='POA — Three year summary'!C7="",FALSE,DATE(2028,4,1)='POA — Three year summary'!C7),IF('POA — Monthly financial forecas'!T7="","",'POA — Monthly financial forecas'!T7),"")</f>
      </c>
    </row>
    <row r="558">
      <c r="A558" t="inlineStr" s="25">
        <is>
          <t xml:space="preserve">Calculation</t>
        </is>
      </c>
      <c r="B558">
        <f>IF(IF(DATE(2028,5,1)='POA — Three year summary'!C7="",FALSE,DATE(2028,5,1)='POA — Three year summary'!C7),IF('POA — Monthly financial forecas'!U7="","",'POA — Monthly financial forecas'!U7),"")</f>
      </c>
    </row>
    <row r="559">
      <c r="A559" t="inlineStr" s="25">
        <is>
          <t xml:space="preserve">Calculation</t>
        </is>
      </c>
      <c r="B559">
        <f>IF(IF(DATE(2028,6,1)='POA — Three year summary'!C7="",FALSE,DATE(2028,6,1)='POA — Three year summary'!C7),IF('POA — Monthly financial forecas'!V7="","",'POA — Monthly financial forecas'!V7),"")</f>
      </c>
    </row>
    <row r="560">
      <c r="A560" t="inlineStr" s="25">
        <is>
          <t xml:space="preserve">Calculation</t>
        </is>
      </c>
      <c r="B560">
        <f>IF(IF(DATE(2028,7,1)='POA — Three year summary'!C7="",FALSE,DATE(2028,7,1)='POA — Three year summary'!C7),IF('POA — Monthly financial forecas'!W7="","",'POA — Monthly financial forecas'!W7),"")</f>
      </c>
    </row>
    <row r="561">
      <c r="A561" t="inlineStr" s="25">
        <is>
          <t xml:space="preserve">Calculation</t>
        </is>
      </c>
      <c r="B561">
        <f>IF(IF(DATE(2028,8,1)='POA — Three year summary'!C7="",FALSE,DATE(2028,8,1)='POA — Three year summary'!C7),IF('POA — Monthly financial forecas'!X7="","",'POA — Monthly financial forecas'!X7),"")</f>
      </c>
    </row>
    <row r="562">
      <c r="A562" t="inlineStr" s="25">
        <is>
          <t xml:space="preserve">Calculation</t>
        </is>
      </c>
      <c r="B562">
        <f>IF(IF(DATE(2028,9,1)='POA — Three year summary'!C7="",FALSE,DATE(2028,9,1)='POA — Three year summary'!C7),IF('POA — Monthly financial forecas'!Y7="","",'POA — Monthly financial forecas'!Y7),"")</f>
      </c>
    </row>
    <row r="563">
      <c r="A563" t="inlineStr" s="25">
        <is>
          <t xml:space="preserve">Calculation</t>
        </is>
      </c>
      <c r="B563">
        <f>IF(IF(DATE(2028,10,1)='POA — Three year summary'!C7="",FALSE,DATE(2028,10,1)='POA — Three year summary'!C7),IF('POA — Monthly financial forecas'!Z7="","",'POA — Monthly financial forecas'!Z7),"")</f>
      </c>
    </row>
    <row r="564">
      <c r="A564" t="inlineStr" s="25">
        <is>
          <t xml:space="preserve">Calculation</t>
        </is>
      </c>
      <c r="B564">
        <f>IF(IF(DATE(2028,11,1)='POA — Three year summary'!C7="",FALSE,DATE(2028,11,1)='POA — Three year summary'!C7),IF('POA — Monthly financial forecas'!AA7="","",'POA — Monthly financial forecas'!AA7),"")</f>
      </c>
    </row>
    <row r="565">
      <c r="A565" t="inlineStr" s="25">
        <is>
          <t xml:space="preserve">Calculation</t>
        </is>
      </c>
      <c r="B565">
        <f>IF(IF(DATE(2028,12,1)='POA — Three year summary'!C7="",FALSE,DATE(2028,12,1)='POA — Three year summary'!C7),IF('POA — Monthly financial forecas'!AB7="","",'POA — Monthly financial forecas'!AB7),"")</f>
      </c>
    </row>
    <row r="566">
      <c r="A566" t="inlineStr" s="25">
        <is>
          <t xml:space="preserve">Calculation</t>
        </is>
      </c>
      <c r="B566">
        <f>IF(IF(DATE(2029,1,1)='POA — Three year summary'!C7="",FALSE,DATE(2029,1,1)='POA — Three year summary'!C7),IF('POA — Monthly financial forecas'!AC7="","",'POA — Monthly financial forecas'!AC7),"")</f>
      </c>
    </row>
    <row r="567">
      <c r="A567" t="inlineStr" s="25">
        <is>
          <t xml:space="preserve">Calculation</t>
        </is>
      </c>
      <c r="B567">
        <f>IF(IF(DATE(2029,2,1)='POA — Three year summary'!C7="",FALSE,DATE(2029,2,1)='POA — Three year summary'!C7),IF('POA — Monthly financial forecas'!AD7="","",'POA — Monthly financial forecas'!AD7),"")</f>
      </c>
    </row>
    <row r="568">
      <c r="A568" t="inlineStr" s="25">
        <is>
          <t xml:space="preserve">Calculation</t>
        </is>
      </c>
      <c r="B568">
        <f>IF(IF(DATE(2029,3,1)='POA — Three year summary'!C7="",FALSE,DATE(2029,3,1)='POA — Three year summary'!C7),IF('POA — Monthly financial forecas'!AE7="","",'POA — Monthly financial forecas'!AE7),"")</f>
      </c>
    </row>
    <row r="569">
      <c r="A569" t="inlineStr" s="25">
        <is>
          <t xml:space="preserve">Calculation</t>
        </is>
      </c>
      <c r="B569">
        <f>IF(IF(DATE(2029,4,1)='POA — Three year summary'!C7="",FALSE,DATE(2029,4,1)='POA — Three year summary'!C7),IF('POA — Monthly financial forecas'!AF7="","",'POA — Monthly financial forecas'!AF7),"")</f>
      </c>
    </row>
    <row r="570">
      <c r="A570" t="inlineStr" s="25">
        <is>
          <t xml:space="preserve">Calculation</t>
        </is>
      </c>
      <c r="B570">
        <f>IF(IF(DATE(2029,5,1)='POA — Three year summary'!C7="",FALSE,DATE(2029,5,1)='POA — Three year summary'!C7),IF('POA — Monthly financial forecas'!AG7="","",'POA — Monthly financial forecas'!AG7),"")</f>
      </c>
    </row>
    <row r="571">
      <c r="A571" t="inlineStr" s="25">
        <is>
          <t xml:space="preserve">Calculation</t>
        </is>
      </c>
      <c r="B571">
        <f>IF(IF(DATE(2029,6,1)='POA — Three year summary'!C7="",FALSE,DATE(2029,6,1)='POA — Three year summary'!C7),IF('POA — Monthly financial forecas'!AH7="","",'POA — Monthly financial forecas'!AH7),"")</f>
      </c>
    </row>
    <row r="572">
      <c r="A572" t="inlineStr" s="25">
        <is>
          <t xml:space="preserve">Calculation</t>
        </is>
      </c>
      <c r="B572">
        <f>IF(IF(DATE(2029,7,1)='POA — Three year summary'!C7="",FALSE,DATE(2029,7,1)='POA — Three year summary'!C7),IF('POA — Monthly financial forecas'!AI7="","",'POA — Monthly financial forecas'!AI7),"")</f>
      </c>
    </row>
    <row r="573">
      <c r="A573" t="inlineStr" s="25">
        <is>
          <t xml:space="preserve">Calculation</t>
        </is>
      </c>
      <c r="B573">
        <f>IF(IF(DATE(2029,8,1)='POA — Three year summary'!C7="",FALSE,DATE(2029,8,1)='POA — Three year summary'!C7),IF('POA — Monthly financial forecas'!AJ7="","",'POA — Monthly financial forecas'!AJ7),"")</f>
      </c>
    </row>
    <row r="574">
      <c r="A574" t="inlineStr" s="25">
        <is>
          <t xml:space="preserve">Calculation</t>
        </is>
      </c>
      <c r="B574">
        <f>IF(IF(DATE(2029,9,1)='POA — Three year summary'!C7="",FALSE,DATE(2029,9,1)='POA — Three year summary'!C7),IF('POA — Monthly financial forecas'!AK7="","",'POA — Monthly financial forecas'!AK7),"")</f>
      </c>
    </row>
    <row r="575">
      <c r="A575" t="inlineStr" s="25">
        <is>
          <t xml:space="preserve">Calculation</t>
        </is>
      </c>
      <c r="B575">
        <f>IF(IF(DATE(2026,9,1)='POA — Three year summary'!C7="",FALSE,DATE(2026,9,1)='POA — Three year summary'!C7),IF('Model inputs'!B7="","",'Model inputs'!B7),"")</f>
      </c>
    </row>
    <row r="576">
      <c r="A576" t="inlineStr" s="25">
        <is>
          <t xml:space="preserve">Calculation</t>
        </is>
      </c>
      <c r="B576">
        <f>SUM(IF(IF('Model inputs'!B539="",0,1)="",0,IF('Model inputs'!B539="",0,1)),IF(IF('Model inputs'!B540="",0,1)="",0,IF('Model inputs'!B540="",0,1)),IF(IF('Model inputs'!B541="",0,1)="",0,IF('Model inputs'!B541="",0,1)),IF(IF('Model inputs'!B542="",0,1)="",0,IF('Model inputs'!B542="",0,1)),IF(IF('Model inputs'!B543="",0,1)="",0,IF('Model inputs'!B543="",0,1)),IF(IF('Model inputs'!B544="",0,1)="",0,IF('Model inputs'!B544="",0,1)),IF(IF('Model inputs'!B545="",0,1)="",0,IF('Model inputs'!B545="",0,1)),IF(IF('Model inputs'!B546="",0,1)="",0,IF('Model inputs'!B546="",0,1)),IF(IF('Model inputs'!B547="",0,1)="",0,IF('Model inputs'!B547="",0,1)),IF(IF('Model inputs'!B548="",0,1)="",0,IF('Model inputs'!B548="",0,1)),IF(IF('Model inputs'!B549="",0,1)="",0,IF('Model inputs'!B549="",0,1)),IF(IF('Model inputs'!B550="",0,1)="",0,IF('Model inputs'!B550="",0,1)),IF(IF('Model inputs'!B551="",0,1)="",0,IF('Model inputs'!B551="",0,1)),IF(IF('Model inputs'!B552="",0,1)="",0,IF('Model inputs'!B552="",0,1)),IF(IF('Model inputs'!B553="",0,1)="",0,IF('Model inputs'!B553="",0,1)),IF(IF('Model inputs'!B554="",0,1)="",0,IF('Model inputs'!B554="",0,1)),IF(IF('Model inputs'!B555="",0,1)="",0,IF('Model inputs'!B555="",0,1)),IF(IF('Model inputs'!B556="",0,1)="",0,IF('Model inputs'!B556="",0,1)),IF(IF('Model inputs'!B557="",0,1)="",0,IF('Model inputs'!B557="",0,1)),IF(IF('Model inputs'!B558="",0,1)="",0,IF('Model inputs'!B558="",0,1)),IF(IF('Model inputs'!B559="",0,1)="",0,IF('Model inputs'!B559="",0,1)),IF(IF('Model inputs'!B560="",0,1)="",0,IF('Model inputs'!B560="",0,1)),IF(IF('Model inputs'!B561="",0,1)="",0,IF('Model inputs'!B561="",0,1)),IF(IF('Model inputs'!B562="",0,1)="",0,IF('Model inputs'!B562="",0,1)),IF(IF('Model inputs'!B563="",0,1)="",0,IF('Model inputs'!B563="",0,1)),IF(IF('Model inputs'!B564="",0,1)="",0,IF('Model inputs'!B564="",0,1)),IF(IF('Model inputs'!B565="",0,1)="",0,IF('Model inputs'!B565="",0,1)),IF(IF('Model inputs'!B566="",0,1)="",0,IF('Model inputs'!B566="",0,1)),IF(IF('Model inputs'!B567="",0,1)="",0,IF('Model inputs'!B567="",0,1)),IF(IF('Model inputs'!B568="",0,1)="",0,IF('Model inputs'!B568="",0,1)),IF(IF('Model inputs'!B569="",0,1)="",0,IF('Model inputs'!B569="",0,1)),IF(IF('Model inputs'!B570="",0,1)="",0,IF('Model inputs'!B570="",0,1)),IF(IF('Model inputs'!B571="",0,1)="",0,IF('Model inputs'!B571="",0,1)),IF(IF('Model inputs'!B572="",0,1)="",0,IF('Model inputs'!B572="",0,1)),IF(IF('Model inputs'!B573="",0,1)="",0,IF('Model inputs'!B573="",0,1)),IF(IF('Model inputs'!B574="",0,1)="",0,IF('Model inputs'!B574="",0,1)),IF(IF('Model inputs'!B575="",0,1)="",0,IF('Model inputs'!B575="",0,1)))</f>
      </c>
    </row>
    <row r="577">
      <c r="A577" t="inlineStr" s="25">
        <is>
          <t xml:space="preserve">Calculation</t>
        </is>
      </c>
      <c r="B577">
        <f>IF(IF(DATE(2026,10,1)='POA — Three year summary'!C7="",FALSE,DATE(2026,10,1)='POA — Three year summary'!C7),IF('POA — Monthly financial forecas'!B28="","",'POA — Monthly financial forecas'!B28),"")</f>
      </c>
    </row>
    <row r="578">
      <c r="A578" t="inlineStr" s="25">
        <is>
          <t xml:space="preserve">Calculation</t>
        </is>
      </c>
      <c r="B578">
        <f>IF(IF(DATE(2026,11,1)='POA — Three year summary'!C7="",FALSE,DATE(2026,11,1)='POA — Three year summary'!C7),IF('POA — Monthly financial forecas'!C28="","",'POA — Monthly financial forecas'!C28),"")</f>
      </c>
    </row>
    <row r="579">
      <c r="A579" t="inlineStr" s="25">
        <is>
          <t xml:space="preserve">Calculation</t>
        </is>
      </c>
      <c r="B579">
        <f>IF(IF(DATE(2026,12,1)='POA — Three year summary'!C7="",FALSE,DATE(2026,12,1)='POA — Three year summary'!C7),IF('POA — Monthly financial forecas'!D28="","",'POA — Monthly financial forecas'!D28),"")</f>
      </c>
    </row>
    <row r="580">
      <c r="A580" t="inlineStr" s="25">
        <is>
          <t xml:space="preserve">Calculation</t>
        </is>
      </c>
      <c r="B580">
        <f>IF(IF(DATE(2027,1,1)='POA — Three year summary'!C7="",FALSE,DATE(2027,1,1)='POA — Three year summary'!C7),IF('POA — Monthly financial forecas'!E28="","",'POA — Monthly financial forecas'!E28),"")</f>
      </c>
    </row>
    <row r="581">
      <c r="A581" t="inlineStr" s="25">
        <is>
          <t xml:space="preserve">Calculation</t>
        </is>
      </c>
      <c r="B581">
        <f>IF(IF(DATE(2027,2,1)='POA — Three year summary'!C7="",FALSE,DATE(2027,2,1)='POA — Three year summary'!C7),IF('POA — Monthly financial forecas'!F28="","",'POA — Monthly financial forecas'!F28),"")</f>
      </c>
    </row>
    <row r="582">
      <c r="A582" t="inlineStr" s="25">
        <is>
          <t xml:space="preserve">Calculation</t>
        </is>
      </c>
      <c r="B582">
        <f>IF(IF(DATE(2027,3,1)='POA — Three year summary'!C7="",FALSE,DATE(2027,3,1)='POA — Three year summary'!C7),IF('POA — Monthly financial forecas'!G28="","",'POA — Monthly financial forecas'!G28),"")</f>
      </c>
    </row>
    <row r="583">
      <c r="A583" t="inlineStr" s="25">
        <is>
          <t xml:space="preserve">Calculation</t>
        </is>
      </c>
      <c r="B583">
        <f>IF(IF(DATE(2027,4,1)='POA — Three year summary'!C7="",FALSE,DATE(2027,4,1)='POA — Three year summary'!C7),IF('POA — Monthly financial forecas'!H28="","",'POA — Monthly financial forecas'!H28),"")</f>
      </c>
    </row>
    <row r="584">
      <c r="A584" t="inlineStr" s="25">
        <is>
          <t xml:space="preserve">Calculation</t>
        </is>
      </c>
      <c r="B584">
        <f>IF(IF(DATE(2027,5,1)='POA — Three year summary'!C7="",FALSE,DATE(2027,5,1)='POA — Three year summary'!C7),IF('POA — Monthly financial forecas'!I28="","",'POA — Monthly financial forecas'!I28),"")</f>
      </c>
    </row>
    <row r="585">
      <c r="A585" t="inlineStr" s="25">
        <is>
          <t xml:space="preserve">Calculation</t>
        </is>
      </c>
      <c r="B585">
        <f>IF(IF(DATE(2027,6,1)='POA — Three year summary'!C7="",FALSE,DATE(2027,6,1)='POA — Three year summary'!C7),IF('POA — Monthly financial forecas'!J28="","",'POA — Monthly financial forecas'!J28),"")</f>
      </c>
    </row>
    <row r="586">
      <c r="A586" t="inlineStr" s="25">
        <is>
          <t xml:space="preserve">Calculation</t>
        </is>
      </c>
      <c r="B586">
        <f>IF(IF(DATE(2027,7,1)='POA — Three year summary'!C7="",FALSE,DATE(2027,7,1)='POA — Three year summary'!C7),IF('POA — Monthly financial forecas'!K28="","",'POA — Monthly financial forecas'!K28),"")</f>
      </c>
    </row>
    <row r="587">
      <c r="A587" t="inlineStr" s="25">
        <is>
          <t xml:space="preserve">Calculation</t>
        </is>
      </c>
      <c r="B587">
        <f>IF(IF(DATE(2027,8,1)='POA — Three year summary'!C7="",FALSE,DATE(2027,8,1)='POA — Three year summary'!C7),IF('POA — Monthly financial forecas'!L28="","",'POA — Monthly financial forecas'!L28),"")</f>
      </c>
    </row>
    <row r="588">
      <c r="A588" t="inlineStr" s="25">
        <is>
          <t xml:space="preserve">Calculation</t>
        </is>
      </c>
      <c r="B588">
        <f>IF(IF(DATE(2027,9,1)='POA — Three year summary'!C7="",FALSE,DATE(2027,9,1)='POA — Three year summary'!C7),IF('POA — Monthly financial forecas'!M28="","",'POA — Monthly financial forecas'!M28),"")</f>
      </c>
    </row>
    <row r="589">
      <c r="A589" t="inlineStr" s="25">
        <is>
          <t xml:space="preserve">Calculation</t>
        </is>
      </c>
      <c r="B589">
        <f>IF(IF(DATE(2027,10,1)='POA — Three year summary'!C7="",FALSE,DATE(2027,10,1)='POA — Three year summary'!C7),IF('POA — Monthly financial forecas'!N28="","",'POA — Monthly financial forecas'!N28),"")</f>
      </c>
    </row>
    <row r="590">
      <c r="A590" t="inlineStr" s="25">
        <is>
          <t xml:space="preserve">Calculation</t>
        </is>
      </c>
      <c r="B590">
        <f>IF(IF(DATE(2027,11,1)='POA — Three year summary'!C7="",FALSE,DATE(2027,11,1)='POA — Three year summary'!C7),IF('POA — Monthly financial forecas'!O28="","",'POA — Monthly financial forecas'!O28),"")</f>
      </c>
    </row>
    <row r="591">
      <c r="A591" t="inlineStr" s="25">
        <is>
          <t xml:space="preserve">Calculation</t>
        </is>
      </c>
      <c r="B591">
        <f>IF(IF(DATE(2027,12,1)='POA — Three year summary'!C7="",FALSE,DATE(2027,12,1)='POA — Three year summary'!C7),IF('POA — Monthly financial forecas'!P28="","",'POA — Monthly financial forecas'!P28),"")</f>
      </c>
    </row>
    <row r="592">
      <c r="A592" t="inlineStr" s="25">
        <is>
          <t xml:space="preserve">Calculation</t>
        </is>
      </c>
      <c r="B592">
        <f>IF(IF(DATE(2028,1,1)='POA — Three year summary'!C7="",FALSE,DATE(2028,1,1)='POA — Three year summary'!C7),IF('POA — Monthly financial forecas'!Q28="","",'POA — Monthly financial forecas'!Q28),"")</f>
      </c>
    </row>
    <row r="593">
      <c r="A593" t="inlineStr" s="25">
        <is>
          <t xml:space="preserve">Calculation</t>
        </is>
      </c>
      <c r="B593">
        <f>IF(IF(DATE(2028,2,1)='POA — Three year summary'!C7="",FALSE,DATE(2028,2,1)='POA — Three year summary'!C7),IF('POA — Monthly financial forecas'!R28="","",'POA — Monthly financial forecas'!R28),"")</f>
      </c>
    </row>
    <row r="594">
      <c r="A594" t="inlineStr" s="25">
        <is>
          <t xml:space="preserve">Calculation</t>
        </is>
      </c>
      <c r="B594">
        <f>IF(IF(DATE(2028,3,1)='POA — Three year summary'!C7="",FALSE,DATE(2028,3,1)='POA — Three year summary'!C7),IF('POA — Monthly financial forecas'!S28="","",'POA — Monthly financial forecas'!S28),"")</f>
      </c>
    </row>
    <row r="595">
      <c r="A595" t="inlineStr" s="25">
        <is>
          <t xml:space="preserve">Calculation</t>
        </is>
      </c>
      <c r="B595">
        <f>IF(IF(DATE(2028,4,1)='POA — Three year summary'!C7="",FALSE,DATE(2028,4,1)='POA — Three year summary'!C7),IF('POA — Monthly financial forecas'!T28="","",'POA — Monthly financial forecas'!T28),"")</f>
      </c>
    </row>
    <row r="596">
      <c r="A596" t="inlineStr" s="25">
        <is>
          <t xml:space="preserve">Calculation</t>
        </is>
      </c>
      <c r="B596">
        <f>IF(IF(DATE(2028,5,1)='POA — Three year summary'!C7="",FALSE,DATE(2028,5,1)='POA — Three year summary'!C7),IF('POA — Monthly financial forecas'!U28="","",'POA — Monthly financial forecas'!U28),"")</f>
      </c>
    </row>
    <row r="597">
      <c r="A597" t="inlineStr" s="25">
        <is>
          <t xml:space="preserve">Calculation</t>
        </is>
      </c>
      <c r="B597">
        <f>IF(IF(DATE(2028,6,1)='POA — Three year summary'!C7="",FALSE,DATE(2028,6,1)='POA — Three year summary'!C7),IF('POA — Monthly financial forecas'!V28="","",'POA — Monthly financial forecas'!V28),"")</f>
      </c>
    </row>
    <row r="598">
      <c r="A598" t="inlineStr" s="25">
        <is>
          <t xml:space="preserve">Calculation</t>
        </is>
      </c>
      <c r="B598">
        <f>IF(IF(DATE(2028,7,1)='POA — Three year summary'!C7="",FALSE,DATE(2028,7,1)='POA — Three year summary'!C7),IF('POA — Monthly financial forecas'!W28="","",'POA — Monthly financial forecas'!W28),"")</f>
      </c>
    </row>
    <row r="599">
      <c r="A599" t="inlineStr" s="25">
        <is>
          <t xml:space="preserve">Calculation</t>
        </is>
      </c>
      <c r="B599">
        <f>IF(IF(DATE(2028,8,1)='POA — Three year summary'!C7="",FALSE,DATE(2028,8,1)='POA — Three year summary'!C7),IF('POA — Monthly financial forecas'!X28="","",'POA — Monthly financial forecas'!X28),"")</f>
      </c>
    </row>
    <row r="600">
      <c r="A600" t="inlineStr" s="25">
        <is>
          <t xml:space="preserve">Calculation</t>
        </is>
      </c>
      <c r="B600">
        <f>IF(IF(DATE(2028,9,1)='POA — Three year summary'!C7="",FALSE,DATE(2028,9,1)='POA — Three year summary'!C7),IF('POA — Monthly financial forecas'!Y28="","",'POA — Monthly financial forecas'!Y28),"")</f>
      </c>
    </row>
    <row r="601">
      <c r="A601" t="inlineStr" s="25">
        <is>
          <t xml:space="preserve">Calculation</t>
        </is>
      </c>
      <c r="B601">
        <f>IF(IF(DATE(2028,10,1)='POA — Three year summary'!C7="",FALSE,DATE(2028,10,1)='POA — Three year summary'!C7),IF('POA — Monthly financial forecas'!Z28="","",'POA — Monthly financial forecas'!Z28),"")</f>
      </c>
    </row>
    <row r="602">
      <c r="A602" t="inlineStr" s="25">
        <is>
          <t xml:space="preserve">Calculation</t>
        </is>
      </c>
      <c r="B602">
        <f>IF(IF(DATE(2028,11,1)='POA — Three year summary'!C7="",FALSE,DATE(2028,11,1)='POA — Three year summary'!C7),IF('POA — Monthly financial forecas'!AA28="","",'POA — Monthly financial forecas'!AA28),"")</f>
      </c>
    </row>
    <row r="603">
      <c r="A603" t="inlineStr" s="25">
        <is>
          <t xml:space="preserve">Calculation</t>
        </is>
      </c>
      <c r="B603">
        <f>IF(IF(DATE(2028,12,1)='POA — Three year summary'!C7="",FALSE,DATE(2028,12,1)='POA — Three year summary'!C7),IF('POA — Monthly financial forecas'!AB28="","",'POA — Monthly financial forecas'!AB28),"")</f>
      </c>
    </row>
    <row r="604">
      <c r="A604" t="inlineStr" s="25">
        <is>
          <t xml:space="preserve">Calculation</t>
        </is>
      </c>
      <c r="B604">
        <f>IF(IF(DATE(2029,1,1)='POA — Three year summary'!C7="",FALSE,DATE(2029,1,1)='POA — Three year summary'!C7),IF('POA — Monthly financial forecas'!AC28="","",'POA — Monthly financial forecas'!AC28),"")</f>
      </c>
    </row>
    <row r="605">
      <c r="A605" t="inlineStr" s="25">
        <is>
          <t xml:space="preserve">Calculation</t>
        </is>
      </c>
      <c r="B605">
        <f>IF(IF(DATE(2029,2,1)='POA — Three year summary'!C7="",FALSE,DATE(2029,2,1)='POA — Three year summary'!C7),IF('POA — Monthly financial forecas'!AD28="","",'POA — Monthly financial forecas'!AD28),"")</f>
      </c>
    </row>
    <row r="606">
      <c r="A606" t="inlineStr" s="25">
        <is>
          <t xml:space="preserve">Calculation</t>
        </is>
      </c>
      <c r="B606">
        <f>IF(IF(DATE(2029,3,1)='POA — Three year summary'!C7="",FALSE,DATE(2029,3,1)='POA — Three year summary'!C7),IF('POA — Monthly financial forecas'!AE28="","",'POA — Monthly financial forecas'!AE28),"")</f>
      </c>
    </row>
    <row r="607">
      <c r="A607" t="inlineStr" s="25">
        <is>
          <t xml:space="preserve">Calculation</t>
        </is>
      </c>
      <c r="B607">
        <f>IF(IF(DATE(2029,4,1)='POA — Three year summary'!C7="",FALSE,DATE(2029,4,1)='POA — Three year summary'!C7),IF('POA — Monthly financial forecas'!AF28="","",'POA — Monthly financial forecas'!AF28),"")</f>
      </c>
    </row>
    <row r="608">
      <c r="A608" t="inlineStr" s="25">
        <is>
          <t xml:space="preserve">Calculation</t>
        </is>
      </c>
      <c r="B608">
        <f>IF(IF(DATE(2029,5,1)='POA — Three year summary'!C7="",FALSE,DATE(2029,5,1)='POA — Three year summary'!C7),IF('POA — Monthly financial forecas'!AG28="","",'POA — Monthly financial forecas'!AG28),"")</f>
      </c>
    </row>
    <row r="609">
      <c r="A609" t="inlineStr" s="25">
        <is>
          <t xml:space="preserve">Calculation</t>
        </is>
      </c>
      <c r="B609">
        <f>IF(IF(DATE(2029,6,1)='POA — Three year summary'!C7="",FALSE,DATE(2029,6,1)='POA — Three year summary'!C7),IF('POA — Monthly financial forecas'!AH28="","",'POA — Monthly financial forecas'!AH28),"")</f>
      </c>
    </row>
    <row r="610">
      <c r="A610" t="inlineStr" s="25">
        <is>
          <t xml:space="preserve">Calculation</t>
        </is>
      </c>
      <c r="B610">
        <f>IF(IF(DATE(2029,7,1)='POA — Three year summary'!C7="",FALSE,DATE(2029,7,1)='POA — Three year summary'!C7),IF('POA — Monthly financial forecas'!AI28="","",'POA — Monthly financial forecas'!AI28),"")</f>
      </c>
    </row>
    <row r="611">
      <c r="A611" t="inlineStr" s="25">
        <is>
          <t xml:space="preserve">Calculation</t>
        </is>
      </c>
      <c r="B611">
        <f>IF(IF(DATE(2029,8,1)='POA — Three year summary'!C7="",FALSE,DATE(2029,8,1)='POA — Three year summary'!C7),IF('POA — Monthly financial forecas'!AJ28="","",'POA — Monthly financial forecas'!AJ28),"")</f>
      </c>
    </row>
    <row r="612">
      <c r="A612" t="inlineStr" s="25">
        <is>
          <t xml:space="preserve">Calculation</t>
        </is>
      </c>
      <c r="B612">
        <f>IF(IF(DATE(2029,9,1)='POA — Three year summary'!C7="",FALSE,DATE(2029,9,1)='POA — Three year summary'!C7),IF('POA — Monthly financial forecas'!AK28="","",'POA — Monthly financial forecas'!AK28),"")</f>
      </c>
    </row>
    <row r="613">
      <c r="A613" t="inlineStr" s="25">
        <is>
          <t xml:space="preserve">Calculation</t>
        </is>
      </c>
      <c r="B613">
        <f>SUM(IF(IF('Model inputs'!B577="",0,1)="",0,IF('Model inputs'!B577="",0,1)),IF(IF('Model inputs'!B578="",0,1)="",0,IF('Model inputs'!B578="",0,1)),IF(IF('Model inputs'!B579="",0,1)="",0,IF('Model inputs'!B579="",0,1)),IF(IF('Model inputs'!B580="",0,1)="",0,IF('Model inputs'!B580="",0,1)),IF(IF('Model inputs'!B581="",0,1)="",0,IF('Model inputs'!B581="",0,1)),IF(IF('Model inputs'!B582="",0,1)="",0,IF('Model inputs'!B582="",0,1)),IF(IF('Model inputs'!B583="",0,1)="",0,IF('Model inputs'!B583="",0,1)),IF(IF('Model inputs'!B584="",0,1)="",0,IF('Model inputs'!B584="",0,1)),IF(IF('Model inputs'!B585="",0,1)="",0,IF('Model inputs'!B585="",0,1)),IF(IF('Model inputs'!B586="",0,1)="",0,IF('Model inputs'!B586="",0,1)),IF(IF('Model inputs'!B587="",0,1)="",0,IF('Model inputs'!B587="",0,1)),IF(IF('Model inputs'!B588="",0,1)="",0,IF('Model inputs'!B588="",0,1)),IF(IF('Model inputs'!B589="",0,1)="",0,IF('Model inputs'!B589="",0,1)),IF(IF('Model inputs'!B590="",0,1)="",0,IF('Model inputs'!B590="",0,1)),IF(IF('Model inputs'!B591="",0,1)="",0,IF('Model inputs'!B591="",0,1)),IF(IF('Model inputs'!B592="",0,1)="",0,IF('Model inputs'!B592="",0,1)),IF(IF('Model inputs'!B593="",0,1)="",0,IF('Model inputs'!B593="",0,1)),IF(IF('Model inputs'!B594="",0,1)="",0,IF('Model inputs'!B594="",0,1)),IF(IF('Model inputs'!B595="",0,1)="",0,IF('Model inputs'!B595="",0,1)),IF(IF('Model inputs'!B596="",0,1)="",0,IF('Model inputs'!B596="",0,1)),IF(IF('Model inputs'!B597="",0,1)="",0,IF('Model inputs'!B597="",0,1)),IF(IF('Model inputs'!B598="",0,1)="",0,IF('Model inputs'!B598="",0,1)),IF(IF('Model inputs'!B599="",0,1)="",0,IF('Model inputs'!B599="",0,1)),IF(IF('Model inputs'!B600="",0,1)="",0,IF('Model inputs'!B600="",0,1)),IF(IF('Model inputs'!B601="",0,1)="",0,IF('Model inputs'!B601="",0,1)),IF(IF('Model inputs'!B602="",0,1)="",0,IF('Model inputs'!B602="",0,1)),IF(IF('Model inputs'!B603="",0,1)="",0,IF('Model inputs'!B603="",0,1)),IF(IF('Model inputs'!B604="",0,1)="",0,IF('Model inputs'!B604="",0,1)),IF(IF('Model inputs'!B605="",0,1)="",0,IF('Model inputs'!B605="",0,1)),IF(IF('Model inputs'!B606="",0,1)="",0,IF('Model inputs'!B606="",0,1)),IF(IF('Model inputs'!B607="",0,1)="",0,IF('Model inputs'!B607="",0,1)),IF(IF('Model inputs'!B608="",0,1)="",0,IF('Model inputs'!B608="",0,1)),IF(IF('Model inputs'!B609="",0,1)="",0,IF('Model inputs'!B609="",0,1)),IF(IF('Model inputs'!B610="",0,1)="",0,IF('Model inputs'!B610="",0,1)),IF(IF('Model inputs'!B611="",0,1)="",0,IF('Model inputs'!B611="",0,1)),IF(IF('Model inputs'!B612="",0,1)="",0,IF('Model inputs'!B612="",0,1)))</f>
      </c>
    </row>
    <row r="614">
      <c r="A614" t="inlineStr" s="25">
        <is>
          <t xml:space="preserve">Calculation</t>
        </is>
      </c>
      <c r="B614">
        <f>IF(IF(DATE(2026,10,1)='POA — Three year summary'!C7="",FALSE,DATE(2026,10,1)='POA — Three year summary'!C7),IF('POA — Monthly financial forecas'!B29="","",'POA — Monthly financial forecas'!B29),"")</f>
      </c>
    </row>
    <row r="615">
      <c r="A615" t="inlineStr" s="25">
        <is>
          <t xml:space="preserve">Calculation</t>
        </is>
      </c>
      <c r="B615">
        <f>IF(IF(DATE(2026,11,1)='POA — Three year summary'!C7="",FALSE,DATE(2026,11,1)='POA — Three year summary'!C7),IF('POA — Monthly financial forecas'!C29="","",'POA — Monthly financial forecas'!C29),"")</f>
      </c>
    </row>
    <row r="616">
      <c r="A616" t="inlineStr" s="25">
        <is>
          <t xml:space="preserve">Calculation</t>
        </is>
      </c>
      <c r="B616">
        <f>IF(IF(DATE(2026,12,1)='POA — Three year summary'!C7="",FALSE,DATE(2026,12,1)='POA — Three year summary'!C7),IF('POA — Monthly financial forecas'!D29="","",'POA — Monthly financial forecas'!D29),"")</f>
      </c>
    </row>
    <row r="617">
      <c r="A617" t="inlineStr" s="25">
        <is>
          <t xml:space="preserve">Calculation</t>
        </is>
      </c>
      <c r="B617">
        <f>IF(IF(DATE(2027,1,1)='POA — Three year summary'!C7="",FALSE,DATE(2027,1,1)='POA — Three year summary'!C7),IF('POA — Monthly financial forecas'!E29="","",'POA — Monthly financial forecas'!E29),"")</f>
      </c>
    </row>
    <row r="618">
      <c r="A618" t="inlineStr" s="25">
        <is>
          <t xml:space="preserve">Calculation</t>
        </is>
      </c>
      <c r="B618">
        <f>IF(IF(DATE(2027,2,1)='POA — Three year summary'!C7="",FALSE,DATE(2027,2,1)='POA — Three year summary'!C7),IF('POA — Monthly financial forecas'!F29="","",'POA — Monthly financial forecas'!F29),"")</f>
      </c>
    </row>
    <row r="619">
      <c r="A619" t="inlineStr" s="25">
        <is>
          <t xml:space="preserve">Calculation</t>
        </is>
      </c>
      <c r="B619">
        <f>IF(IF(DATE(2027,3,1)='POA — Three year summary'!C7="",FALSE,DATE(2027,3,1)='POA — Three year summary'!C7),IF('POA — Monthly financial forecas'!G29="","",'POA — Monthly financial forecas'!G29),"")</f>
      </c>
    </row>
    <row r="620">
      <c r="A620" t="inlineStr" s="25">
        <is>
          <t xml:space="preserve">Calculation</t>
        </is>
      </c>
      <c r="B620">
        <f>IF(IF(DATE(2027,4,1)='POA — Three year summary'!C7="",FALSE,DATE(2027,4,1)='POA — Three year summary'!C7),IF('POA — Monthly financial forecas'!H29="","",'POA — Monthly financial forecas'!H29),"")</f>
      </c>
    </row>
    <row r="621">
      <c r="A621" t="inlineStr" s="25">
        <is>
          <t xml:space="preserve">Calculation</t>
        </is>
      </c>
      <c r="B621">
        <f>IF(IF(DATE(2027,5,1)='POA — Three year summary'!C7="",FALSE,DATE(2027,5,1)='POA — Three year summary'!C7),IF('POA — Monthly financial forecas'!I29="","",'POA — Monthly financial forecas'!I29),"")</f>
      </c>
    </row>
    <row r="622">
      <c r="A622" t="inlineStr" s="25">
        <is>
          <t xml:space="preserve">Calculation</t>
        </is>
      </c>
      <c r="B622">
        <f>IF(IF(DATE(2027,6,1)='POA — Three year summary'!C7="",FALSE,DATE(2027,6,1)='POA — Three year summary'!C7),IF('POA — Monthly financial forecas'!J29="","",'POA — Monthly financial forecas'!J29),"")</f>
      </c>
    </row>
    <row r="623">
      <c r="A623" t="inlineStr" s="25">
        <is>
          <t xml:space="preserve">Calculation</t>
        </is>
      </c>
      <c r="B623">
        <f>IF(IF(DATE(2027,7,1)='POA — Three year summary'!C7="",FALSE,DATE(2027,7,1)='POA — Three year summary'!C7),IF('POA — Monthly financial forecas'!K29="","",'POA — Monthly financial forecas'!K29),"")</f>
      </c>
    </row>
    <row r="624">
      <c r="A624" t="inlineStr" s="25">
        <is>
          <t xml:space="preserve">Calculation</t>
        </is>
      </c>
      <c r="B624">
        <f>IF(IF(DATE(2027,8,1)='POA — Three year summary'!C7="",FALSE,DATE(2027,8,1)='POA — Three year summary'!C7),IF('POA — Monthly financial forecas'!L29="","",'POA — Monthly financial forecas'!L29),"")</f>
      </c>
    </row>
    <row r="625">
      <c r="A625" t="inlineStr" s="25">
        <is>
          <t xml:space="preserve">Calculation</t>
        </is>
      </c>
      <c r="B625">
        <f>IF(IF(DATE(2027,9,1)='POA — Three year summary'!C7="",FALSE,DATE(2027,9,1)='POA — Three year summary'!C7),IF('POA — Monthly financial forecas'!M29="","",'POA — Monthly financial forecas'!M29),"")</f>
      </c>
    </row>
    <row r="626">
      <c r="A626" t="inlineStr" s="25">
        <is>
          <t xml:space="preserve">Calculation</t>
        </is>
      </c>
      <c r="B626">
        <f>IF(IF(DATE(2027,10,1)='POA — Three year summary'!C7="",FALSE,DATE(2027,10,1)='POA — Three year summary'!C7),IF('POA — Monthly financial forecas'!N29="","",'POA — Monthly financial forecas'!N29),"")</f>
      </c>
    </row>
    <row r="627">
      <c r="A627" t="inlineStr" s="25">
        <is>
          <t xml:space="preserve">Calculation</t>
        </is>
      </c>
      <c r="B627">
        <f>IF(IF(DATE(2027,11,1)='POA — Three year summary'!C7="",FALSE,DATE(2027,11,1)='POA — Three year summary'!C7),IF('POA — Monthly financial forecas'!O29="","",'POA — Monthly financial forecas'!O29),"")</f>
      </c>
    </row>
    <row r="628">
      <c r="A628" t="inlineStr" s="25">
        <is>
          <t xml:space="preserve">Calculation</t>
        </is>
      </c>
      <c r="B628">
        <f>IF(IF(DATE(2027,12,1)='POA — Three year summary'!C7="",FALSE,DATE(2027,12,1)='POA — Three year summary'!C7),IF('POA — Monthly financial forecas'!P29="","",'POA — Monthly financial forecas'!P29),"")</f>
      </c>
    </row>
    <row r="629">
      <c r="A629" t="inlineStr" s="25">
        <is>
          <t xml:space="preserve">Calculation</t>
        </is>
      </c>
      <c r="B629">
        <f>IF(IF(DATE(2028,1,1)='POA — Three year summary'!C7="",FALSE,DATE(2028,1,1)='POA — Three year summary'!C7),IF('POA — Monthly financial forecas'!Q29="","",'POA — Monthly financial forecas'!Q29),"")</f>
      </c>
    </row>
    <row r="630">
      <c r="A630" t="inlineStr" s="25">
        <is>
          <t xml:space="preserve">Calculation</t>
        </is>
      </c>
      <c r="B630">
        <f>IF(IF(DATE(2028,2,1)='POA — Three year summary'!C7="",FALSE,DATE(2028,2,1)='POA — Three year summary'!C7),IF('POA — Monthly financial forecas'!R29="","",'POA — Monthly financial forecas'!R29),"")</f>
      </c>
    </row>
    <row r="631">
      <c r="A631" t="inlineStr" s="25">
        <is>
          <t xml:space="preserve">Calculation</t>
        </is>
      </c>
      <c r="B631">
        <f>IF(IF(DATE(2028,3,1)='POA — Three year summary'!C7="",FALSE,DATE(2028,3,1)='POA — Three year summary'!C7),IF('POA — Monthly financial forecas'!S29="","",'POA — Monthly financial forecas'!S29),"")</f>
      </c>
    </row>
    <row r="632">
      <c r="A632" t="inlineStr" s="25">
        <is>
          <t xml:space="preserve">Calculation</t>
        </is>
      </c>
      <c r="B632">
        <f>IF(IF(DATE(2028,4,1)='POA — Three year summary'!C7="",FALSE,DATE(2028,4,1)='POA — Three year summary'!C7),IF('POA — Monthly financial forecas'!T29="","",'POA — Monthly financial forecas'!T29),"")</f>
      </c>
    </row>
    <row r="633">
      <c r="A633" t="inlineStr" s="25">
        <is>
          <t xml:space="preserve">Calculation</t>
        </is>
      </c>
      <c r="B633">
        <f>IF(IF(DATE(2028,5,1)='POA — Three year summary'!C7="",FALSE,DATE(2028,5,1)='POA — Three year summary'!C7),IF('POA — Monthly financial forecas'!U29="","",'POA — Monthly financial forecas'!U29),"")</f>
      </c>
    </row>
    <row r="634">
      <c r="A634" t="inlineStr" s="25">
        <is>
          <t xml:space="preserve">Calculation</t>
        </is>
      </c>
      <c r="B634">
        <f>IF(IF(DATE(2028,6,1)='POA — Three year summary'!C7="",FALSE,DATE(2028,6,1)='POA — Three year summary'!C7),IF('POA — Monthly financial forecas'!V29="","",'POA — Monthly financial forecas'!V29),"")</f>
      </c>
    </row>
    <row r="635">
      <c r="A635" t="inlineStr" s="25">
        <is>
          <t xml:space="preserve">Calculation</t>
        </is>
      </c>
      <c r="B635">
        <f>IF(IF(DATE(2028,7,1)='POA — Three year summary'!C7="",FALSE,DATE(2028,7,1)='POA — Three year summary'!C7),IF('POA — Monthly financial forecas'!W29="","",'POA — Monthly financial forecas'!W29),"")</f>
      </c>
    </row>
    <row r="636">
      <c r="A636" t="inlineStr" s="25">
        <is>
          <t xml:space="preserve">Calculation</t>
        </is>
      </c>
      <c r="B636">
        <f>IF(IF(DATE(2028,8,1)='POA — Three year summary'!C7="",FALSE,DATE(2028,8,1)='POA — Three year summary'!C7),IF('POA — Monthly financial forecas'!X29="","",'POA — Monthly financial forecas'!X29),"")</f>
      </c>
    </row>
    <row r="637">
      <c r="A637" t="inlineStr" s="25">
        <is>
          <t xml:space="preserve">Calculation</t>
        </is>
      </c>
      <c r="B637">
        <f>IF(IF(DATE(2028,9,1)='POA — Three year summary'!C7="",FALSE,DATE(2028,9,1)='POA — Three year summary'!C7),IF('POA — Monthly financial forecas'!Y29="","",'POA — Monthly financial forecas'!Y29),"")</f>
      </c>
    </row>
    <row r="638">
      <c r="A638" t="inlineStr" s="25">
        <is>
          <t xml:space="preserve">Calculation</t>
        </is>
      </c>
      <c r="B638">
        <f>IF(IF(DATE(2028,10,1)='POA — Three year summary'!C7="",FALSE,DATE(2028,10,1)='POA — Three year summary'!C7),IF('POA — Monthly financial forecas'!Z29="","",'POA — Monthly financial forecas'!Z29),"")</f>
      </c>
    </row>
    <row r="639">
      <c r="A639" t="inlineStr" s="25">
        <is>
          <t xml:space="preserve">Calculation</t>
        </is>
      </c>
      <c r="B639">
        <f>IF(IF(DATE(2028,11,1)='POA — Three year summary'!C7="",FALSE,DATE(2028,11,1)='POA — Three year summary'!C7),IF('POA — Monthly financial forecas'!AA29="","",'POA — Monthly financial forecas'!AA29),"")</f>
      </c>
    </row>
    <row r="640">
      <c r="A640" t="inlineStr" s="25">
        <is>
          <t xml:space="preserve">Calculation</t>
        </is>
      </c>
      <c r="B640">
        <f>IF(IF(DATE(2028,12,1)='POA — Three year summary'!C7="",FALSE,DATE(2028,12,1)='POA — Three year summary'!C7),IF('POA — Monthly financial forecas'!AB29="","",'POA — Monthly financial forecas'!AB29),"")</f>
      </c>
    </row>
    <row r="641">
      <c r="A641" t="inlineStr" s="25">
        <is>
          <t xml:space="preserve">Calculation</t>
        </is>
      </c>
      <c r="B641">
        <f>IF(IF(DATE(2029,1,1)='POA — Three year summary'!C7="",FALSE,DATE(2029,1,1)='POA — Three year summary'!C7),IF('POA — Monthly financial forecas'!AC29="","",'POA — Monthly financial forecas'!AC29),"")</f>
      </c>
    </row>
    <row r="642">
      <c r="A642" t="inlineStr" s="25">
        <is>
          <t xml:space="preserve">Calculation</t>
        </is>
      </c>
      <c r="B642">
        <f>IF(IF(DATE(2029,2,1)='POA — Three year summary'!C7="",FALSE,DATE(2029,2,1)='POA — Three year summary'!C7),IF('POA — Monthly financial forecas'!AD29="","",'POA — Monthly financial forecas'!AD29),"")</f>
      </c>
    </row>
    <row r="643">
      <c r="A643" t="inlineStr" s="25">
        <is>
          <t xml:space="preserve">Calculation</t>
        </is>
      </c>
      <c r="B643">
        <f>IF(IF(DATE(2029,3,1)='POA — Three year summary'!C7="",FALSE,DATE(2029,3,1)='POA — Three year summary'!C7),IF('POA — Monthly financial forecas'!AE29="","",'POA — Monthly financial forecas'!AE29),"")</f>
      </c>
    </row>
    <row r="644">
      <c r="A644" t="inlineStr" s="25">
        <is>
          <t xml:space="preserve">Calculation</t>
        </is>
      </c>
      <c r="B644">
        <f>IF(IF(DATE(2029,4,1)='POA — Three year summary'!C7="",FALSE,DATE(2029,4,1)='POA — Three year summary'!C7),IF('POA — Monthly financial forecas'!AF29="","",'POA — Monthly financial forecas'!AF29),"")</f>
      </c>
    </row>
    <row r="645">
      <c r="A645" t="inlineStr" s="25">
        <is>
          <t xml:space="preserve">Calculation</t>
        </is>
      </c>
      <c r="B645">
        <f>IF(IF(DATE(2029,5,1)='POA — Three year summary'!C7="",FALSE,DATE(2029,5,1)='POA — Three year summary'!C7),IF('POA — Monthly financial forecas'!AG29="","",'POA — Monthly financial forecas'!AG29),"")</f>
      </c>
    </row>
    <row r="646">
      <c r="A646" t="inlineStr" s="25">
        <is>
          <t xml:space="preserve">Calculation</t>
        </is>
      </c>
      <c r="B646">
        <f>IF(IF(DATE(2029,6,1)='POA — Three year summary'!C7="",FALSE,DATE(2029,6,1)='POA — Three year summary'!C7),IF('POA — Monthly financial forecas'!AH29="","",'POA — Monthly financial forecas'!AH29),"")</f>
      </c>
    </row>
    <row r="647">
      <c r="A647" t="inlineStr" s="25">
        <is>
          <t xml:space="preserve">Calculation</t>
        </is>
      </c>
      <c r="B647">
        <f>IF(IF(DATE(2029,7,1)='POA — Three year summary'!C7="",FALSE,DATE(2029,7,1)='POA — Three year summary'!C7),IF('POA — Monthly financial forecas'!AI29="","",'POA — Monthly financial forecas'!AI29),"")</f>
      </c>
    </row>
    <row r="648">
      <c r="A648" t="inlineStr" s="25">
        <is>
          <t xml:space="preserve">Calculation</t>
        </is>
      </c>
      <c r="B648">
        <f>IF(IF(DATE(2029,8,1)='POA — Three year summary'!C7="",FALSE,DATE(2029,8,1)='POA — Three year summary'!C7),IF('POA — Monthly financial forecas'!AJ29="","",'POA — Monthly financial forecas'!AJ29),"")</f>
      </c>
    </row>
    <row r="649">
      <c r="A649" t="inlineStr" s="25">
        <is>
          <t xml:space="preserve">Calculation</t>
        </is>
      </c>
      <c r="B649">
        <f>IF(IF(DATE(2029,9,1)='POA — Three year summary'!C7="",FALSE,DATE(2029,9,1)='POA — Three year summary'!C7),IF('POA — Monthly financial forecas'!AK29="","",'POA — Monthly financial forecas'!AK29),"")</f>
      </c>
    </row>
    <row r="650">
      <c r="A650" t="inlineStr" s="25">
        <is>
          <t xml:space="preserve">Calculation</t>
        </is>
      </c>
      <c r="B650">
        <f>SUM(IF(IF('Model inputs'!B614="",0,1)="",0,IF('Model inputs'!B614="",0,1)),IF(IF('Model inputs'!B615="",0,1)="",0,IF('Model inputs'!B615="",0,1)),IF(IF('Model inputs'!B616="",0,1)="",0,IF('Model inputs'!B616="",0,1)),IF(IF('Model inputs'!B617="",0,1)="",0,IF('Model inputs'!B617="",0,1)),IF(IF('Model inputs'!B618="",0,1)="",0,IF('Model inputs'!B618="",0,1)),IF(IF('Model inputs'!B619="",0,1)="",0,IF('Model inputs'!B619="",0,1)),IF(IF('Model inputs'!B620="",0,1)="",0,IF('Model inputs'!B620="",0,1)),IF(IF('Model inputs'!B621="",0,1)="",0,IF('Model inputs'!B621="",0,1)),IF(IF('Model inputs'!B622="",0,1)="",0,IF('Model inputs'!B622="",0,1)),IF(IF('Model inputs'!B623="",0,1)="",0,IF('Model inputs'!B623="",0,1)),IF(IF('Model inputs'!B624="",0,1)="",0,IF('Model inputs'!B624="",0,1)),IF(IF('Model inputs'!B625="",0,1)="",0,IF('Model inputs'!B625="",0,1)),IF(IF('Model inputs'!B626="",0,1)="",0,IF('Model inputs'!B626="",0,1)),IF(IF('Model inputs'!B627="",0,1)="",0,IF('Model inputs'!B627="",0,1)),IF(IF('Model inputs'!B628="",0,1)="",0,IF('Model inputs'!B628="",0,1)),IF(IF('Model inputs'!B629="",0,1)="",0,IF('Model inputs'!B629="",0,1)),IF(IF('Model inputs'!B630="",0,1)="",0,IF('Model inputs'!B630="",0,1)),IF(IF('Model inputs'!B631="",0,1)="",0,IF('Model inputs'!B631="",0,1)),IF(IF('Model inputs'!B632="",0,1)="",0,IF('Model inputs'!B632="",0,1)),IF(IF('Model inputs'!B633="",0,1)="",0,IF('Model inputs'!B633="",0,1)),IF(IF('Model inputs'!B634="",0,1)="",0,IF('Model inputs'!B634="",0,1)),IF(IF('Model inputs'!B635="",0,1)="",0,IF('Model inputs'!B635="",0,1)),IF(IF('Model inputs'!B636="",0,1)="",0,IF('Model inputs'!B636="",0,1)),IF(IF('Model inputs'!B637="",0,1)="",0,IF('Model inputs'!B637="",0,1)),IF(IF('Model inputs'!B638="",0,1)="",0,IF('Model inputs'!B638="",0,1)),IF(IF('Model inputs'!B639="",0,1)="",0,IF('Model inputs'!B639="",0,1)),IF(IF('Model inputs'!B640="",0,1)="",0,IF('Model inputs'!B640="",0,1)),IF(IF('Model inputs'!B641="",0,1)="",0,IF('Model inputs'!B641="",0,1)),IF(IF('Model inputs'!B642="",0,1)="",0,IF('Model inputs'!B642="",0,1)),IF(IF('Model inputs'!B643="",0,1)="",0,IF('Model inputs'!B643="",0,1)),IF(IF('Model inputs'!B644="",0,1)="",0,IF('Model inputs'!B644="",0,1)),IF(IF('Model inputs'!B645="",0,1)="",0,IF('Model inputs'!B645="",0,1)),IF(IF('Model inputs'!B646="",0,1)="",0,IF('Model inputs'!B646="",0,1)),IF(IF('Model inputs'!B647="",0,1)="",0,IF('Model inputs'!B647="",0,1)),IF(IF('Model inputs'!B648="",0,1)="",0,IF('Model inputs'!B648="",0,1)),IF(IF('Model inputs'!B649="",0,1)="",0,IF('Model inputs'!B649="",0,1)))</f>
      </c>
    </row>
    <row r="651">
      <c r="A651" t="inlineStr" s="25">
        <is>
          <t xml:space="preserve">Calculation</t>
        </is>
      </c>
      <c r="B651">
        <f>(IF(IF(IF(ISERROR('POA — Monthly financial forecas'!B5&lt;=6),'POA — Monthly financial forecas'!B5&lt;=6,IF('POA — Monthly financial forecas'!B5="","",'POA — Monthly financial forecas'!B5&lt;=6))="",FALSE,IF(ISERROR('POA — Monthly financial forecas'!B5&lt;=6),'POA — Monthly financial forecas'!B5&lt;=6,IF('POA — Monthly financial forecas'!B5="","",'POA — Monthly financial forecas'!B5&lt;=6))),'Model inputs'!AM99+('Model inputs'!AM105-'Model inputs'!AM99)*('POA — Monthly financial forecas'!B5-0)/6,IF(IF(IF(ISERROR('POA — Monthly financial forecas'!B5&lt;=12),'POA — Monthly financial forecas'!B5&lt;=12,IF('POA — Monthly financial forecas'!B5="","",'POA — Monthly financial forecas'!B5&lt;=12))="",FALSE,IF(ISERROR('POA — Monthly financial forecas'!B5&lt;=12),'POA — Monthly financial forecas'!B5&lt;=12,IF('POA — Monthly financial forecas'!B5="","",'POA — Monthly financial forecas'!B5&lt;=12))),'Model inputs'!AM105+('Model inputs'!AM100-'Model inputs'!AM105)*('POA — Monthly financial forecas'!B5-6)/6,IF(IF(IF(ISERROR('POA — Monthly financial forecas'!B5&lt;=18),'POA — Monthly financial forecas'!B5&lt;=18,IF('POA — Monthly financial forecas'!B5="","",'POA — Monthly financial forecas'!B5&lt;=18))="",FALSE,IF(ISERROR('POA — Monthly financial forecas'!B5&lt;=18),'POA — Monthly financial forecas'!B5&lt;=18,IF('POA — Monthly financial forecas'!B5="","",'POA — Monthly financial forecas'!B5&lt;=18))),'Model inputs'!AM100+('Model inputs'!AM101-'Model inputs'!AM100)*('POA — Monthly financial forecas'!B5-12)/6,IF(IF(IF(ISERROR('POA — Monthly financial forecas'!B5&lt;=24),'POA — Monthly financial forecas'!B5&lt;=24,IF('POA — Monthly financial forecas'!B5="","",'POA — Monthly financial forecas'!B5&lt;=24))="",FALSE,IF(ISERROR('POA — Monthly financial forecas'!B5&lt;=24),'POA — Monthly financial forecas'!B5&lt;=24,IF('POA — Monthly financial forecas'!B5="","",'POA — Monthly financial forecas'!B5&lt;=24))),'Model inputs'!AM101+('Model inputs'!AM102-'Model inputs'!AM101)*('POA — Monthly financial forecas'!B5-18)/6,IF(IF(IF(ISERROR('POA — Monthly financial forecas'!B5&lt;=30),'POA — Monthly financial forecas'!B5&lt;=30,IF('POA — Monthly financial forecas'!B5="","",'POA — Monthly financial forecas'!B5&lt;=30))="",FALSE,IF(ISERROR('POA — Monthly financial forecas'!B5&lt;=30),'POA — Monthly financial forecas'!B5&lt;=30,IF('POA — Monthly financial forecas'!B5="","",'POA — Monthly financial forecas'!B5&lt;=30))),'Model inputs'!AM102+('Model inputs'!AM103-'Model inputs'!AM102)*('POA — Monthly financial forecas'!B5-24)/6,IF(IF(IF(ISERROR('POA — Monthly financial forecas'!B5&lt;=36),'POA — Monthly financial forecas'!B5&lt;=36,IF('POA — Monthly financial forecas'!B5="","",'POA — Monthly financial forecas'!B5&lt;=36))="",FALSE,IF(ISERROR('POA — Monthly financial forecas'!B5&lt;=36),'POA — Monthly financial forecas'!B5&lt;=36,IF('POA — Monthly financial forecas'!B5="","",'POA — Monthly financial forecas'!B5&lt;=36))),'Model inputs'!AM103+('Model inputs'!AM104-'Model inputs'!AM103)*('POA — Monthly financial forecas'!B5-30)/6,IF('Model inputs'!AM104="","",'Model inputs'!AM104))))))))</f>
      </c>
    </row>
    <row r="652">
      <c r="A652" t="inlineStr" s="25">
        <is>
          <t xml:space="preserve">Calculation</t>
        </is>
      </c>
      <c r="B652">
        <f>IF('Model inputs'!B651="",0,'Model inputs'!B651)*'Model inputs'!AM93</f>
      </c>
    </row>
    <row r="653">
      <c r="A653" t="inlineStr" s="25">
        <is>
          <t xml:space="preserve">Calculation</t>
        </is>
      </c>
      <c r="B653">
        <f>(IF(IF(IF(ISERROR('POA — Monthly financial forecas'!C5&lt;=6),'POA — Monthly financial forecas'!C5&lt;=6,IF('POA — Monthly financial forecas'!C5="","",'POA — Monthly financial forecas'!C5&lt;=6))="",FALSE,IF(ISERROR('POA — Monthly financial forecas'!C5&lt;=6),'POA — Monthly financial forecas'!C5&lt;=6,IF('POA — Monthly financial forecas'!C5="","",'POA — Monthly financial forecas'!C5&lt;=6))),'Model inputs'!AM99+('Model inputs'!AM105-'Model inputs'!AM99)*('POA — Monthly financial forecas'!C5-0)/6,IF(IF(IF(ISERROR('POA — Monthly financial forecas'!C5&lt;=12),'POA — Monthly financial forecas'!C5&lt;=12,IF('POA — Monthly financial forecas'!C5="","",'POA — Monthly financial forecas'!C5&lt;=12))="",FALSE,IF(ISERROR('POA — Monthly financial forecas'!C5&lt;=12),'POA — Monthly financial forecas'!C5&lt;=12,IF('POA — Monthly financial forecas'!C5="","",'POA — Monthly financial forecas'!C5&lt;=12))),'Model inputs'!AM105+('Model inputs'!AM100-'Model inputs'!AM105)*('POA — Monthly financial forecas'!C5-6)/6,IF(IF(IF(ISERROR('POA — Monthly financial forecas'!C5&lt;=18),'POA — Monthly financial forecas'!C5&lt;=18,IF('POA — Monthly financial forecas'!C5="","",'POA — Monthly financial forecas'!C5&lt;=18))="",FALSE,IF(ISERROR('POA — Monthly financial forecas'!C5&lt;=18),'POA — Monthly financial forecas'!C5&lt;=18,IF('POA — Monthly financial forecas'!C5="","",'POA — Monthly financial forecas'!C5&lt;=18))),'Model inputs'!AM100+('Model inputs'!AM101-'Model inputs'!AM100)*('POA — Monthly financial forecas'!C5-12)/6,IF(IF(IF(ISERROR('POA — Monthly financial forecas'!C5&lt;=24),'POA — Monthly financial forecas'!C5&lt;=24,IF('POA — Monthly financial forecas'!C5="","",'POA — Monthly financial forecas'!C5&lt;=24))="",FALSE,IF(ISERROR('POA — Monthly financial forecas'!C5&lt;=24),'POA — Monthly financial forecas'!C5&lt;=24,IF('POA — Monthly financial forecas'!C5="","",'POA — Monthly financial forecas'!C5&lt;=24))),'Model inputs'!AM101+('Model inputs'!AM102-'Model inputs'!AM101)*('POA — Monthly financial forecas'!C5-18)/6,IF(IF(IF(ISERROR('POA — Monthly financial forecas'!C5&lt;=30),'POA — Monthly financial forecas'!C5&lt;=30,IF('POA — Monthly financial forecas'!C5="","",'POA — Monthly financial forecas'!C5&lt;=30))="",FALSE,IF(ISERROR('POA — Monthly financial forecas'!C5&lt;=30),'POA — Monthly financial forecas'!C5&lt;=30,IF('POA — Monthly financial forecas'!C5="","",'POA — Monthly financial forecas'!C5&lt;=30))),'Model inputs'!AM102+('Model inputs'!AM103-'Model inputs'!AM102)*('POA — Monthly financial forecas'!C5-24)/6,IF(IF(IF(ISERROR('POA — Monthly financial forecas'!C5&lt;=36),'POA — Monthly financial forecas'!C5&lt;=36,IF('POA — Monthly financial forecas'!C5="","",'POA — Monthly financial forecas'!C5&lt;=36))="",FALSE,IF(ISERROR('POA — Monthly financial forecas'!C5&lt;=36),'POA — Monthly financial forecas'!C5&lt;=36,IF('POA — Monthly financial forecas'!C5="","",'POA — Monthly financial forecas'!C5&lt;=36))),'Model inputs'!AM103+('Model inputs'!AM104-'Model inputs'!AM103)*('POA — Monthly financial forecas'!C5-30)/6,IF('Model inputs'!AM104="","",'Model inputs'!AM104))))))))</f>
      </c>
    </row>
    <row r="654">
      <c r="A654" t="inlineStr" s="25">
        <is>
          <t xml:space="preserve">Calculation</t>
        </is>
      </c>
      <c r="B654">
        <f>IF('Model inputs'!B653="",0,'Model inputs'!B653)*'Model inputs'!AM93</f>
      </c>
    </row>
    <row r="655">
      <c r="A655" t="inlineStr" s="25">
        <is>
          <t xml:space="preserve">Calculation</t>
        </is>
      </c>
      <c r="B655">
        <f>(IF(IF(IF(ISERROR('POA — Monthly financial forecas'!D5&lt;=6),'POA — Monthly financial forecas'!D5&lt;=6,IF('POA — Monthly financial forecas'!D5="","",'POA — Monthly financial forecas'!D5&lt;=6))="",FALSE,IF(ISERROR('POA — Monthly financial forecas'!D5&lt;=6),'POA — Monthly financial forecas'!D5&lt;=6,IF('POA — Monthly financial forecas'!D5="","",'POA — Monthly financial forecas'!D5&lt;=6))),'Model inputs'!AM99+('Model inputs'!AM105-'Model inputs'!AM99)*('POA — Monthly financial forecas'!D5-0)/6,IF(IF(IF(ISERROR('POA — Monthly financial forecas'!D5&lt;=12),'POA — Monthly financial forecas'!D5&lt;=12,IF('POA — Monthly financial forecas'!D5="","",'POA — Monthly financial forecas'!D5&lt;=12))="",FALSE,IF(ISERROR('POA — Monthly financial forecas'!D5&lt;=12),'POA — Monthly financial forecas'!D5&lt;=12,IF('POA — Monthly financial forecas'!D5="","",'POA — Monthly financial forecas'!D5&lt;=12))),'Model inputs'!AM105+('Model inputs'!AM100-'Model inputs'!AM105)*('POA — Monthly financial forecas'!D5-6)/6,IF(IF(IF(ISERROR('POA — Monthly financial forecas'!D5&lt;=18),'POA — Monthly financial forecas'!D5&lt;=18,IF('POA — Monthly financial forecas'!D5="","",'POA — Monthly financial forecas'!D5&lt;=18))="",FALSE,IF(ISERROR('POA — Monthly financial forecas'!D5&lt;=18),'POA — Monthly financial forecas'!D5&lt;=18,IF('POA — Monthly financial forecas'!D5="","",'POA — Monthly financial forecas'!D5&lt;=18))),'Model inputs'!AM100+('Model inputs'!AM101-'Model inputs'!AM100)*('POA — Monthly financial forecas'!D5-12)/6,IF(IF(IF(ISERROR('POA — Monthly financial forecas'!D5&lt;=24),'POA — Monthly financial forecas'!D5&lt;=24,IF('POA — Monthly financial forecas'!D5="","",'POA — Monthly financial forecas'!D5&lt;=24))="",FALSE,IF(ISERROR('POA — Monthly financial forecas'!D5&lt;=24),'POA — Monthly financial forecas'!D5&lt;=24,IF('POA — Monthly financial forecas'!D5="","",'POA — Monthly financial forecas'!D5&lt;=24))),'Model inputs'!AM101+('Model inputs'!AM102-'Model inputs'!AM101)*('POA — Monthly financial forecas'!D5-18)/6,IF(IF(IF(ISERROR('POA — Monthly financial forecas'!D5&lt;=30),'POA — Monthly financial forecas'!D5&lt;=30,IF('POA — Monthly financial forecas'!D5="","",'POA — Monthly financial forecas'!D5&lt;=30))="",FALSE,IF(ISERROR('POA — Monthly financial forecas'!D5&lt;=30),'POA — Monthly financial forecas'!D5&lt;=30,IF('POA — Monthly financial forecas'!D5="","",'POA — Monthly financial forecas'!D5&lt;=30))),'Model inputs'!AM102+('Model inputs'!AM103-'Model inputs'!AM102)*('POA — Monthly financial forecas'!D5-24)/6,IF(IF(IF(ISERROR('POA — Monthly financial forecas'!D5&lt;=36),'POA — Monthly financial forecas'!D5&lt;=36,IF('POA — Monthly financial forecas'!D5="","",'POA — Monthly financial forecas'!D5&lt;=36))="",FALSE,IF(ISERROR('POA — Monthly financial forecas'!D5&lt;=36),'POA — Monthly financial forecas'!D5&lt;=36,IF('POA — Monthly financial forecas'!D5="","",'POA — Monthly financial forecas'!D5&lt;=36))),'Model inputs'!AM103+('Model inputs'!AM104-'Model inputs'!AM103)*('POA — Monthly financial forecas'!D5-30)/6,IF('Model inputs'!AM104="","",'Model inputs'!AM104))))))))</f>
      </c>
    </row>
    <row r="656">
      <c r="A656" t="inlineStr" s="25">
        <is>
          <t xml:space="preserve">Calculation</t>
        </is>
      </c>
      <c r="B656">
        <f>IF('Model inputs'!B655="",0,'Model inputs'!B655)*'Model inputs'!AM93</f>
      </c>
    </row>
    <row r="657">
      <c r="A657" t="inlineStr" s="25">
        <is>
          <t xml:space="preserve">Calculation</t>
        </is>
      </c>
      <c r="B657">
        <f>(IF(IF(IF(ISERROR('POA — Monthly financial forecas'!E5&lt;=6),'POA — Monthly financial forecas'!E5&lt;=6,IF('POA — Monthly financial forecas'!E5="","",'POA — Monthly financial forecas'!E5&lt;=6))="",FALSE,IF(ISERROR('POA — Monthly financial forecas'!E5&lt;=6),'POA — Monthly financial forecas'!E5&lt;=6,IF('POA — Monthly financial forecas'!E5="","",'POA — Monthly financial forecas'!E5&lt;=6))),'Model inputs'!AM99+('Model inputs'!AM105-'Model inputs'!AM99)*('POA — Monthly financial forecas'!E5-0)/6,IF(IF(IF(ISERROR('POA — Monthly financial forecas'!E5&lt;=12),'POA — Monthly financial forecas'!E5&lt;=12,IF('POA — Monthly financial forecas'!E5="","",'POA — Monthly financial forecas'!E5&lt;=12))="",FALSE,IF(ISERROR('POA — Monthly financial forecas'!E5&lt;=12),'POA — Monthly financial forecas'!E5&lt;=12,IF('POA — Monthly financial forecas'!E5="","",'POA — Monthly financial forecas'!E5&lt;=12))),'Model inputs'!AM105+('Model inputs'!AM100-'Model inputs'!AM105)*('POA — Monthly financial forecas'!E5-6)/6,IF(IF(IF(ISERROR('POA — Monthly financial forecas'!E5&lt;=18),'POA — Monthly financial forecas'!E5&lt;=18,IF('POA — Monthly financial forecas'!E5="","",'POA — Monthly financial forecas'!E5&lt;=18))="",FALSE,IF(ISERROR('POA — Monthly financial forecas'!E5&lt;=18),'POA — Monthly financial forecas'!E5&lt;=18,IF('POA — Monthly financial forecas'!E5="","",'POA — Monthly financial forecas'!E5&lt;=18))),'Model inputs'!AM100+('Model inputs'!AM101-'Model inputs'!AM100)*('POA — Monthly financial forecas'!E5-12)/6,IF(IF(IF(ISERROR('POA — Monthly financial forecas'!E5&lt;=24),'POA — Monthly financial forecas'!E5&lt;=24,IF('POA — Monthly financial forecas'!E5="","",'POA — Monthly financial forecas'!E5&lt;=24))="",FALSE,IF(ISERROR('POA — Monthly financial forecas'!E5&lt;=24),'POA — Monthly financial forecas'!E5&lt;=24,IF('POA — Monthly financial forecas'!E5="","",'POA — Monthly financial forecas'!E5&lt;=24))),'Model inputs'!AM101+('Model inputs'!AM102-'Model inputs'!AM101)*('POA — Monthly financial forecas'!E5-18)/6,IF(IF(IF(ISERROR('POA — Monthly financial forecas'!E5&lt;=30),'POA — Monthly financial forecas'!E5&lt;=30,IF('POA — Monthly financial forecas'!E5="","",'POA — Monthly financial forecas'!E5&lt;=30))="",FALSE,IF(ISERROR('POA — Monthly financial forecas'!E5&lt;=30),'POA — Monthly financial forecas'!E5&lt;=30,IF('POA — Monthly financial forecas'!E5="","",'POA — Monthly financial forecas'!E5&lt;=30))),'Model inputs'!AM102+('Model inputs'!AM103-'Model inputs'!AM102)*('POA — Monthly financial forecas'!E5-24)/6,IF(IF(IF(ISERROR('POA — Monthly financial forecas'!E5&lt;=36),'POA — Monthly financial forecas'!E5&lt;=36,IF('POA — Monthly financial forecas'!E5="","",'POA — Monthly financial forecas'!E5&lt;=36))="",FALSE,IF(ISERROR('POA — Monthly financial forecas'!E5&lt;=36),'POA — Monthly financial forecas'!E5&lt;=36,IF('POA — Monthly financial forecas'!E5="","",'POA — Monthly financial forecas'!E5&lt;=36))),'Model inputs'!AM103+('Model inputs'!AM104-'Model inputs'!AM103)*('POA — Monthly financial forecas'!E5-30)/6,IF('Model inputs'!AM104="","",'Model inputs'!AM104))))))))</f>
      </c>
    </row>
    <row r="658">
      <c r="A658" t="inlineStr" s="25">
        <is>
          <t xml:space="preserve">Calculation</t>
        </is>
      </c>
      <c r="B658">
        <f>IF('Model inputs'!B657="",0,'Model inputs'!B657)*'Model inputs'!AM93</f>
      </c>
    </row>
    <row r="659">
      <c r="A659" t="inlineStr" s="25">
        <is>
          <t xml:space="preserve">Calculation</t>
        </is>
      </c>
      <c r="B659">
        <f>(IF(IF(IF(ISERROR('POA — Monthly financial forecas'!F5&lt;=6),'POA — Monthly financial forecas'!F5&lt;=6,IF('POA — Monthly financial forecas'!F5="","",'POA — Monthly financial forecas'!F5&lt;=6))="",FALSE,IF(ISERROR('POA — Monthly financial forecas'!F5&lt;=6),'POA — Monthly financial forecas'!F5&lt;=6,IF('POA — Monthly financial forecas'!F5="","",'POA — Monthly financial forecas'!F5&lt;=6))),'Model inputs'!AM99+('Model inputs'!AM105-'Model inputs'!AM99)*('POA — Monthly financial forecas'!F5-0)/6,IF(IF(IF(ISERROR('POA — Monthly financial forecas'!F5&lt;=12),'POA — Monthly financial forecas'!F5&lt;=12,IF('POA — Monthly financial forecas'!F5="","",'POA — Monthly financial forecas'!F5&lt;=12))="",FALSE,IF(ISERROR('POA — Monthly financial forecas'!F5&lt;=12),'POA — Monthly financial forecas'!F5&lt;=12,IF('POA — Monthly financial forecas'!F5="","",'POA — Monthly financial forecas'!F5&lt;=12))),'Model inputs'!AM105+('Model inputs'!AM100-'Model inputs'!AM105)*('POA — Monthly financial forecas'!F5-6)/6,IF(IF(IF(ISERROR('POA — Monthly financial forecas'!F5&lt;=18),'POA — Monthly financial forecas'!F5&lt;=18,IF('POA — Monthly financial forecas'!F5="","",'POA — Monthly financial forecas'!F5&lt;=18))="",FALSE,IF(ISERROR('POA — Monthly financial forecas'!F5&lt;=18),'POA — Monthly financial forecas'!F5&lt;=18,IF('POA — Monthly financial forecas'!F5="","",'POA — Monthly financial forecas'!F5&lt;=18))),'Model inputs'!AM100+('Model inputs'!AM101-'Model inputs'!AM100)*('POA — Monthly financial forecas'!F5-12)/6,IF(IF(IF(ISERROR('POA — Monthly financial forecas'!F5&lt;=24),'POA — Monthly financial forecas'!F5&lt;=24,IF('POA — Monthly financial forecas'!F5="","",'POA — Monthly financial forecas'!F5&lt;=24))="",FALSE,IF(ISERROR('POA — Monthly financial forecas'!F5&lt;=24),'POA — Monthly financial forecas'!F5&lt;=24,IF('POA — Monthly financial forecas'!F5="","",'POA — Monthly financial forecas'!F5&lt;=24))),'Model inputs'!AM101+('Model inputs'!AM102-'Model inputs'!AM101)*('POA — Monthly financial forecas'!F5-18)/6,IF(IF(IF(ISERROR('POA — Monthly financial forecas'!F5&lt;=30),'POA — Monthly financial forecas'!F5&lt;=30,IF('POA — Monthly financial forecas'!F5="","",'POA — Monthly financial forecas'!F5&lt;=30))="",FALSE,IF(ISERROR('POA — Monthly financial forecas'!F5&lt;=30),'POA — Monthly financial forecas'!F5&lt;=30,IF('POA — Monthly financial forecas'!F5="","",'POA — Monthly financial forecas'!F5&lt;=30))),'Model inputs'!AM102+('Model inputs'!AM103-'Model inputs'!AM102)*('POA — Monthly financial forecas'!F5-24)/6,IF(IF(IF(ISERROR('POA — Monthly financial forecas'!F5&lt;=36),'POA — Monthly financial forecas'!F5&lt;=36,IF('POA — Monthly financial forecas'!F5="","",'POA — Monthly financial forecas'!F5&lt;=36))="",FALSE,IF(ISERROR('POA — Monthly financial forecas'!F5&lt;=36),'POA — Monthly financial forecas'!F5&lt;=36,IF('POA — Monthly financial forecas'!F5="","",'POA — Monthly financial forecas'!F5&lt;=36))),'Model inputs'!AM103+('Model inputs'!AM104-'Model inputs'!AM103)*('POA — Monthly financial forecas'!F5-30)/6,IF('Model inputs'!AM104="","",'Model inputs'!AM104))))))))</f>
      </c>
    </row>
    <row r="660">
      <c r="A660" t="inlineStr" s="25">
        <is>
          <t xml:space="preserve">Calculation</t>
        </is>
      </c>
      <c r="B660">
        <f>IF('Model inputs'!B659="",0,'Model inputs'!B659)*'Model inputs'!AM93</f>
      </c>
    </row>
    <row r="661">
      <c r="A661" t="inlineStr" s="25">
        <is>
          <t xml:space="preserve">Calculation</t>
        </is>
      </c>
      <c r="B661">
        <f>(IF(IF(IF(ISERROR('POA — Monthly financial forecas'!G5&lt;=6),'POA — Monthly financial forecas'!G5&lt;=6,IF('POA — Monthly financial forecas'!G5="","",'POA — Monthly financial forecas'!G5&lt;=6))="",FALSE,IF(ISERROR('POA — Monthly financial forecas'!G5&lt;=6),'POA — Monthly financial forecas'!G5&lt;=6,IF('POA — Monthly financial forecas'!G5="","",'POA — Monthly financial forecas'!G5&lt;=6))),'Model inputs'!AM99+('Model inputs'!AM105-'Model inputs'!AM99)*('POA — Monthly financial forecas'!G5-0)/6,IF(IF(IF(ISERROR('POA — Monthly financial forecas'!G5&lt;=12),'POA — Monthly financial forecas'!G5&lt;=12,IF('POA — Monthly financial forecas'!G5="","",'POA — Monthly financial forecas'!G5&lt;=12))="",FALSE,IF(ISERROR('POA — Monthly financial forecas'!G5&lt;=12),'POA — Monthly financial forecas'!G5&lt;=12,IF('POA — Monthly financial forecas'!G5="","",'POA — Monthly financial forecas'!G5&lt;=12))),'Model inputs'!AM105+('Model inputs'!AM100-'Model inputs'!AM105)*('POA — Monthly financial forecas'!G5-6)/6,IF(IF(IF(ISERROR('POA — Monthly financial forecas'!G5&lt;=18),'POA — Monthly financial forecas'!G5&lt;=18,IF('POA — Monthly financial forecas'!G5="","",'POA — Monthly financial forecas'!G5&lt;=18))="",FALSE,IF(ISERROR('POA — Monthly financial forecas'!G5&lt;=18),'POA — Monthly financial forecas'!G5&lt;=18,IF('POA — Monthly financial forecas'!G5="","",'POA — Monthly financial forecas'!G5&lt;=18))),'Model inputs'!AM100+('Model inputs'!AM101-'Model inputs'!AM100)*('POA — Monthly financial forecas'!G5-12)/6,IF(IF(IF(ISERROR('POA — Monthly financial forecas'!G5&lt;=24),'POA — Monthly financial forecas'!G5&lt;=24,IF('POA — Monthly financial forecas'!G5="","",'POA — Monthly financial forecas'!G5&lt;=24))="",FALSE,IF(ISERROR('POA — Monthly financial forecas'!G5&lt;=24),'POA — Monthly financial forecas'!G5&lt;=24,IF('POA — Monthly financial forecas'!G5="","",'POA — Monthly financial forecas'!G5&lt;=24))),'Model inputs'!AM101+('Model inputs'!AM102-'Model inputs'!AM101)*('POA — Monthly financial forecas'!G5-18)/6,IF(IF(IF(ISERROR('POA — Monthly financial forecas'!G5&lt;=30),'POA — Monthly financial forecas'!G5&lt;=30,IF('POA — Monthly financial forecas'!G5="","",'POA — Monthly financial forecas'!G5&lt;=30))="",FALSE,IF(ISERROR('POA — Monthly financial forecas'!G5&lt;=30),'POA — Monthly financial forecas'!G5&lt;=30,IF('POA — Monthly financial forecas'!G5="","",'POA — Monthly financial forecas'!G5&lt;=30))),'Model inputs'!AM102+('Model inputs'!AM103-'Model inputs'!AM102)*('POA — Monthly financial forecas'!G5-24)/6,IF(IF(IF(ISERROR('POA — Monthly financial forecas'!G5&lt;=36),'POA — Monthly financial forecas'!G5&lt;=36,IF('POA — Monthly financial forecas'!G5="","",'POA — Monthly financial forecas'!G5&lt;=36))="",FALSE,IF(ISERROR('POA — Monthly financial forecas'!G5&lt;=36),'POA — Monthly financial forecas'!G5&lt;=36,IF('POA — Monthly financial forecas'!G5="","",'POA — Monthly financial forecas'!G5&lt;=36))),'Model inputs'!AM103+('Model inputs'!AM104-'Model inputs'!AM103)*('POA — Monthly financial forecas'!G5-30)/6,IF('Model inputs'!AM104="","",'Model inputs'!AM104))))))))</f>
      </c>
    </row>
    <row r="662">
      <c r="A662" t="inlineStr" s="25">
        <is>
          <t xml:space="preserve">Calculation</t>
        </is>
      </c>
      <c r="B662">
        <f>IF('Model inputs'!B661="",0,'Model inputs'!B661)*'Model inputs'!AM93</f>
      </c>
    </row>
    <row r="663">
      <c r="A663" t="inlineStr" s="25">
        <is>
          <t xml:space="preserve">Calculation</t>
        </is>
      </c>
      <c r="B663">
        <f>(IF(IF(IF(ISERROR('POA — Monthly financial forecas'!H5&lt;=6),'POA — Monthly financial forecas'!H5&lt;=6,IF('POA — Monthly financial forecas'!H5="","",'POA — Monthly financial forecas'!H5&lt;=6))="",FALSE,IF(ISERROR('POA — Monthly financial forecas'!H5&lt;=6),'POA — Monthly financial forecas'!H5&lt;=6,IF('POA — Monthly financial forecas'!H5="","",'POA — Monthly financial forecas'!H5&lt;=6))),'Model inputs'!AM99+('Model inputs'!AM105-'Model inputs'!AM99)*('POA — Monthly financial forecas'!H5-0)/6,IF(IF(IF(ISERROR('POA — Monthly financial forecas'!H5&lt;=12),'POA — Monthly financial forecas'!H5&lt;=12,IF('POA — Monthly financial forecas'!H5="","",'POA — Monthly financial forecas'!H5&lt;=12))="",FALSE,IF(ISERROR('POA — Monthly financial forecas'!H5&lt;=12),'POA — Monthly financial forecas'!H5&lt;=12,IF('POA — Monthly financial forecas'!H5="","",'POA — Monthly financial forecas'!H5&lt;=12))),'Model inputs'!AM105+('Model inputs'!AM100-'Model inputs'!AM105)*('POA — Monthly financial forecas'!H5-6)/6,IF(IF(IF(ISERROR('POA — Monthly financial forecas'!H5&lt;=18),'POA — Monthly financial forecas'!H5&lt;=18,IF('POA — Monthly financial forecas'!H5="","",'POA — Monthly financial forecas'!H5&lt;=18))="",FALSE,IF(ISERROR('POA — Monthly financial forecas'!H5&lt;=18),'POA — Monthly financial forecas'!H5&lt;=18,IF('POA — Monthly financial forecas'!H5="","",'POA — Monthly financial forecas'!H5&lt;=18))),'Model inputs'!AM100+('Model inputs'!AM101-'Model inputs'!AM100)*('POA — Monthly financial forecas'!H5-12)/6,IF(IF(IF(ISERROR('POA — Monthly financial forecas'!H5&lt;=24),'POA — Monthly financial forecas'!H5&lt;=24,IF('POA — Monthly financial forecas'!H5="","",'POA — Monthly financial forecas'!H5&lt;=24))="",FALSE,IF(ISERROR('POA — Monthly financial forecas'!H5&lt;=24),'POA — Monthly financial forecas'!H5&lt;=24,IF('POA — Monthly financial forecas'!H5="","",'POA — Monthly financial forecas'!H5&lt;=24))),'Model inputs'!AM101+('Model inputs'!AM102-'Model inputs'!AM101)*('POA — Monthly financial forecas'!H5-18)/6,IF(IF(IF(ISERROR('POA — Monthly financial forecas'!H5&lt;=30),'POA — Monthly financial forecas'!H5&lt;=30,IF('POA — Monthly financial forecas'!H5="","",'POA — Monthly financial forecas'!H5&lt;=30))="",FALSE,IF(ISERROR('POA — Monthly financial forecas'!H5&lt;=30),'POA — Monthly financial forecas'!H5&lt;=30,IF('POA — Monthly financial forecas'!H5="","",'POA — Monthly financial forecas'!H5&lt;=30))),'Model inputs'!AM102+('Model inputs'!AM103-'Model inputs'!AM102)*('POA — Monthly financial forecas'!H5-24)/6,IF(IF(IF(ISERROR('POA — Monthly financial forecas'!H5&lt;=36),'POA — Monthly financial forecas'!H5&lt;=36,IF('POA — Monthly financial forecas'!H5="","",'POA — Monthly financial forecas'!H5&lt;=36))="",FALSE,IF(ISERROR('POA — Monthly financial forecas'!H5&lt;=36),'POA — Monthly financial forecas'!H5&lt;=36,IF('POA — Monthly financial forecas'!H5="","",'POA — Monthly financial forecas'!H5&lt;=36))),'Model inputs'!AM103+('Model inputs'!AM104-'Model inputs'!AM103)*('POA — Monthly financial forecas'!H5-30)/6,IF('Model inputs'!AM104="","",'Model inputs'!AM104))))))))</f>
      </c>
    </row>
    <row r="664">
      <c r="A664" t="inlineStr" s="25">
        <is>
          <t xml:space="preserve">Calculation</t>
        </is>
      </c>
      <c r="B664">
        <f>IF('Model inputs'!B663="",0,'Model inputs'!B663)*'Model inputs'!AM93</f>
      </c>
    </row>
    <row r="665">
      <c r="A665" t="inlineStr" s="25">
        <is>
          <t xml:space="preserve">Calculation</t>
        </is>
      </c>
      <c r="B665">
        <f>(IF(IF(IF(ISERROR('POA — Monthly financial forecas'!I5&lt;=6),'POA — Monthly financial forecas'!I5&lt;=6,IF('POA — Monthly financial forecas'!I5="","",'POA — Monthly financial forecas'!I5&lt;=6))="",FALSE,IF(ISERROR('POA — Monthly financial forecas'!I5&lt;=6),'POA — Monthly financial forecas'!I5&lt;=6,IF('POA — Monthly financial forecas'!I5="","",'POA — Monthly financial forecas'!I5&lt;=6))),'Model inputs'!AM99+('Model inputs'!AM105-'Model inputs'!AM99)*('POA — Monthly financial forecas'!I5-0)/6,IF(IF(IF(ISERROR('POA — Monthly financial forecas'!I5&lt;=12),'POA — Monthly financial forecas'!I5&lt;=12,IF('POA — Monthly financial forecas'!I5="","",'POA — Monthly financial forecas'!I5&lt;=12))="",FALSE,IF(ISERROR('POA — Monthly financial forecas'!I5&lt;=12),'POA — Monthly financial forecas'!I5&lt;=12,IF('POA — Monthly financial forecas'!I5="","",'POA — Monthly financial forecas'!I5&lt;=12))),'Model inputs'!AM105+('Model inputs'!AM100-'Model inputs'!AM105)*('POA — Monthly financial forecas'!I5-6)/6,IF(IF(IF(ISERROR('POA — Monthly financial forecas'!I5&lt;=18),'POA — Monthly financial forecas'!I5&lt;=18,IF('POA — Monthly financial forecas'!I5="","",'POA — Monthly financial forecas'!I5&lt;=18))="",FALSE,IF(ISERROR('POA — Monthly financial forecas'!I5&lt;=18),'POA — Monthly financial forecas'!I5&lt;=18,IF('POA — Monthly financial forecas'!I5="","",'POA — Monthly financial forecas'!I5&lt;=18))),'Model inputs'!AM100+('Model inputs'!AM101-'Model inputs'!AM100)*('POA — Monthly financial forecas'!I5-12)/6,IF(IF(IF(ISERROR('POA — Monthly financial forecas'!I5&lt;=24),'POA — Monthly financial forecas'!I5&lt;=24,IF('POA — Monthly financial forecas'!I5="","",'POA — Monthly financial forecas'!I5&lt;=24))="",FALSE,IF(ISERROR('POA — Monthly financial forecas'!I5&lt;=24),'POA — Monthly financial forecas'!I5&lt;=24,IF('POA — Monthly financial forecas'!I5="","",'POA — Monthly financial forecas'!I5&lt;=24))),'Model inputs'!AM101+('Model inputs'!AM102-'Model inputs'!AM101)*('POA — Monthly financial forecas'!I5-18)/6,IF(IF(IF(ISERROR('POA — Monthly financial forecas'!I5&lt;=30),'POA — Monthly financial forecas'!I5&lt;=30,IF('POA — Monthly financial forecas'!I5="","",'POA — Monthly financial forecas'!I5&lt;=30))="",FALSE,IF(ISERROR('POA — Monthly financial forecas'!I5&lt;=30),'POA — Monthly financial forecas'!I5&lt;=30,IF('POA — Monthly financial forecas'!I5="","",'POA — Monthly financial forecas'!I5&lt;=30))),'Model inputs'!AM102+('Model inputs'!AM103-'Model inputs'!AM102)*('POA — Monthly financial forecas'!I5-24)/6,IF(IF(IF(ISERROR('POA — Monthly financial forecas'!I5&lt;=36),'POA — Monthly financial forecas'!I5&lt;=36,IF('POA — Monthly financial forecas'!I5="","",'POA — Monthly financial forecas'!I5&lt;=36))="",FALSE,IF(ISERROR('POA — Monthly financial forecas'!I5&lt;=36),'POA — Monthly financial forecas'!I5&lt;=36,IF('POA — Monthly financial forecas'!I5="","",'POA — Monthly financial forecas'!I5&lt;=36))),'Model inputs'!AM103+('Model inputs'!AM104-'Model inputs'!AM103)*('POA — Monthly financial forecas'!I5-30)/6,IF('Model inputs'!AM104="","",'Model inputs'!AM104))))))))</f>
      </c>
    </row>
    <row r="666">
      <c r="A666" t="inlineStr" s="25">
        <is>
          <t xml:space="preserve">Calculation</t>
        </is>
      </c>
      <c r="B666">
        <f>IF('Model inputs'!B665="",0,'Model inputs'!B665)*'Model inputs'!AM93</f>
      </c>
    </row>
    <row r="667">
      <c r="A667" t="inlineStr" s="25">
        <is>
          <t xml:space="preserve">Calculation</t>
        </is>
      </c>
      <c r="B667">
        <f>(IF(IF(IF(ISERROR('POA — Monthly financial forecas'!J5&lt;=6),'POA — Monthly financial forecas'!J5&lt;=6,IF('POA — Monthly financial forecas'!J5="","",'POA — Monthly financial forecas'!J5&lt;=6))="",FALSE,IF(ISERROR('POA — Monthly financial forecas'!J5&lt;=6),'POA — Monthly financial forecas'!J5&lt;=6,IF('POA — Monthly financial forecas'!J5="","",'POA — Monthly financial forecas'!J5&lt;=6))),'Model inputs'!AM99+('Model inputs'!AM105-'Model inputs'!AM99)*('POA — Monthly financial forecas'!J5-0)/6,IF(IF(IF(ISERROR('POA — Monthly financial forecas'!J5&lt;=12),'POA — Monthly financial forecas'!J5&lt;=12,IF('POA — Monthly financial forecas'!J5="","",'POA — Monthly financial forecas'!J5&lt;=12))="",FALSE,IF(ISERROR('POA — Monthly financial forecas'!J5&lt;=12),'POA — Monthly financial forecas'!J5&lt;=12,IF('POA — Monthly financial forecas'!J5="","",'POA — Monthly financial forecas'!J5&lt;=12))),'Model inputs'!AM105+('Model inputs'!AM100-'Model inputs'!AM105)*('POA — Monthly financial forecas'!J5-6)/6,IF(IF(IF(ISERROR('POA — Monthly financial forecas'!J5&lt;=18),'POA — Monthly financial forecas'!J5&lt;=18,IF('POA — Monthly financial forecas'!J5="","",'POA — Monthly financial forecas'!J5&lt;=18))="",FALSE,IF(ISERROR('POA — Monthly financial forecas'!J5&lt;=18),'POA — Monthly financial forecas'!J5&lt;=18,IF('POA — Monthly financial forecas'!J5="","",'POA — Monthly financial forecas'!J5&lt;=18))),'Model inputs'!AM100+('Model inputs'!AM101-'Model inputs'!AM100)*('POA — Monthly financial forecas'!J5-12)/6,IF(IF(IF(ISERROR('POA — Monthly financial forecas'!J5&lt;=24),'POA — Monthly financial forecas'!J5&lt;=24,IF('POA — Monthly financial forecas'!J5="","",'POA — Monthly financial forecas'!J5&lt;=24))="",FALSE,IF(ISERROR('POA — Monthly financial forecas'!J5&lt;=24),'POA — Monthly financial forecas'!J5&lt;=24,IF('POA — Monthly financial forecas'!J5="","",'POA — Monthly financial forecas'!J5&lt;=24))),'Model inputs'!AM101+('Model inputs'!AM102-'Model inputs'!AM101)*('POA — Monthly financial forecas'!J5-18)/6,IF(IF(IF(ISERROR('POA — Monthly financial forecas'!J5&lt;=30),'POA — Monthly financial forecas'!J5&lt;=30,IF('POA — Monthly financial forecas'!J5="","",'POA — Monthly financial forecas'!J5&lt;=30))="",FALSE,IF(ISERROR('POA — Monthly financial forecas'!J5&lt;=30),'POA — Monthly financial forecas'!J5&lt;=30,IF('POA — Monthly financial forecas'!J5="","",'POA — Monthly financial forecas'!J5&lt;=30))),'Model inputs'!AM102+('Model inputs'!AM103-'Model inputs'!AM102)*('POA — Monthly financial forecas'!J5-24)/6,IF(IF(IF(ISERROR('POA — Monthly financial forecas'!J5&lt;=36),'POA — Monthly financial forecas'!J5&lt;=36,IF('POA — Monthly financial forecas'!J5="","",'POA — Monthly financial forecas'!J5&lt;=36))="",FALSE,IF(ISERROR('POA — Monthly financial forecas'!J5&lt;=36),'POA — Monthly financial forecas'!J5&lt;=36,IF('POA — Monthly financial forecas'!J5="","",'POA — Monthly financial forecas'!J5&lt;=36))),'Model inputs'!AM103+('Model inputs'!AM104-'Model inputs'!AM103)*('POA — Monthly financial forecas'!J5-30)/6,IF('Model inputs'!AM104="","",'Model inputs'!AM104))))))))</f>
      </c>
    </row>
    <row r="668">
      <c r="A668" t="inlineStr" s="25">
        <is>
          <t xml:space="preserve">Calculation</t>
        </is>
      </c>
      <c r="B668">
        <f>IF('Model inputs'!B667="",0,'Model inputs'!B667)*'Model inputs'!AM93</f>
      </c>
    </row>
    <row r="669">
      <c r="A669" t="inlineStr" s="25">
        <is>
          <t xml:space="preserve">Calculation</t>
        </is>
      </c>
      <c r="B669">
        <f>(IF(IF(IF(ISERROR('POA — Monthly financial forecas'!K5&lt;=6),'POA — Monthly financial forecas'!K5&lt;=6,IF('POA — Monthly financial forecas'!K5="","",'POA — Monthly financial forecas'!K5&lt;=6))="",FALSE,IF(ISERROR('POA — Monthly financial forecas'!K5&lt;=6),'POA — Monthly financial forecas'!K5&lt;=6,IF('POA — Monthly financial forecas'!K5="","",'POA — Monthly financial forecas'!K5&lt;=6))),'Model inputs'!AM99+('Model inputs'!AM105-'Model inputs'!AM99)*('POA — Monthly financial forecas'!K5-0)/6,IF(IF(IF(ISERROR('POA — Monthly financial forecas'!K5&lt;=12),'POA — Monthly financial forecas'!K5&lt;=12,IF('POA — Monthly financial forecas'!K5="","",'POA — Monthly financial forecas'!K5&lt;=12))="",FALSE,IF(ISERROR('POA — Monthly financial forecas'!K5&lt;=12),'POA — Monthly financial forecas'!K5&lt;=12,IF('POA — Monthly financial forecas'!K5="","",'POA — Monthly financial forecas'!K5&lt;=12))),'Model inputs'!AM105+('Model inputs'!AM100-'Model inputs'!AM105)*('POA — Monthly financial forecas'!K5-6)/6,IF(IF(IF(ISERROR('POA — Monthly financial forecas'!K5&lt;=18),'POA — Monthly financial forecas'!K5&lt;=18,IF('POA — Monthly financial forecas'!K5="","",'POA — Monthly financial forecas'!K5&lt;=18))="",FALSE,IF(ISERROR('POA — Monthly financial forecas'!K5&lt;=18),'POA — Monthly financial forecas'!K5&lt;=18,IF('POA — Monthly financial forecas'!K5="","",'POA — Monthly financial forecas'!K5&lt;=18))),'Model inputs'!AM100+('Model inputs'!AM101-'Model inputs'!AM100)*('POA — Monthly financial forecas'!K5-12)/6,IF(IF(IF(ISERROR('POA — Monthly financial forecas'!K5&lt;=24),'POA — Monthly financial forecas'!K5&lt;=24,IF('POA — Monthly financial forecas'!K5="","",'POA — Monthly financial forecas'!K5&lt;=24))="",FALSE,IF(ISERROR('POA — Monthly financial forecas'!K5&lt;=24),'POA — Monthly financial forecas'!K5&lt;=24,IF('POA — Monthly financial forecas'!K5="","",'POA — Monthly financial forecas'!K5&lt;=24))),'Model inputs'!AM101+('Model inputs'!AM102-'Model inputs'!AM101)*('POA — Monthly financial forecas'!K5-18)/6,IF(IF(IF(ISERROR('POA — Monthly financial forecas'!K5&lt;=30),'POA — Monthly financial forecas'!K5&lt;=30,IF('POA — Monthly financial forecas'!K5="","",'POA — Monthly financial forecas'!K5&lt;=30))="",FALSE,IF(ISERROR('POA — Monthly financial forecas'!K5&lt;=30),'POA — Monthly financial forecas'!K5&lt;=30,IF('POA — Monthly financial forecas'!K5="","",'POA — Monthly financial forecas'!K5&lt;=30))),'Model inputs'!AM102+('Model inputs'!AM103-'Model inputs'!AM102)*('POA — Monthly financial forecas'!K5-24)/6,IF(IF(IF(ISERROR('POA — Monthly financial forecas'!K5&lt;=36),'POA — Monthly financial forecas'!K5&lt;=36,IF('POA — Monthly financial forecas'!K5="","",'POA — Monthly financial forecas'!K5&lt;=36))="",FALSE,IF(ISERROR('POA — Monthly financial forecas'!K5&lt;=36),'POA — Monthly financial forecas'!K5&lt;=36,IF('POA — Monthly financial forecas'!K5="","",'POA — Monthly financial forecas'!K5&lt;=36))),'Model inputs'!AM103+('Model inputs'!AM104-'Model inputs'!AM103)*('POA — Monthly financial forecas'!K5-30)/6,IF('Model inputs'!AM104="","",'Model inputs'!AM104))))))))</f>
      </c>
    </row>
    <row r="670">
      <c r="A670" t="inlineStr" s="25">
        <is>
          <t xml:space="preserve">Calculation</t>
        </is>
      </c>
      <c r="B670">
        <f>IF('Model inputs'!B669="",0,'Model inputs'!B669)*'Model inputs'!AM93</f>
      </c>
    </row>
    <row r="671">
      <c r="A671" t="inlineStr" s="25">
        <is>
          <t xml:space="preserve">Calculation</t>
        </is>
      </c>
      <c r="B671">
        <f>(IF(IF(IF(ISERROR('POA — Monthly financial forecas'!L5&lt;=6),'POA — Monthly financial forecas'!L5&lt;=6,IF('POA — Monthly financial forecas'!L5="","",'POA — Monthly financial forecas'!L5&lt;=6))="",FALSE,IF(ISERROR('POA — Monthly financial forecas'!L5&lt;=6),'POA — Monthly financial forecas'!L5&lt;=6,IF('POA — Monthly financial forecas'!L5="","",'POA — Monthly financial forecas'!L5&lt;=6))),'Model inputs'!AM99+('Model inputs'!AM105-'Model inputs'!AM99)*('POA — Monthly financial forecas'!L5-0)/6,IF(IF(IF(ISERROR('POA — Monthly financial forecas'!L5&lt;=12),'POA — Monthly financial forecas'!L5&lt;=12,IF('POA — Monthly financial forecas'!L5="","",'POA — Monthly financial forecas'!L5&lt;=12))="",FALSE,IF(ISERROR('POA — Monthly financial forecas'!L5&lt;=12),'POA — Monthly financial forecas'!L5&lt;=12,IF('POA — Monthly financial forecas'!L5="","",'POA — Monthly financial forecas'!L5&lt;=12))),'Model inputs'!AM105+('Model inputs'!AM100-'Model inputs'!AM105)*('POA — Monthly financial forecas'!L5-6)/6,IF(IF(IF(ISERROR('POA — Monthly financial forecas'!L5&lt;=18),'POA — Monthly financial forecas'!L5&lt;=18,IF('POA — Monthly financial forecas'!L5="","",'POA — Monthly financial forecas'!L5&lt;=18))="",FALSE,IF(ISERROR('POA — Monthly financial forecas'!L5&lt;=18),'POA — Monthly financial forecas'!L5&lt;=18,IF('POA — Monthly financial forecas'!L5="","",'POA — Monthly financial forecas'!L5&lt;=18))),'Model inputs'!AM100+('Model inputs'!AM101-'Model inputs'!AM100)*('POA — Monthly financial forecas'!L5-12)/6,IF(IF(IF(ISERROR('POA — Monthly financial forecas'!L5&lt;=24),'POA — Monthly financial forecas'!L5&lt;=24,IF('POA — Monthly financial forecas'!L5="","",'POA — Monthly financial forecas'!L5&lt;=24))="",FALSE,IF(ISERROR('POA — Monthly financial forecas'!L5&lt;=24),'POA — Monthly financial forecas'!L5&lt;=24,IF('POA — Monthly financial forecas'!L5="","",'POA — Monthly financial forecas'!L5&lt;=24))),'Model inputs'!AM101+('Model inputs'!AM102-'Model inputs'!AM101)*('POA — Monthly financial forecas'!L5-18)/6,IF(IF(IF(ISERROR('POA — Monthly financial forecas'!L5&lt;=30),'POA — Monthly financial forecas'!L5&lt;=30,IF('POA — Monthly financial forecas'!L5="","",'POA — Monthly financial forecas'!L5&lt;=30))="",FALSE,IF(ISERROR('POA — Monthly financial forecas'!L5&lt;=30),'POA — Monthly financial forecas'!L5&lt;=30,IF('POA — Monthly financial forecas'!L5="","",'POA — Monthly financial forecas'!L5&lt;=30))),'Model inputs'!AM102+('Model inputs'!AM103-'Model inputs'!AM102)*('POA — Monthly financial forecas'!L5-24)/6,IF(IF(IF(ISERROR('POA — Monthly financial forecas'!L5&lt;=36),'POA — Monthly financial forecas'!L5&lt;=36,IF('POA — Monthly financial forecas'!L5="","",'POA — Monthly financial forecas'!L5&lt;=36))="",FALSE,IF(ISERROR('POA — Monthly financial forecas'!L5&lt;=36),'POA — Monthly financial forecas'!L5&lt;=36,IF('POA — Monthly financial forecas'!L5="","",'POA — Monthly financial forecas'!L5&lt;=36))),'Model inputs'!AM103+('Model inputs'!AM104-'Model inputs'!AM103)*('POA — Monthly financial forecas'!L5-30)/6,IF('Model inputs'!AM104="","",'Model inputs'!AM104))))))))</f>
      </c>
    </row>
    <row r="672">
      <c r="A672" t="inlineStr" s="25">
        <is>
          <t xml:space="preserve">Calculation</t>
        </is>
      </c>
      <c r="B672">
        <f>IF('Model inputs'!B671="",0,'Model inputs'!B671)*'Model inputs'!AM93</f>
      </c>
    </row>
    <row r="673">
      <c r="A673" t="inlineStr" s="25">
        <is>
          <t xml:space="preserve">Calculation</t>
        </is>
      </c>
      <c r="B673">
        <f>(IF(IF(IF(ISERROR('POA — Monthly financial forecas'!M5&lt;=6),'POA — Monthly financial forecas'!M5&lt;=6,IF('POA — Monthly financial forecas'!M5="","",'POA — Monthly financial forecas'!M5&lt;=6))="",FALSE,IF(ISERROR('POA — Monthly financial forecas'!M5&lt;=6),'POA — Monthly financial forecas'!M5&lt;=6,IF('POA — Monthly financial forecas'!M5="","",'POA — Monthly financial forecas'!M5&lt;=6))),'Model inputs'!AM99+('Model inputs'!AM105-'Model inputs'!AM99)*('POA — Monthly financial forecas'!M5-0)/6,IF(IF(IF(ISERROR('POA — Monthly financial forecas'!M5&lt;=12),'POA — Monthly financial forecas'!M5&lt;=12,IF('POA — Monthly financial forecas'!M5="","",'POA — Monthly financial forecas'!M5&lt;=12))="",FALSE,IF(ISERROR('POA — Monthly financial forecas'!M5&lt;=12),'POA — Monthly financial forecas'!M5&lt;=12,IF('POA — Monthly financial forecas'!M5="","",'POA — Monthly financial forecas'!M5&lt;=12))),'Model inputs'!AM105+('Model inputs'!AM100-'Model inputs'!AM105)*('POA — Monthly financial forecas'!M5-6)/6,IF(IF(IF(ISERROR('POA — Monthly financial forecas'!M5&lt;=18),'POA — Monthly financial forecas'!M5&lt;=18,IF('POA — Monthly financial forecas'!M5="","",'POA — Monthly financial forecas'!M5&lt;=18))="",FALSE,IF(ISERROR('POA — Monthly financial forecas'!M5&lt;=18),'POA — Monthly financial forecas'!M5&lt;=18,IF('POA — Monthly financial forecas'!M5="","",'POA — Monthly financial forecas'!M5&lt;=18))),'Model inputs'!AM100+('Model inputs'!AM101-'Model inputs'!AM100)*('POA — Monthly financial forecas'!M5-12)/6,IF(IF(IF(ISERROR('POA — Monthly financial forecas'!M5&lt;=24),'POA — Monthly financial forecas'!M5&lt;=24,IF('POA — Monthly financial forecas'!M5="","",'POA — Monthly financial forecas'!M5&lt;=24))="",FALSE,IF(ISERROR('POA — Monthly financial forecas'!M5&lt;=24),'POA — Monthly financial forecas'!M5&lt;=24,IF('POA — Monthly financial forecas'!M5="","",'POA — Monthly financial forecas'!M5&lt;=24))),'Model inputs'!AM101+('Model inputs'!AM102-'Model inputs'!AM101)*('POA — Monthly financial forecas'!M5-18)/6,IF(IF(IF(ISERROR('POA — Monthly financial forecas'!M5&lt;=30),'POA — Monthly financial forecas'!M5&lt;=30,IF('POA — Monthly financial forecas'!M5="","",'POA — Monthly financial forecas'!M5&lt;=30))="",FALSE,IF(ISERROR('POA — Monthly financial forecas'!M5&lt;=30),'POA — Monthly financial forecas'!M5&lt;=30,IF('POA — Monthly financial forecas'!M5="","",'POA — Monthly financial forecas'!M5&lt;=30))),'Model inputs'!AM102+('Model inputs'!AM103-'Model inputs'!AM102)*('POA — Monthly financial forecas'!M5-24)/6,IF(IF(IF(ISERROR('POA — Monthly financial forecas'!M5&lt;=36),'POA — Monthly financial forecas'!M5&lt;=36,IF('POA — Monthly financial forecas'!M5="","",'POA — Monthly financial forecas'!M5&lt;=36))="",FALSE,IF(ISERROR('POA — Monthly financial forecas'!M5&lt;=36),'POA — Monthly financial forecas'!M5&lt;=36,IF('POA — Monthly financial forecas'!M5="","",'POA — Monthly financial forecas'!M5&lt;=36))),'Model inputs'!AM103+('Model inputs'!AM104-'Model inputs'!AM103)*('POA — Monthly financial forecas'!M5-30)/6,IF('Model inputs'!AM104="","",'Model inputs'!AM104))))))))</f>
      </c>
    </row>
    <row r="674">
      <c r="A674" t="inlineStr" s="25">
        <is>
          <t xml:space="preserve">Calculation</t>
        </is>
      </c>
      <c r="B674">
        <f>IF('Model inputs'!B673="",0,'Model inputs'!B673)*'Model inputs'!AM93</f>
      </c>
    </row>
    <row r="675">
      <c r="A675" t="inlineStr" s="25">
        <is>
          <t xml:space="preserve">Calculation</t>
        </is>
      </c>
      <c r="B675">
        <f>(IF(IF(IF(ISERROR('POA — Monthly financial forecas'!N5&lt;=6),'POA — Monthly financial forecas'!N5&lt;=6,IF('POA — Monthly financial forecas'!N5="","",'POA — Monthly financial forecas'!N5&lt;=6))="",FALSE,IF(ISERROR('POA — Monthly financial forecas'!N5&lt;=6),'POA — Monthly financial forecas'!N5&lt;=6,IF('POA — Monthly financial forecas'!N5="","",'POA — Monthly financial forecas'!N5&lt;=6))),'Model inputs'!AM99+('Model inputs'!AM105-'Model inputs'!AM99)*('POA — Monthly financial forecas'!N5-0)/6,IF(IF(IF(ISERROR('POA — Monthly financial forecas'!N5&lt;=12),'POA — Monthly financial forecas'!N5&lt;=12,IF('POA — Monthly financial forecas'!N5="","",'POA — Monthly financial forecas'!N5&lt;=12))="",FALSE,IF(ISERROR('POA — Monthly financial forecas'!N5&lt;=12),'POA — Monthly financial forecas'!N5&lt;=12,IF('POA — Monthly financial forecas'!N5="","",'POA — Monthly financial forecas'!N5&lt;=12))),'Model inputs'!AM105+('Model inputs'!AM100-'Model inputs'!AM105)*('POA — Monthly financial forecas'!N5-6)/6,IF(IF(IF(ISERROR('POA — Monthly financial forecas'!N5&lt;=18),'POA — Monthly financial forecas'!N5&lt;=18,IF('POA — Monthly financial forecas'!N5="","",'POA — Monthly financial forecas'!N5&lt;=18))="",FALSE,IF(ISERROR('POA — Monthly financial forecas'!N5&lt;=18),'POA — Monthly financial forecas'!N5&lt;=18,IF('POA — Monthly financial forecas'!N5="","",'POA — Monthly financial forecas'!N5&lt;=18))),'Model inputs'!AM100+('Model inputs'!AM101-'Model inputs'!AM100)*('POA — Monthly financial forecas'!N5-12)/6,IF(IF(IF(ISERROR('POA — Monthly financial forecas'!N5&lt;=24),'POA — Monthly financial forecas'!N5&lt;=24,IF('POA — Monthly financial forecas'!N5="","",'POA — Monthly financial forecas'!N5&lt;=24))="",FALSE,IF(ISERROR('POA — Monthly financial forecas'!N5&lt;=24),'POA — Monthly financial forecas'!N5&lt;=24,IF('POA — Monthly financial forecas'!N5="","",'POA — Monthly financial forecas'!N5&lt;=24))),'Model inputs'!AM101+('Model inputs'!AM102-'Model inputs'!AM101)*('POA — Monthly financial forecas'!N5-18)/6,IF(IF(IF(ISERROR('POA — Monthly financial forecas'!N5&lt;=30),'POA — Monthly financial forecas'!N5&lt;=30,IF('POA — Monthly financial forecas'!N5="","",'POA — Monthly financial forecas'!N5&lt;=30))="",FALSE,IF(ISERROR('POA — Monthly financial forecas'!N5&lt;=30),'POA — Monthly financial forecas'!N5&lt;=30,IF('POA — Monthly financial forecas'!N5="","",'POA — Monthly financial forecas'!N5&lt;=30))),'Model inputs'!AM102+('Model inputs'!AM103-'Model inputs'!AM102)*('POA — Monthly financial forecas'!N5-24)/6,IF(IF(IF(ISERROR('POA — Monthly financial forecas'!N5&lt;=36),'POA — Monthly financial forecas'!N5&lt;=36,IF('POA — Monthly financial forecas'!N5="","",'POA — Monthly financial forecas'!N5&lt;=36))="",FALSE,IF(ISERROR('POA — Monthly financial forecas'!N5&lt;=36),'POA — Monthly financial forecas'!N5&lt;=36,IF('POA — Monthly financial forecas'!N5="","",'POA — Monthly financial forecas'!N5&lt;=36))),'Model inputs'!AM103+('Model inputs'!AM104-'Model inputs'!AM103)*('POA — Monthly financial forecas'!N5-30)/6,IF('Model inputs'!AM104="","",'Model inputs'!AM104))))))))</f>
      </c>
    </row>
    <row r="676">
      <c r="A676" t="inlineStr" s="25">
        <is>
          <t xml:space="preserve">Calculation</t>
        </is>
      </c>
      <c r="B676">
        <f>IF('Model inputs'!B675="",0,'Model inputs'!B675)*'Model inputs'!AM93</f>
      </c>
    </row>
    <row r="677">
      <c r="A677" t="inlineStr" s="25">
        <is>
          <t xml:space="preserve">Calculation</t>
        </is>
      </c>
      <c r="B677">
        <f>(IF(IF(IF(ISERROR('POA — Monthly financial forecas'!O5&lt;=6),'POA — Monthly financial forecas'!O5&lt;=6,IF('POA — Monthly financial forecas'!O5="","",'POA — Monthly financial forecas'!O5&lt;=6))="",FALSE,IF(ISERROR('POA — Monthly financial forecas'!O5&lt;=6),'POA — Monthly financial forecas'!O5&lt;=6,IF('POA — Monthly financial forecas'!O5="","",'POA — Monthly financial forecas'!O5&lt;=6))),'Model inputs'!AM99+('Model inputs'!AM105-'Model inputs'!AM99)*('POA — Monthly financial forecas'!O5-0)/6,IF(IF(IF(ISERROR('POA — Monthly financial forecas'!O5&lt;=12),'POA — Monthly financial forecas'!O5&lt;=12,IF('POA — Monthly financial forecas'!O5="","",'POA — Monthly financial forecas'!O5&lt;=12))="",FALSE,IF(ISERROR('POA — Monthly financial forecas'!O5&lt;=12),'POA — Monthly financial forecas'!O5&lt;=12,IF('POA — Monthly financial forecas'!O5="","",'POA — Monthly financial forecas'!O5&lt;=12))),'Model inputs'!AM105+('Model inputs'!AM100-'Model inputs'!AM105)*('POA — Monthly financial forecas'!O5-6)/6,IF(IF(IF(ISERROR('POA — Monthly financial forecas'!O5&lt;=18),'POA — Monthly financial forecas'!O5&lt;=18,IF('POA — Monthly financial forecas'!O5="","",'POA — Monthly financial forecas'!O5&lt;=18))="",FALSE,IF(ISERROR('POA — Monthly financial forecas'!O5&lt;=18),'POA — Monthly financial forecas'!O5&lt;=18,IF('POA — Monthly financial forecas'!O5="","",'POA — Monthly financial forecas'!O5&lt;=18))),'Model inputs'!AM100+('Model inputs'!AM101-'Model inputs'!AM100)*('POA — Monthly financial forecas'!O5-12)/6,IF(IF(IF(ISERROR('POA — Monthly financial forecas'!O5&lt;=24),'POA — Monthly financial forecas'!O5&lt;=24,IF('POA — Monthly financial forecas'!O5="","",'POA — Monthly financial forecas'!O5&lt;=24))="",FALSE,IF(ISERROR('POA — Monthly financial forecas'!O5&lt;=24),'POA — Monthly financial forecas'!O5&lt;=24,IF('POA — Monthly financial forecas'!O5="","",'POA — Monthly financial forecas'!O5&lt;=24))),'Model inputs'!AM101+('Model inputs'!AM102-'Model inputs'!AM101)*('POA — Monthly financial forecas'!O5-18)/6,IF(IF(IF(ISERROR('POA — Monthly financial forecas'!O5&lt;=30),'POA — Monthly financial forecas'!O5&lt;=30,IF('POA — Monthly financial forecas'!O5="","",'POA — Monthly financial forecas'!O5&lt;=30))="",FALSE,IF(ISERROR('POA — Monthly financial forecas'!O5&lt;=30),'POA — Monthly financial forecas'!O5&lt;=30,IF('POA — Monthly financial forecas'!O5="","",'POA — Monthly financial forecas'!O5&lt;=30))),'Model inputs'!AM102+('Model inputs'!AM103-'Model inputs'!AM102)*('POA — Monthly financial forecas'!O5-24)/6,IF(IF(IF(ISERROR('POA — Monthly financial forecas'!O5&lt;=36),'POA — Monthly financial forecas'!O5&lt;=36,IF('POA — Monthly financial forecas'!O5="","",'POA — Monthly financial forecas'!O5&lt;=36))="",FALSE,IF(ISERROR('POA — Monthly financial forecas'!O5&lt;=36),'POA — Monthly financial forecas'!O5&lt;=36,IF('POA — Monthly financial forecas'!O5="","",'POA — Monthly financial forecas'!O5&lt;=36))),'Model inputs'!AM103+('Model inputs'!AM104-'Model inputs'!AM103)*('POA — Monthly financial forecas'!O5-30)/6,IF('Model inputs'!AM104="","",'Model inputs'!AM104))))))))</f>
      </c>
    </row>
    <row r="678">
      <c r="A678" t="inlineStr" s="25">
        <is>
          <t xml:space="preserve">Calculation</t>
        </is>
      </c>
      <c r="B678">
        <f>IF('Model inputs'!B677="",0,'Model inputs'!B677)*'Model inputs'!AM93</f>
      </c>
    </row>
    <row r="679">
      <c r="A679" t="inlineStr" s="25">
        <is>
          <t xml:space="preserve">Calculation</t>
        </is>
      </c>
      <c r="B679">
        <f>(IF(IF(IF(ISERROR('POA — Monthly financial forecas'!P5&lt;=6),'POA — Monthly financial forecas'!P5&lt;=6,IF('POA — Monthly financial forecas'!P5="","",'POA — Monthly financial forecas'!P5&lt;=6))="",FALSE,IF(ISERROR('POA — Monthly financial forecas'!P5&lt;=6),'POA — Monthly financial forecas'!P5&lt;=6,IF('POA — Monthly financial forecas'!P5="","",'POA — Monthly financial forecas'!P5&lt;=6))),'Model inputs'!AM99+('Model inputs'!AM105-'Model inputs'!AM99)*('POA — Monthly financial forecas'!P5-0)/6,IF(IF(IF(ISERROR('POA — Monthly financial forecas'!P5&lt;=12),'POA — Monthly financial forecas'!P5&lt;=12,IF('POA — Monthly financial forecas'!P5="","",'POA — Monthly financial forecas'!P5&lt;=12))="",FALSE,IF(ISERROR('POA — Monthly financial forecas'!P5&lt;=12),'POA — Monthly financial forecas'!P5&lt;=12,IF('POA — Monthly financial forecas'!P5="","",'POA — Monthly financial forecas'!P5&lt;=12))),'Model inputs'!AM105+('Model inputs'!AM100-'Model inputs'!AM105)*('POA — Monthly financial forecas'!P5-6)/6,IF(IF(IF(ISERROR('POA — Monthly financial forecas'!P5&lt;=18),'POA — Monthly financial forecas'!P5&lt;=18,IF('POA — Monthly financial forecas'!P5="","",'POA — Monthly financial forecas'!P5&lt;=18))="",FALSE,IF(ISERROR('POA — Monthly financial forecas'!P5&lt;=18),'POA — Monthly financial forecas'!P5&lt;=18,IF('POA — Monthly financial forecas'!P5="","",'POA — Monthly financial forecas'!P5&lt;=18))),'Model inputs'!AM100+('Model inputs'!AM101-'Model inputs'!AM100)*('POA — Monthly financial forecas'!P5-12)/6,IF(IF(IF(ISERROR('POA — Monthly financial forecas'!P5&lt;=24),'POA — Monthly financial forecas'!P5&lt;=24,IF('POA — Monthly financial forecas'!P5="","",'POA — Monthly financial forecas'!P5&lt;=24))="",FALSE,IF(ISERROR('POA — Monthly financial forecas'!P5&lt;=24),'POA — Monthly financial forecas'!P5&lt;=24,IF('POA — Monthly financial forecas'!P5="","",'POA — Monthly financial forecas'!P5&lt;=24))),'Model inputs'!AM101+('Model inputs'!AM102-'Model inputs'!AM101)*('POA — Monthly financial forecas'!P5-18)/6,IF(IF(IF(ISERROR('POA — Monthly financial forecas'!P5&lt;=30),'POA — Monthly financial forecas'!P5&lt;=30,IF('POA — Monthly financial forecas'!P5="","",'POA — Monthly financial forecas'!P5&lt;=30))="",FALSE,IF(ISERROR('POA — Monthly financial forecas'!P5&lt;=30),'POA — Monthly financial forecas'!P5&lt;=30,IF('POA — Monthly financial forecas'!P5="","",'POA — Monthly financial forecas'!P5&lt;=30))),'Model inputs'!AM102+('Model inputs'!AM103-'Model inputs'!AM102)*('POA — Monthly financial forecas'!P5-24)/6,IF(IF(IF(ISERROR('POA — Monthly financial forecas'!P5&lt;=36),'POA — Monthly financial forecas'!P5&lt;=36,IF('POA — Monthly financial forecas'!P5="","",'POA — Monthly financial forecas'!P5&lt;=36))="",FALSE,IF(ISERROR('POA — Monthly financial forecas'!P5&lt;=36),'POA — Monthly financial forecas'!P5&lt;=36,IF('POA — Monthly financial forecas'!P5="","",'POA — Monthly financial forecas'!P5&lt;=36))),'Model inputs'!AM103+('Model inputs'!AM104-'Model inputs'!AM103)*('POA — Monthly financial forecas'!P5-30)/6,IF('Model inputs'!AM104="","",'Model inputs'!AM104))))))))</f>
      </c>
    </row>
    <row r="680">
      <c r="A680" t="inlineStr" s="25">
        <is>
          <t xml:space="preserve">Calculation</t>
        </is>
      </c>
      <c r="B680">
        <f>IF('Model inputs'!B679="",0,'Model inputs'!B679)*'Model inputs'!AM93</f>
      </c>
    </row>
    <row r="681">
      <c r="A681" t="inlineStr" s="25">
        <is>
          <t xml:space="preserve">Calculation</t>
        </is>
      </c>
      <c r="B681">
        <f>(IF(IF(IF(ISERROR('POA — Monthly financial forecas'!Q5&lt;=6),'POA — Monthly financial forecas'!Q5&lt;=6,IF('POA — Monthly financial forecas'!Q5="","",'POA — Monthly financial forecas'!Q5&lt;=6))="",FALSE,IF(ISERROR('POA — Monthly financial forecas'!Q5&lt;=6),'POA — Monthly financial forecas'!Q5&lt;=6,IF('POA — Monthly financial forecas'!Q5="","",'POA — Monthly financial forecas'!Q5&lt;=6))),'Model inputs'!AM99+('Model inputs'!AM105-'Model inputs'!AM99)*('POA — Monthly financial forecas'!Q5-0)/6,IF(IF(IF(ISERROR('POA — Monthly financial forecas'!Q5&lt;=12),'POA — Monthly financial forecas'!Q5&lt;=12,IF('POA — Monthly financial forecas'!Q5="","",'POA — Monthly financial forecas'!Q5&lt;=12))="",FALSE,IF(ISERROR('POA — Monthly financial forecas'!Q5&lt;=12),'POA — Monthly financial forecas'!Q5&lt;=12,IF('POA — Monthly financial forecas'!Q5="","",'POA — Monthly financial forecas'!Q5&lt;=12))),'Model inputs'!AM105+('Model inputs'!AM100-'Model inputs'!AM105)*('POA — Monthly financial forecas'!Q5-6)/6,IF(IF(IF(ISERROR('POA — Monthly financial forecas'!Q5&lt;=18),'POA — Monthly financial forecas'!Q5&lt;=18,IF('POA — Monthly financial forecas'!Q5="","",'POA — Monthly financial forecas'!Q5&lt;=18))="",FALSE,IF(ISERROR('POA — Monthly financial forecas'!Q5&lt;=18),'POA — Monthly financial forecas'!Q5&lt;=18,IF('POA — Monthly financial forecas'!Q5="","",'POA — Monthly financial forecas'!Q5&lt;=18))),'Model inputs'!AM100+('Model inputs'!AM101-'Model inputs'!AM100)*('POA — Monthly financial forecas'!Q5-12)/6,IF(IF(IF(ISERROR('POA — Monthly financial forecas'!Q5&lt;=24),'POA — Monthly financial forecas'!Q5&lt;=24,IF('POA — Monthly financial forecas'!Q5="","",'POA — Monthly financial forecas'!Q5&lt;=24))="",FALSE,IF(ISERROR('POA — Monthly financial forecas'!Q5&lt;=24),'POA — Monthly financial forecas'!Q5&lt;=24,IF('POA — Monthly financial forecas'!Q5="","",'POA — Monthly financial forecas'!Q5&lt;=24))),'Model inputs'!AM101+('Model inputs'!AM102-'Model inputs'!AM101)*('POA — Monthly financial forecas'!Q5-18)/6,IF(IF(IF(ISERROR('POA — Monthly financial forecas'!Q5&lt;=30),'POA — Monthly financial forecas'!Q5&lt;=30,IF('POA — Monthly financial forecas'!Q5="","",'POA — Monthly financial forecas'!Q5&lt;=30))="",FALSE,IF(ISERROR('POA — Monthly financial forecas'!Q5&lt;=30),'POA — Monthly financial forecas'!Q5&lt;=30,IF('POA — Monthly financial forecas'!Q5="","",'POA — Monthly financial forecas'!Q5&lt;=30))),'Model inputs'!AM102+('Model inputs'!AM103-'Model inputs'!AM102)*('POA — Monthly financial forecas'!Q5-24)/6,IF(IF(IF(ISERROR('POA — Monthly financial forecas'!Q5&lt;=36),'POA — Monthly financial forecas'!Q5&lt;=36,IF('POA — Monthly financial forecas'!Q5="","",'POA — Monthly financial forecas'!Q5&lt;=36))="",FALSE,IF(ISERROR('POA — Monthly financial forecas'!Q5&lt;=36),'POA — Monthly financial forecas'!Q5&lt;=36,IF('POA — Monthly financial forecas'!Q5="","",'POA — Monthly financial forecas'!Q5&lt;=36))),'Model inputs'!AM103+('Model inputs'!AM104-'Model inputs'!AM103)*('POA — Monthly financial forecas'!Q5-30)/6,IF('Model inputs'!AM104="","",'Model inputs'!AM104))))))))</f>
      </c>
    </row>
    <row r="682">
      <c r="A682" t="inlineStr" s="25">
        <is>
          <t xml:space="preserve">Calculation</t>
        </is>
      </c>
      <c r="B682">
        <f>IF('Model inputs'!B681="",0,'Model inputs'!B681)*'Model inputs'!AM93</f>
      </c>
    </row>
    <row r="683">
      <c r="A683" t="inlineStr" s="25">
        <is>
          <t xml:space="preserve">Calculation</t>
        </is>
      </c>
      <c r="B683">
        <f>(IF(IF(IF(ISERROR('POA — Monthly financial forecas'!R5&lt;=6),'POA — Monthly financial forecas'!R5&lt;=6,IF('POA — Monthly financial forecas'!R5="","",'POA — Monthly financial forecas'!R5&lt;=6))="",FALSE,IF(ISERROR('POA — Monthly financial forecas'!R5&lt;=6),'POA — Monthly financial forecas'!R5&lt;=6,IF('POA — Monthly financial forecas'!R5="","",'POA — Monthly financial forecas'!R5&lt;=6))),'Model inputs'!AM99+('Model inputs'!AM105-'Model inputs'!AM99)*('POA — Monthly financial forecas'!R5-0)/6,IF(IF(IF(ISERROR('POA — Monthly financial forecas'!R5&lt;=12),'POA — Monthly financial forecas'!R5&lt;=12,IF('POA — Monthly financial forecas'!R5="","",'POA — Monthly financial forecas'!R5&lt;=12))="",FALSE,IF(ISERROR('POA — Monthly financial forecas'!R5&lt;=12),'POA — Monthly financial forecas'!R5&lt;=12,IF('POA — Monthly financial forecas'!R5="","",'POA — Monthly financial forecas'!R5&lt;=12))),'Model inputs'!AM105+('Model inputs'!AM100-'Model inputs'!AM105)*('POA — Monthly financial forecas'!R5-6)/6,IF(IF(IF(ISERROR('POA — Monthly financial forecas'!R5&lt;=18),'POA — Monthly financial forecas'!R5&lt;=18,IF('POA — Monthly financial forecas'!R5="","",'POA — Monthly financial forecas'!R5&lt;=18))="",FALSE,IF(ISERROR('POA — Monthly financial forecas'!R5&lt;=18),'POA — Monthly financial forecas'!R5&lt;=18,IF('POA — Monthly financial forecas'!R5="","",'POA — Monthly financial forecas'!R5&lt;=18))),'Model inputs'!AM100+('Model inputs'!AM101-'Model inputs'!AM100)*('POA — Monthly financial forecas'!R5-12)/6,IF(IF(IF(ISERROR('POA — Monthly financial forecas'!R5&lt;=24),'POA — Monthly financial forecas'!R5&lt;=24,IF('POA — Monthly financial forecas'!R5="","",'POA — Monthly financial forecas'!R5&lt;=24))="",FALSE,IF(ISERROR('POA — Monthly financial forecas'!R5&lt;=24),'POA — Monthly financial forecas'!R5&lt;=24,IF('POA — Monthly financial forecas'!R5="","",'POA — Monthly financial forecas'!R5&lt;=24))),'Model inputs'!AM101+('Model inputs'!AM102-'Model inputs'!AM101)*('POA — Monthly financial forecas'!R5-18)/6,IF(IF(IF(ISERROR('POA — Monthly financial forecas'!R5&lt;=30),'POA — Monthly financial forecas'!R5&lt;=30,IF('POA — Monthly financial forecas'!R5="","",'POA — Monthly financial forecas'!R5&lt;=30))="",FALSE,IF(ISERROR('POA — Monthly financial forecas'!R5&lt;=30),'POA — Monthly financial forecas'!R5&lt;=30,IF('POA — Monthly financial forecas'!R5="","",'POA — Monthly financial forecas'!R5&lt;=30))),'Model inputs'!AM102+('Model inputs'!AM103-'Model inputs'!AM102)*('POA — Monthly financial forecas'!R5-24)/6,IF(IF(IF(ISERROR('POA — Monthly financial forecas'!R5&lt;=36),'POA — Monthly financial forecas'!R5&lt;=36,IF('POA — Monthly financial forecas'!R5="","",'POA — Monthly financial forecas'!R5&lt;=36))="",FALSE,IF(ISERROR('POA — Monthly financial forecas'!R5&lt;=36),'POA — Monthly financial forecas'!R5&lt;=36,IF('POA — Monthly financial forecas'!R5="","",'POA — Monthly financial forecas'!R5&lt;=36))),'Model inputs'!AM103+('Model inputs'!AM104-'Model inputs'!AM103)*('POA — Monthly financial forecas'!R5-30)/6,IF('Model inputs'!AM104="","",'Model inputs'!AM104))))))))</f>
      </c>
    </row>
    <row r="684">
      <c r="A684" t="inlineStr" s="25">
        <is>
          <t xml:space="preserve">Calculation</t>
        </is>
      </c>
      <c r="B684">
        <f>IF('Model inputs'!B683="",0,'Model inputs'!B683)*'Model inputs'!AM93</f>
      </c>
    </row>
    <row r="685">
      <c r="A685" t="inlineStr" s="25">
        <is>
          <t xml:space="preserve">Calculation</t>
        </is>
      </c>
      <c r="B685">
        <f>(IF(IF(IF(ISERROR('POA — Monthly financial forecas'!S5&lt;=6),'POA — Monthly financial forecas'!S5&lt;=6,IF('POA — Monthly financial forecas'!S5="","",'POA — Monthly financial forecas'!S5&lt;=6))="",FALSE,IF(ISERROR('POA — Monthly financial forecas'!S5&lt;=6),'POA — Monthly financial forecas'!S5&lt;=6,IF('POA — Monthly financial forecas'!S5="","",'POA — Monthly financial forecas'!S5&lt;=6))),'Model inputs'!AM99+('Model inputs'!AM105-'Model inputs'!AM99)*('POA — Monthly financial forecas'!S5-0)/6,IF(IF(IF(ISERROR('POA — Monthly financial forecas'!S5&lt;=12),'POA — Monthly financial forecas'!S5&lt;=12,IF('POA — Monthly financial forecas'!S5="","",'POA — Monthly financial forecas'!S5&lt;=12))="",FALSE,IF(ISERROR('POA — Monthly financial forecas'!S5&lt;=12),'POA — Monthly financial forecas'!S5&lt;=12,IF('POA — Monthly financial forecas'!S5="","",'POA — Monthly financial forecas'!S5&lt;=12))),'Model inputs'!AM105+('Model inputs'!AM100-'Model inputs'!AM105)*('POA — Monthly financial forecas'!S5-6)/6,IF(IF(IF(ISERROR('POA — Monthly financial forecas'!S5&lt;=18),'POA — Monthly financial forecas'!S5&lt;=18,IF('POA — Monthly financial forecas'!S5="","",'POA — Monthly financial forecas'!S5&lt;=18))="",FALSE,IF(ISERROR('POA — Monthly financial forecas'!S5&lt;=18),'POA — Monthly financial forecas'!S5&lt;=18,IF('POA — Monthly financial forecas'!S5="","",'POA — Monthly financial forecas'!S5&lt;=18))),'Model inputs'!AM100+('Model inputs'!AM101-'Model inputs'!AM100)*('POA — Monthly financial forecas'!S5-12)/6,IF(IF(IF(ISERROR('POA — Monthly financial forecas'!S5&lt;=24),'POA — Monthly financial forecas'!S5&lt;=24,IF('POA — Monthly financial forecas'!S5="","",'POA — Monthly financial forecas'!S5&lt;=24))="",FALSE,IF(ISERROR('POA — Monthly financial forecas'!S5&lt;=24),'POA — Monthly financial forecas'!S5&lt;=24,IF('POA — Monthly financial forecas'!S5="","",'POA — Monthly financial forecas'!S5&lt;=24))),'Model inputs'!AM101+('Model inputs'!AM102-'Model inputs'!AM101)*('POA — Monthly financial forecas'!S5-18)/6,IF(IF(IF(ISERROR('POA — Monthly financial forecas'!S5&lt;=30),'POA — Monthly financial forecas'!S5&lt;=30,IF('POA — Monthly financial forecas'!S5="","",'POA — Monthly financial forecas'!S5&lt;=30))="",FALSE,IF(ISERROR('POA — Monthly financial forecas'!S5&lt;=30),'POA — Monthly financial forecas'!S5&lt;=30,IF('POA — Monthly financial forecas'!S5="","",'POA — Monthly financial forecas'!S5&lt;=30))),'Model inputs'!AM102+('Model inputs'!AM103-'Model inputs'!AM102)*('POA — Monthly financial forecas'!S5-24)/6,IF(IF(IF(ISERROR('POA — Monthly financial forecas'!S5&lt;=36),'POA — Monthly financial forecas'!S5&lt;=36,IF('POA — Monthly financial forecas'!S5="","",'POA — Monthly financial forecas'!S5&lt;=36))="",FALSE,IF(ISERROR('POA — Monthly financial forecas'!S5&lt;=36),'POA — Monthly financial forecas'!S5&lt;=36,IF('POA — Monthly financial forecas'!S5="","",'POA — Monthly financial forecas'!S5&lt;=36))),'Model inputs'!AM103+('Model inputs'!AM104-'Model inputs'!AM103)*('POA — Monthly financial forecas'!S5-30)/6,IF('Model inputs'!AM104="","",'Model inputs'!AM104))))))))</f>
      </c>
    </row>
    <row r="686">
      <c r="A686" t="inlineStr" s="25">
        <is>
          <t xml:space="preserve">Calculation</t>
        </is>
      </c>
      <c r="B686">
        <f>IF('Model inputs'!B685="",0,'Model inputs'!B685)*'Model inputs'!AM93</f>
      </c>
    </row>
    <row r="687">
      <c r="A687" t="inlineStr" s="25">
        <is>
          <t xml:space="preserve">Calculation</t>
        </is>
      </c>
      <c r="B687">
        <f>(IF(IF(IF(ISERROR('POA — Monthly financial forecas'!T5&lt;=6),'POA — Monthly financial forecas'!T5&lt;=6,IF('POA — Monthly financial forecas'!T5="","",'POA — Monthly financial forecas'!T5&lt;=6))="",FALSE,IF(ISERROR('POA — Monthly financial forecas'!T5&lt;=6),'POA — Monthly financial forecas'!T5&lt;=6,IF('POA — Monthly financial forecas'!T5="","",'POA — Monthly financial forecas'!T5&lt;=6))),'Model inputs'!AM99+('Model inputs'!AM105-'Model inputs'!AM99)*('POA — Monthly financial forecas'!T5-0)/6,IF(IF(IF(ISERROR('POA — Monthly financial forecas'!T5&lt;=12),'POA — Monthly financial forecas'!T5&lt;=12,IF('POA — Monthly financial forecas'!T5="","",'POA — Monthly financial forecas'!T5&lt;=12))="",FALSE,IF(ISERROR('POA — Monthly financial forecas'!T5&lt;=12),'POA — Monthly financial forecas'!T5&lt;=12,IF('POA — Monthly financial forecas'!T5="","",'POA — Monthly financial forecas'!T5&lt;=12))),'Model inputs'!AM105+('Model inputs'!AM100-'Model inputs'!AM105)*('POA — Monthly financial forecas'!T5-6)/6,IF(IF(IF(ISERROR('POA — Monthly financial forecas'!T5&lt;=18),'POA — Monthly financial forecas'!T5&lt;=18,IF('POA — Monthly financial forecas'!T5="","",'POA — Monthly financial forecas'!T5&lt;=18))="",FALSE,IF(ISERROR('POA — Monthly financial forecas'!T5&lt;=18),'POA — Monthly financial forecas'!T5&lt;=18,IF('POA — Monthly financial forecas'!T5="","",'POA — Monthly financial forecas'!T5&lt;=18))),'Model inputs'!AM100+('Model inputs'!AM101-'Model inputs'!AM100)*('POA — Monthly financial forecas'!T5-12)/6,IF(IF(IF(ISERROR('POA — Monthly financial forecas'!T5&lt;=24),'POA — Monthly financial forecas'!T5&lt;=24,IF('POA — Monthly financial forecas'!T5="","",'POA — Monthly financial forecas'!T5&lt;=24))="",FALSE,IF(ISERROR('POA — Monthly financial forecas'!T5&lt;=24),'POA — Monthly financial forecas'!T5&lt;=24,IF('POA — Monthly financial forecas'!T5="","",'POA — Monthly financial forecas'!T5&lt;=24))),'Model inputs'!AM101+('Model inputs'!AM102-'Model inputs'!AM101)*('POA — Monthly financial forecas'!T5-18)/6,IF(IF(IF(ISERROR('POA — Monthly financial forecas'!T5&lt;=30),'POA — Monthly financial forecas'!T5&lt;=30,IF('POA — Monthly financial forecas'!T5="","",'POA — Monthly financial forecas'!T5&lt;=30))="",FALSE,IF(ISERROR('POA — Monthly financial forecas'!T5&lt;=30),'POA — Monthly financial forecas'!T5&lt;=30,IF('POA — Monthly financial forecas'!T5="","",'POA — Monthly financial forecas'!T5&lt;=30))),'Model inputs'!AM102+('Model inputs'!AM103-'Model inputs'!AM102)*('POA — Monthly financial forecas'!T5-24)/6,IF(IF(IF(ISERROR('POA — Monthly financial forecas'!T5&lt;=36),'POA — Monthly financial forecas'!T5&lt;=36,IF('POA — Monthly financial forecas'!T5="","",'POA — Monthly financial forecas'!T5&lt;=36))="",FALSE,IF(ISERROR('POA — Monthly financial forecas'!T5&lt;=36),'POA — Monthly financial forecas'!T5&lt;=36,IF('POA — Monthly financial forecas'!T5="","",'POA — Monthly financial forecas'!T5&lt;=36))),'Model inputs'!AM103+('Model inputs'!AM104-'Model inputs'!AM103)*('POA — Monthly financial forecas'!T5-30)/6,IF('Model inputs'!AM104="","",'Model inputs'!AM104))))))))</f>
      </c>
    </row>
    <row r="688">
      <c r="A688" t="inlineStr" s="25">
        <is>
          <t xml:space="preserve">Calculation</t>
        </is>
      </c>
      <c r="B688">
        <f>IF('Model inputs'!B687="",0,'Model inputs'!B687)*'Model inputs'!AM93</f>
      </c>
    </row>
    <row r="689">
      <c r="A689" t="inlineStr" s="25">
        <is>
          <t xml:space="preserve">Calculation</t>
        </is>
      </c>
      <c r="B689">
        <f>(IF(IF(IF(ISERROR('POA — Monthly financial forecas'!U5&lt;=6),'POA — Monthly financial forecas'!U5&lt;=6,IF('POA — Monthly financial forecas'!U5="","",'POA — Monthly financial forecas'!U5&lt;=6))="",FALSE,IF(ISERROR('POA — Monthly financial forecas'!U5&lt;=6),'POA — Monthly financial forecas'!U5&lt;=6,IF('POA — Monthly financial forecas'!U5="","",'POA — Monthly financial forecas'!U5&lt;=6))),'Model inputs'!AM99+('Model inputs'!AM105-'Model inputs'!AM99)*('POA — Monthly financial forecas'!U5-0)/6,IF(IF(IF(ISERROR('POA — Monthly financial forecas'!U5&lt;=12),'POA — Monthly financial forecas'!U5&lt;=12,IF('POA — Monthly financial forecas'!U5="","",'POA — Monthly financial forecas'!U5&lt;=12))="",FALSE,IF(ISERROR('POA — Monthly financial forecas'!U5&lt;=12),'POA — Monthly financial forecas'!U5&lt;=12,IF('POA — Monthly financial forecas'!U5="","",'POA — Monthly financial forecas'!U5&lt;=12))),'Model inputs'!AM105+('Model inputs'!AM100-'Model inputs'!AM105)*('POA — Monthly financial forecas'!U5-6)/6,IF(IF(IF(ISERROR('POA — Monthly financial forecas'!U5&lt;=18),'POA — Monthly financial forecas'!U5&lt;=18,IF('POA — Monthly financial forecas'!U5="","",'POA — Monthly financial forecas'!U5&lt;=18))="",FALSE,IF(ISERROR('POA — Monthly financial forecas'!U5&lt;=18),'POA — Monthly financial forecas'!U5&lt;=18,IF('POA — Monthly financial forecas'!U5="","",'POA — Monthly financial forecas'!U5&lt;=18))),'Model inputs'!AM100+('Model inputs'!AM101-'Model inputs'!AM100)*('POA — Monthly financial forecas'!U5-12)/6,IF(IF(IF(ISERROR('POA — Monthly financial forecas'!U5&lt;=24),'POA — Monthly financial forecas'!U5&lt;=24,IF('POA — Monthly financial forecas'!U5="","",'POA — Monthly financial forecas'!U5&lt;=24))="",FALSE,IF(ISERROR('POA — Monthly financial forecas'!U5&lt;=24),'POA — Monthly financial forecas'!U5&lt;=24,IF('POA — Monthly financial forecas'!U5="","",'POA — Monthly financial forecas'!U5&lt;=24))),'Model inputs'!AM101+('Model inputs'!AM102-'Model inputs'!AM101)*('POA — Monthly financial forecas'!U5-18)/6,IF(IF(IF(ISERROR('POA — Monthly financial forecas'!U5&lt;=30),'POA — Monthly financial forecas'!U5&lt;=30,IF('POA — Monthly financial forecas'!U5="","",'POA — Monthly financial forecas'!U5&lt;=30))="",FALSE,IF(ISERROR('POA — Monthly financial forecas'!U5&lt;=30),'POA — Monthly financial forecas'!U5&lt;=30,IF('POA — Monthly financial forecas'!U5="","",'POA — Monthly financial forecas'!U5&lt;=30))),'Model inputs'!AM102+('Model inputs'!AM103-'Model inputs'!AM102)*('POA — Monthly financial forecas'!U5-24)/6,IF(IF(IF(ISERROR('POA — Monthly financial forecas'!U5&lt;=36),'POA — Monthly financial forecas'!U5&lt;=36,IF('POA — Monthly financial forecas'!U5="","",'POA — Monthly financial forecas'!U5&lt;=36))="",FALSE,IF(ISERROR('POA — Monthly financial forecas'!U5&lt;=36),'POA — Monthly financial forecas'!U5&lt;=36,IF('POA — Monthly financial forecas'!U5="","",'POA — Monthly financial forecas'!U5&lt;=36))),'Model inputs'!AM103+('Model inputs'!AM104-'Model inputs'!AM103)*('POA — Monthly financial forecas'!U5-30)/6,IF('Model inputs'!AM104="","",'Model inputs'!AM104))))))))</f>
      </c>
    </row>
    <row r="690">
      <c r="A690" t="inlineStr" s="25">
        <is>
          <t xml:space="preserve">Calculation</t>
        </is>
      </c>
      <c r="B690">
        <f>IF('Model inputs'!B689="",0,'Model inputs'!B689)*'Model inputs'!AM93</f>
      </c>
    </row>
    <row r="691">
      <c r="A691" t="inlineStr" s="25">
        <is>
          <t xml:space="preserve">Calculation</t>
        </is>
      </c>
      <c r="B691">
        <f>(IF(IF(IF(ISERROR('POA — Monthly financial forecas'!V5&lt;=6),'POA — Monthly financial forecas'!V5&lt;=6,IF('POA — Monthly financial forecas'!V5="","",'POA — Monthly financial forecas'!V5&lt;=6))="",FALSE,IF(ISERROR('POA — Monthly financial forecas'!V5&lt;=6),'POA — Monthly financial forecas'!V5&lt;=6,IF('POA — Monthly financial forecas'!V5="","",'POA — Monthly financial forecas'!V5&lt;=6))),'Model inputs'!AM99+('Model inputs'!AM105-'Model inputs'!AM99)*('POA — Monthly financial forecas'!V5-0)/6,IF(IF(IF(ISERROR('POA — Monthly financial forecas'!V5&lt;=12),'POA — Monthly financial forecas'!V5&lt;=12,IF('POA — Monthly financial forecas'!V5="","",'POA — Monthly financial forecas'!V5&lt;=12))="",FALSE,IF(ISERROR('POA — Monthly financial forecas'!V5&lt;=12),'POA — Monthly financial forecas'!V5&lt;=12,IF('POA — Monthly financial forecas'!V5="","",'POA — Monthly financial forecas'!V5&lt;=12))),'Model inputs'!AM105+('Model inputs'!AM100-'Model inputs'!AM105)*('POA — Monthly financial forecas'!V5-6)/6,IF(IF(IF(ISERROR('POA — Monthly financial forecas'!V5&lt;=18),'POA — Monthly financial forecas'!V5&lt;=18,IF('POA — Monthly financial forecas'!V5="","",'POA — Monthly financial forecas'!V5&lt;=18))="",FALSE,IF(ISERROR('POA — Monthly financial forecas'!V5&lt;=18),'POA — Monthly financial forecas'!V5&lt;=18,IF('POA — Monthly financial forecas'!V5="","",'POA — Monthly financial forecas'!V5&lt;=18))),'Model inputs'!AM100+('Model inputs'!AM101-'Model inputs'!AM100)*('POA — Monthly financial forecas'!V5-12)/6,IF(IF(IF(ISERROR('POA — Monthly financial forecas'!V5&lt;=24),'POA — Monthly financial forecas'!V5&lt;=24,IF('POA — Monthly financial forecas'!V5="","",'POA — Monthly financial forecas'!V5&lt;=24))="",FALSE,IF(ISERROR('POA — Monthly financial forecas'!V5&lt;=24),'POA — Monthly financial forecas'!V5&lt;=24,IF('POA — Monthly financial forecas'!V5="","",'POA — Monthly financial forecas'!V5&lt;=24))),'Model inputs'!AM101+('Model inputs'!AM102-'Model inputs'!AM101)*('POA — Monthly financial forecas'!V5-18)/6,IF(IF(IF(ISERROR('POA — Monthly financial forecas'!V5&lt;=30),'POA — Monthly financial forecas'!V5&lt;=30,IF('POA — Monthly financial forecas'!V5="","",'POA — Monthly financial forecas'!V5&lt;=30))="",FALSE,IF(ISERROR('POA — Monthly financial forecas'!V5&lt;=30),'POA — Monthly financial forecas'!V5&lt;=30,IF('POA — Monthly financial forecas'!V5="","",'POA — Monthly financial forecas'!V5&lt;=30))),'Model inputs'!AM102+('Model inputs'!AM103-'Model inputs'!AM102)*('POA — Monthly financial forecas'!V5-24)/6,IF(IF(IF(ISERROR('POA — Monthly financial forecas'!V5&lt;=36),'POA — Monthly financial forecas'!V5&lt;=36,IF('POA — Monthly financial forecas'!V5="","",'POA — Monthly financial forecas'!V5&lt;=36))="",FALSE,IF(ISERROR('POA — Monthly financial forecas'!V5&lt;=36),'POA — Monthly financial forecas'!V5&lt;=36,IF('POA — Monthly financial forecas'!V5="","",'POA — Monthly financial forecas'!V5&lt;=36))),'Model inputs'!AM103+('Model inputs'!AM104-'Model inputs'!AM103)*('POA — Monthly financial forecas'!V5-30)/6,IF('Model inputs'!AM104="","",'Model inputs'!AM104))))))))</f>
      </c>
    </row>
    <row r="692">
      <c r="A692" t="inlineStr" s="25">
        <is>
          <t xml:space="preserve">Calculation</t>
        </is>
      </c>
      <c r="B692">
        <f>IF('Model inputs'!B691="",0,'Model inputs'!B691)*'Model inputs'!AM93</f>
      </c>
    </row>
    <row r="693">
      <c r="A693" t="inlineStr" s="25">
        <is>
          <t xml:space="preserve">Calculation</t>
        </is>
      </c>
      <c r="B693">
        <f>(IF(IF(IF(ISERROR('POA — Monthly financial forecas'!W5&lt;=6),'POA — Monthly financial forecas'!W5&lt;=6,IF('POA — Monthly financial forecas'!W5="","",'POA — Monthly financial forecas'!W5&lt;=6))="",FALSE,IF(ISERROR('POA — Monthly financial forecas'!W5&lt;=6),'POA — Monthly financial forecas'!W5&lt;=6,IF('POA — Monthly financial forecas'!W5="","",'POA — Monthly financial forecas'!W5&lt;=6))),'Model inputs'!AM99+('Model inputs'!AM105-'Model inputs'!AM99)*('POA — Monthly financial forecas'!W5-0)/6,IF(IF(IF(ISERROR('POA — Monthly financial forecas'!W5&lt;=12),'POA — Monthly financial forecas'!W5&lt;=12,IF('POA — Monthly financial forecas'!W5="","",'POA — Monthly financial forecas'!W5&lt;=12))="",FALSE,IF(ISERROR('POA — Monthly financial forecas'!W5&lt;=12),'POA — Monthly financial forecas'!W5&lt;=12,IF('POA — Monthly financial forecas'!W5="","",'POA — Monthly financial forecas'!W5&lt;=12))),'Model inputs'!AM105+('Model inputs'!AM100-'Model inputs'!AM105)*('POA — Monthly financial forecas'!W5-6)/6,IF(IF(IF(ISERROR('POA — Monthly financial forecas'!W5&lt;=18),'POA — Monthly financial forecas'!W5&lt;=18,IF('POA — Monthly financial forecas'!W5="","",'POA — Monthly financial forecas'!W5&lt;=18))="",FALSE,IF(ISERROR('POA — Monthly financial forecas'!W5&lt;=18),'POA — Monthly financial forecas'!W5&lt;=18,IF('POA — Monthly financial forecas'!W5="","",'POA — Monthly financial forecas'!W5&lt;=18))),'Model inputs'!AM100+('Model inputs'!AM101-'Model inputs'!AM100)*('POA — Monthly financial forecas'!W5-12)/6,IF(IF(IF(ISERROR('POA — Monthly financial forecas'!W5&lt;=24),'POA — Monthly financial forecas'!W5&lt;=24,IF('POA — Monthly financial forecas'!W5="","",'POA — Monthly financial forecas'!W5&lt;=24))="",FALSE,IF(ISERROR('POA — Monthly financial forecas'!W5&lt;=24),'POA — Monthly financial forecas'!W5&lt;=24,IF('POA — Monthly financial forecas'!W5="","",'POA — Monthly financial forecas'!W5&lt;=24))),'Model inputs'!AM101+('Model inputs'!AM102-'Model inputs'!AM101)*('POA — Monthly financial forecas'!W5-18)/6,IF(IF(IF(ISERROR('POA — Monthly financial forecas'!W5&lt;=30),'POA — Monthly financial forecas'!W5&lt;=30,IF('POA — Monthly financial forecas'!W5="","",'POA — Monthly financial forecas'!W5&lt;=30))="",FALSE,IF(ISERROR('POA — Monthly financial forecas'!W5&lt;=30),'POA — Monthly financial forecas'!W5&lt;=30,IF('POA — Monthly financial forecas'!W5="","",'POA — Monthly financial forecas'!W5&lt;=30))),'Model inputs'!AM102+('Model inputs'!AM103-'Model inputs'!AM102)*('POA — Monthly financial forecas'!W5-24)/6,IF(IF(IF(ISERROR('POA — Monthly financial forecas'!W5&lt;=36),'POA — Monthly financial forecas'!W5&lt;=36,IF('POA — Monthly financial forecas'!W5="","",'POA — Monthly financial forecas'!W5&lt;=36))="",FALSE,IF(ISERROR('POA — Monthly financial forecas'!W5&lt;=36),'POA — Monthly financial forecas'!W5&lt;=36,IF('POA — Monthly financial forecas'!W5="","",'POA — Monthly financial forecas'!W5&lt;=36))),'Model inputs'!AM103+('Model inputs'!AM104-'Model inputs'!AM103)*('POA — Monthly financial forecas'!W5-30)/6,IF('Model inputs'!AM104="","",'Model inputs'!AM104))))))))</f>
      </c>
    </row>
    <row r="694">
      <c r="A694" t="inlineStr" s="25">
        <is>
          <t xml:space="preserve">Calculation</t>
        </is>
      </c>
      <c r="B694">
        <f>IF('Model inputs'!B693="",0,'Model inputs'!B693)*'Model inputs'!AM93</f>
      </c>
    </row>
    <row r="695">
      <c r="A695" t="inlineStr" s="25">
        <is>
          <t xml:space="preserve">Calculation</t>
        </is>
      </c>
      <c r="B695">
        <f>(IF(IF(IF(ISERROR('POA — Monthly financial forecas'!X5&lt;=6),'POA — Monthly financial forecas'!X5&lt;=6,IF('POA — Monthly financial forecas'!X5="","",'POA — Monthly financial forecas'!X5&lt;=6))="",FALSE,IF(ISERROR('POA — Monthly financial forecas'!X5&lt;=6),'POA — Monthly financial forecas'!X5&lt;=6,IF('POA — Monthly financial forecas'!X5="","",'POA — Monthly financial forecas'!X5&lt;=6))),'Model inputs'!AM99+('Model inputs'!AM105-'Model inputs'!AM99)*('POA — Monthly financial forecas'!X5-0)/6,IF(IF(IF(ISERROR('POA — Monthly financial forecas'!X5&lt;=12),'POA — Monthly financial forecas'!X5&lt;=12,IF('POA — Monthly financial forecas'!X5="","",'POA — Monthly financial forecas'!X5&lt;=12))="",FALSE,IF(ISERROR('POA — Monthly financial forecas'!X5&lt;=12),'POA — Monthly financial forecas'!X5&lt;=12,IF('POA — Monthly financial forecas'!X5="","",'POA — Monthly financial forecas'!X5&lt;=12))),'Model inputs'!AM105+('Model inputs'!AM100-'Model inputs'!AM105)*('POA — Monthly financial forecas'!X5-6)/6,IF(IF(IF(ISERROR('POA — Monthly financial forecas'!X5&lt;=18),'POA — Monthly financial forecas'!X5&lt;=18,IF('POA — Monthly financial forecas'!X5="","",'POA — Monthly financial forecas'!X5&lt;=18))="",FALSE,IF(ISERROR('POA — Monthly financial forecas'!X5&lt;=18),'POA — Monthly financial forecas'!X5&lt;=18,IF('POA — Monthly financial forecas'!X5="","",'POA — Monthly financial forecas'!X5&lt;=18))),'Model inputs'!AM100+('Model inputs'!AM101-'Model inputs'!AM100)*('POA — Monthly financial forecas'!X5-12)/6,IF(IF(IF(ISERROR('POA — Monthly financial forecas'!X5&lt;=24),'POA — Monthly financial forecas'!X5&lt;=24,IF('POA — Monthly financial forecas'!X5="","",'POA — Monthly financial forecas'!X5&lt;=24))="",FALSE,IF(ISERROR('POA — Monthly financial forecas'!X5&lt;=24),'POA — Monthly financial forecas'!X5&lt;=24,IF('POA — Monthly financial forecas'!X5="","",'POA — Monthly financial forecas'!X5&lt;=24))),'Model inputs'!AM101+('Model inputs'!AM102-'Model inputs'!AM101)*('POA — Monthly financial forecas'!X5-18)/6,IF(IF(IF(ISERROR('POA — Monthly financial forecas'!X5&lt;=30),'POA — Monthly financial forecas'!X5&lt;=30,IF('POA — Monthly financial forecas'!X5="","",'POA — Monthly financial forecas'!X5&lt;=30))="",FALSE,IF(ISERROR('POA — Monthly financial forecas'!X5&lt;=30),'POA — Monthly financial forecas'!X5&lt;=30,IF('POA — Monthly financial forecas'!X5="","",'POA — Monthly financial forecas'!X5&lt;=30))),'Model inputs'!AM102+('Model inputs'!AM103-'Model inputs'!AM102)*('POA — Monthly financial forecas'!X5-24)/6,IF(IF(IF(ISERROR('POA — Monthly financial forecas'!X5&lt;=36),'POA — Monthly financial forecas'!X5&lt;=36,IF('POA — Monthly financial forecas'!X5="","",'POA — Monthly financial forecas'!X5&lt;=36))="",FALSE,IF(ISERROR('POA — Monthly financial forecas'!X5&lt;=36),'POA — Monthly financial forecas'!X5&lt;=36,IF('POA — Monthly financial forecas'!X5="","",'POA — Monthly financial forecas'!X5&lt;=36))),'Model inputs'!AM103+('Model inputs'!AM104-'Model inputs'!AM103)*('POA — Monthly financial forecas'!X5-30)/6,IF('Model inputs'!AM104="","",'Model inputs'!AM104))))))))</f>
      </c>
    </row>
    <row r="696">
      <c r="A696" t="inlineStr" s="25">
        <is>
          <t xml:space="preserve">Calculation</t>
        </is>
      </c>
      <c r="B696">
        <f>IF('Model inputs'!B695="",0,'Model inputs'!B695)*'Model inputs'!AM93</f>
      </c>
    </row>
    <row r="697">
      <c r="A697" t="inlineStr" s="25">
        <is>
          <t xml:space="preserve">Calculation</t>
        </is>
      </c>
      <c r="B697">
        <f>(IF(IF(IF(ISERROR('POA — Monthly financial forecas'!Y5&lt;=6),'POA — Monthly financial forecas'!Y5&lt;=6,IF('POA — Monthly financial forecas'!Y5="","",'POA — Monthly financial forecas'!Y5&lt;=6))="",FALSE,IF(ISERROR('POA — Monthly financial forecas'!Y5&lt;=6),'POA — Monthly financial forecas'!Y5&lt;=6,IF('POA — Monthly financial forecas'!Y5="","",'POA — Monthly financial forecas'!Y5&lt;=6))),'Model inputs'!AM99+('Model inputs'!AM105-'Model inputs'!AM99)*('POA — Monthly financial forecas'!Y5-0)/6,IF(IF(IF(ISERROR('POA — Monthly financial forecas'!Y5&lt;=12),'POA — Monthly financial forecas'!Y5&lt;=12,IF('POA — Monthly financial forecas'!Y5="","",'POA — Monthly financial forecas'!Y5&lt;=12))="",FALSE,IF(ISERROR('POA — Monthly financial forecas'!Y5&lt;=12),'POA — Monthly financial forecas'!Y5&lt;=12,IF('POA — Monthly financial forecas'!Y5="","",'POA — Monthly financial forecas'!Y5&lt;=12))),'Model inputs'!AM105+('Model inputs'!AM100-'Model inputs'!AM105)*('POA — Monthly financial forecas'!Y5-6)/6,IF(IF(IF(ISERROR('POA — Monthly financial forecas'!Y5&lt;=18),'POA — Monthly financial forecas'!Y5&lt;=18,IF('POA — Monthly financial forecas'!Y5="","",'POA — Monthly financial forecas'!Y5&lt;=18))="",FALSE,IF(ISERROR('POA — Monthly financial forecas'!Y5&lt;=18),'POA — Monthly financial forecas'!Y5&lt;=18,IF('POA — Monthly financial forecas'!Y5="","",'POA — Monthly financial forecas'!Y5&lt;=18))),'Model inputs'!AM100+('Model inputs'!AM101-'Model inputs'!AM100)*('POA — Monthly financial forecas'!Y5-12)/6,IF(IF(IF(ISERROR('POA — Monthly financial forecas'!Y5&lt;=24),'POA — Monthly financial forecas'!Y5&lt;=24,IF('POA — Monthly financial forecas'!Y5="","",'POA — Monthly financial forecas'!Y5&lt;=24))="",FALSE,IF(ISERROR('POA — Monthly financial forecas'!Y5&lt;=24),'POA — Monthly financial forecas'!Y5&lt;=24,IF('POA — Monthly financial forecas'!Y5="","",'POA — Monthly financial forecas'!Y5&lt;=24))),'Model inputs'!AM101+('Model inputs'!AM102-'Model inputs'!AM101)*('POA — Monthly financial forecas'!Y5-18)/6,IF(IF(IF(ISERROR('POA — Monthly financial forecas'!Y5&lt;=30),'POA — Monthly financial forecas'!Y5&lt;=30,IF('POA — Monthly financial forecas'!Y5="","",'POA — Monthly financial forecas'!Y5&lt;=30))="",FALSE,IF(ISERROR('POA — Monthly financial forecas'!Y5&lt;=30),'POA — Monthly financial forecas'!Y5&lt;=30,IF('POA — Monthly financial forecas'!Y5="","",'POA — Monthly financial forecas'!Y5&lt;=30))),'Model inputs'!AM102+('Model inputs'!AM103-'Model inputs'!AM102)*('POA — Monthly financial forecas'!Y5-24)/6,IF(IF(IF(ISERROR('POA — Monthly financial forecas'!Y5&lt;=36),'POA — Monthly financial forecas'!Y5&lt;=36,IF('POA — Monthly financial forecas'!Y5="","",'POA — Monthly financial forecas'!Y5&lt;=36))="",FALSE,IF(ISERROR('POA — Monthly financial forecas'!Y5&lt;=36),'POA — Monthly financial forecas'!Y5&lt;=36,IF('POA — Monthly financial forecas'!Y5="","",'POA — Monthly financial forecas'!Y5&lt;=36))),'Model inputs'!AM103+('Model inputs'!AM104-'Model inputs'!AM103)*('POA — Monthly financial forecas'!Y5-30)/6,IF('Model inputs'!AM104="","",'Model inputs'!AM104))))))))</f>
      </c>
    </row>
    <row r="698">
      <c r="A698" t="inlineStr" s="25">
        <is>
          <t xml:space="preserve">Calculation</t>
        </is>
      </c>
      <c r="B698">
        <f>IF('Model inputs'!B697="",0,'Model inputs'!B697)*'Model inputs'!AM93</f>
      </c>
    </row>
    <row r="699">
      <c r="A699" t="inlineStr" s="25">
        <is>
          <t xml:space="preserve">Calculation</t>
        </is>
      </c>
      <c r="B699">
        <f>(IF(IF(IF(ISERROR('POA — Monthly financial forecas'!Z5&lt;=6),'POA — Monthly financial forecas'!Z5&lt;=6,IF('POA — Monthly financial forecas'!Z5="","",'POA — Monthly financial forecas'!Z5&lt;=6))="",FALSE,IF(ISERROR('POA — Monthly financial forecas'!Z5&lt;=6),'POA — Monthly financial forecas'!Z5&lt;=6,IF('POA — Monthly financial forecas'!Z5="","",'POA — Monthly financial forecas'!Z5&lt;=6))),'Model inputs'!AM99+('Model inputs'!AM105-'Model inputs'!AM99)*('POA — Monthly financial forecas'!Z5-0)/6,IF(IF(IF(ISERROR('POA — Monthly financial forecas'!Z5&lt;=12),'POA — Monthly financial forecas'!Z5&lt;=12,IF('POA — Monthly financial forecas'!Z5="","",'POA — Monthly financial forecas'!Z5&lt;=12))="",FALSE,IF(ISERROR('POA — Monthly financial forecas'!Z5&lt;=12),'POA — Monthly financial forecas'!Z5&lt;=12,IF('POA — Monthly financial forecas'!Z5="","",'POA — Monthly financial forecas'!Z5&lt;=12))),'Model inputs'!AM105+('Model inputs'!AM100-'Model inputs'!AM105)*('POA — Monthly financial forecas'!Z5-6)/6,IF(IF(IF(ISERROR('POA — Monthly financial forecas'!Z5&lt;=18),'POA — Monthly financial forecas'!Z5&lt;=18,IF('POA — Monthly financial forecas'!Z5="","",'POA — Monthly financial forecas'!Z5&lt;=18))="",FALSE,IF(ISERROR('POA — Monthly financial forecas'!Z5&lt;=18),'POA — Monthly financial forecas'!Z5&lt;=18,IF('POA — Monthly financial forecas'!Z5="","",'POA — Monthly financial forecas'!Z5&lt;=18))),'Model inputs'!AM100+('Model inputs'!AM101-'Model inputs'!AM100)*('POA — Monthly financial forecas'!Z5-12)/6,IF(IF(IF(ISERROR('POA — Monthly financial forecas'!Z5&lt;=24),'POA — Monthly financial forecas'!Z5&lt;=24,IF('POA — Monthly financial forecas'!Z5="","",'POA — Monthly financial forecas'!Z5&lt;=24))="",FALSE,IF(ISERROR('POA — Monthly financial forecas'!Z5&lt;=24),'POA — Monthly financial forecas'!Z5&lt;=24,IF('POA — Monthly financial forecas'!Z5="","",'POA — Monthly financial forecas'!Z5&lt;=24))),'Model inputs'!AM101+('Model inputs'!AM102-'Model inputs'!AM101)*('POA — Monthly financial forecas'!Z5-18)/6,IF(IF(IF(ISERROR('POA — Monthly financial forecas'!Z5&lt;=30),'POA — Monthly financial forecas'!Z5&lt;=30,IF('POA — Monthly financial forecas'!Z5="","",'POA — Monthly financial forecas'!Z5&lt;=30))="",FALSE,IF(ISERROR('POA — Monthly financial forecas'!Z5&lt;=30),'POA — Monthly financial forecas'!Z5&lt;=30,IF('POA — Monthly financial forecas'!Z5="","",'POA — Monthly financial forecas'!Z5&lt;=30))),'Model inputs'!AM102+('Model inputs'!AM103-'Model inputs'!AM102)*('POA — Monthly financial forecas'!Z5-24)/6,IF(IF(IF(ISERROR('POA — Monthly financial forecas'!Z5&lt;=36),'POA — Monthly financial forecas'!Z5&lt;=36,IF('POA — Monthly financial forecas'!Z5="","",'POA — Monthly financial forecas'!Z5&lt;=36))="",FALSE,IF(ISERROR('POA — Monthly financial forecas'!Z5&lt;=36),'POA — Monthly financial forecas'!Z5&lt;=36,IF('POA — Monthly financial forecas'!Z5="","",'POA — Monthly financial forecas'!Z5&lt;=36))),'Model inputs'!AM103+('Model inputs'!AM104-'Model inputs'!AM103)*('POA — Monthly financial forecas'!Z5-30)/6,IF('Model inputs'!AM104="","",'Model inputs'!AM104))))))))</f>
      </c>
    </row>
    <row r="700">
      <c r="A700" t="inlineStr" s="25">
        <is>
          <t xml:space="preserve">Calculation</t>
        </is>
      </c>
      <c r="B700">
        <f>IF('Model inputs'!B699="",0,'Model inputs'!B699)*'Model inputs'!AM93</f>
      </c>
    </row>
    <row r="701">
      <c r="A701" t="inlineStr" s="25">
        <is>
          <t xml:space="preserve">Calculation</t>
        </is>
      </c>
      <c r="B701">
        <f>(IF(IF(IF(ISERROR('POA — Monthly financial forecas'!AA5&lt;=6),'POA — Monthly financial forecas'!AA5&lt;=6,IF('POA — Monthly financial forecas'!AA5="","",'POA — Monthly financial forecas'!AA5&lt;=6))="",FALSE,IF(ISERROR('POA — Monthly financial forecas'!AA5&lt;=6),'POA — Monthly financial forecas'!AA5&lt;=6,IF('POA — Monthly financial forecas'!AA5="","",'POA — Monthly financial forecas'!AA5&lt;=6))),'Model inputs'!AM99+('Model inputs'!AM105-'Model inputs'!AM99)*('POA — Monthly financial forecas'!AA5-0)/6,IF(IF(IF(ISERROR('POA — Monthly financial forecas'!AA5&lt;=12),'POA — Monthly financial forecas'!AA5&lt;=12,IF('POA — Monthly financial forecas'!AA5="","",'POA — Monthly financial forecas'!AA5&lt;=12))="",FALSE,IF(ISERROR('POA — Monthly financial forecas'!AA5&lt;=12),'POA — Monthly financial forecas'!AA5&lt;=12,IF('POA — Monthly financial forecas'!AA5="","",'POA — Monthly financial forecas'!AA5&lt;=12))),'Model inputs'!AM105+('Model inputs'!AM100-'Model inputs'!AM105)*('POA — Monthly financial forecas'!AA5-6)/6,IF(IF(IF(ISERROR('POA — Monthly financial forecas'!AA5&lt;=18),'POA — Monthly financial forecas'!AA5&lt;=18,IF('POA — Monthly financial forecas'!AA5="","",'POA — Monthly financial forecas'!AA5&lt;=18))="",FALSE,IF(ISERROR('POA — Monthly financial forecas'!AA5&lt;=18),'POA — Monthly financial forecas'!AA5&lt;=18,IF('POA — Monthly financial forecas'!AA5="","",'POA — Monthly financial forecas'!AA5&lt;=18))),'Model inputs'!AM100+('Model inputs'!AM101-'Model inputs'!AM100)*('POA — Monthly financial forecas'!AA5-12)/6,IF(IF(IF(ISERROR('POA — Monthly financial forecas'!AA5&lt;=24),'POA — Monthly financial forecas'!AA5&lt;=24,IF('POA — Monthly financial forecas'!AA5="","",'POA — Monthly financial forecas'!AA5&lt;=24))="",FALSE,IF(ISERROR('POA — Monthly financial forecas'!AA5&lt;=24),'POA — Monthly financial forecas'!AA5&lt;=24,IF('POA — Monthly financial forecas'!AA5="","",'POA — Monthly financial forecas'!AA5&lt;=24))),'Model inputs'!AM101+('Model inputs'!AM102-'Model inputs'!AM101)*('POA — Monthly financial forecas'!AA5-18)/6,IF(IF(IF(ISERROR('POA — Monthly financial forecas'!AA5&lt;=30),'POA — Monthly financial forecas'!AA5&lt;=30,IF('POA — Monthly financial forecas'!AA5="","",'POA — Monthly financial forecas'!AA5&lt;=30))="",FALSE,IF(ISERROR('POA — Monthly financial forecas'!AA5&lt;=30),'POA — Monthly financial forecas'!AA5&lt;=30,IF('POA — Monthly financial forecas'!AA5="","",'POA — Monthly financial forecas'!AA5&lt;=30))),'Model inputs'!AM102+('Model inputs'!AM103-'Model inputs'!AM102)*('POA — Monthly financial forecas'!AA5-24)/6,IF(IF(IF(ISERROR('POA — Monthly financial forecas'!AA5&lt;=36),'POA — Monthly financial forecas'!AA5&lt;=36,IF('POA — Monthly financial forecas'!AA5="","",'POA — Monthly financial forecas'!AA5&lt;=36))="",FALSE,IF(ISERROR('POA — Monthly financial forecas'!AA5&lt;=36),'POA — Monthly financial forecas'!AA5&lt;=36,IF('POA — Monthly financial forecas'!AA5="","",'POA — Monthly financial forecas'!AA5&lt;=36))),'Model inputs'!AM103+('Model inputs'!AM104-'Model inputs'!AM103)*('POA — Monthly financial forecas'!AA5-30)/6,IF('Model inputs'!AM104="","",'Model inputs'!AM104))))))))</f>
      </c>
    </row>
    <row r="702">
      <c r="A702" t="inlineStr" s="25">
        <is>
          <t xml:space="preserve">Calculation</t>
        </is>
      </c>
      <c r="B702">
        <f>IF('Model inputs'!B701="",0,'Model inputs'!B701)*'Model inputs'!AM93</f>
      </c>
    </row>
    <row r="703">
      <c r="A703" t="inlineStr" s="25">
        <is>
          <t xml:space="preserve">Calculation</t>
        </is>
      </c>
      <c r="B703">
        <f>(IF(IF(IF(ISERROR('POA — Monthly financial forecas'!AB5&lt;=6),'POA — Monthly financial forecas'!AB5&lt;=6,IF('POA — Monthly financial forecas'!AB5="","",'POA — Monthly financial forecas'!AB5&lt;=6))="",FALSE,IF(ISERROR('POA — Monthly financial forecas'!AB5&lt;=6),'POA — Monthly financial forecas'!AB5&lt;=6,IF('POA — Monthly financial forecas'!AB5="","",'POA — Monthly financial forecas'!AB5&lt;=6))),'Model inputs'!AM99+('Model inputs'!AM105-'Model inputs'!AM99)*('POA — Monthly financial forecas'!AB5-0)/6,IF(IF(IF(ISERROR('POA — Monthly financial forecas'!AB5&lt;=12),'POA — Monthly financial forecas'!AB5&lt;=12,IF('POA — Monthly financial forecas'!AB5="","",'POA — Monthly financial forecas'!AB5&lt;=12))="",FALSE,IF(ISERROR('POA — Monthly financial forecas'!AB5&lt;=12),'POA — Monthly financial forecas'!AB5&lt;=12,IF('POA — Monthly financial forecas'!AB5="","",'POA — Monthly financial forecas'!AB5&lt;=12))),'Model inputs'!AM105+('Model inputs'!AM100-'Model inputs'!AM105)*('POA — Monthly financial forecas'!AB5-6)/6,IF(IF(IF(ISERROR('POA — Monthly financial forecas'!AB5&lt;=18),'POA — Monthly financial forecas'!AB5&lt;=18,IF('POA — Monthly financial forecas'!AB5="","",'POA — Monthly financial forecas'!AB5&lt;=18))="",FALSE,IF(ISERROR('POA — Monthly financial forecas'!AB5&lt;=18),'POA — Monthly financial forecas'!AB5&lt;=18,IF('POA — Monthly financial forecas'!AB5="","",'POA — Monthly financial forecas'!AB5&lt;=18))),'Model inputs'!AM100+('Model inputs'!AM101-'Model inputs'!AM100)*('POA — Monthly financial forecas'!AB5-12)/6,IF(IF(IF(ISERROR('POA — Monthly financial forecas'!AB5&lt;=24),'POA — Monthly financial forecas'!AB5&lt;=24,IF('POA — Monthly financial forecas'!AB5="","",'POA — Monthly financial forecas'!AB5&lt;=24))="",FALSE,IF(ISERROR('POA — Monthly financial forecas'!AB5&lt;=24),'POA — Monthly financial forecas'!AB5&lt;=24,IF('POA — Monthly financial forecas'!AB5="","",'POA — Monthly financial forecas'!AB5&lt;=24))),'Model inputs'!AM101+('Model inputs'!AM102-'Model inputs'!AM101)*('POA — Monthly financial forecas'!AB5-18)/6,IF(IF(IF(ISERROR('POA — Monthly financial forecas'!AB5&lt;=30),'POA — Monthly financial forecas'!AB5&lt;=30,IF('POA — Monthly financial forecas'!AB5="","",'POA — Monthly financial forecas'!AB5&lt;=30))="",FALSE,IF(ISERROR('POA — Monthly financial forecas'!AB5&lt;=30),'POA — Monthly financial forecas'!AB5&lt;=30,IF('POA — Monthly financial forecas'!AB5="","",'POA — Monthly financial forecas'!AB5&lt;=30))),'Model inputs'!AM102+('Model inputs'!AM103-'Model inputs'!AM102)*('POA — Monthly financial forecas'!AB5-24)/6,IF(IF(IF(ISERROR('POA — Monthly financial forecas'!AB5&lt;=36),'POA — Monthly financial forecas'!AB5&lt;=36,IF('POA — Monthly financial forecas'!AB5="","",'POA — Monthly financial forecas'!AB5&lt;=36))="",FALSE,IF(ISERROR('POA — Monthly financial forecas'!AB5&lt;=36),'POA — Monthly financial forecas'!AB5&lt;=36,IF('POA — Monthly financial forecas'!AB5="","",'POA — Monthly financial forecas'!AB5&lt;=36))),'Model inputs'!AM103+('Model inputs'!AM104-'Model inputs'!AM103)*('POA — Monthly financial forecas'!AB5-30)/6,IF('Model inputs'!AM104="","",'Model inputs'!AM104))))))))</f>
      </c>
    </row>
    <row r="704">
      <c r="A704" t="inlineStr" s="25">
        <is>
          <t xml:space="preserve">Calculation</t>
        </is>
      </c>
      <c r="B704">
        <f>IF('Model inputs'!B703="",0,'Model inputs'!B703)*'Model inputs'!AM93</f>
      </c>
    </row>
    <row r="705">
      <c r="A705" t="inlineStr" s="25">
        <is>
          <t xml:space="preserve">Calculation</t>
        </is>
      </c>
      <c r="B705">
        <f>(IF(IF(IF(ISERROR('POA — Monthly financial forecas'!AC5&lt;=6),'POA — Monthly financial forecas'!AC5&lt;=6,IF('POA — Monthly financial forecas'!AC5="","",'POA — Monthly financial forecas'!AC5&lt;=6))="",FALSE,IF(ISERROR('POA — Monthly financial forecas'!AC5&lt;=6),'POA — Monthly financial forecas'!AC5&lt;=6,IF('POA — Monthly financial forecas'!AC5="","",'POA — Monthly financial forecas'!AC5&lt;=6))),'Model inputs'!AM99+('Model inputs'!AM105-'Model inputs'!AM99)*('POA — Monthly financial forecas'!AC5-0)/6,IF(IF(IF(ISERROR('POA — Monthly financial forecas'!AC5&lt;=12),'POA — Monthly financial forecas'!AC5&lt;=12,IF('POA — Monthly financial forecas'!AC5="","",'POA — Monthly financial forecas'!AC5&lt;=12))="",FALSE,IF(ISERROR('POA — Monthly financial forecas'!AC5&lt;=12),'POA — Monthly financial forecas'!AC5&lt;=12,IF('POA — Monthly financial forecas'!AC5="","",'POA — Monthly financial forecas'!AC5&lt;=12))),'Model inputs'!AM105+('Model inputs'!AM100-'Model inputs'!AM105)*('POA — Monthly financial forecas'!AC5-6)/6,IF(IF(IF(ISERROR('POA — Monthly financial forecas'!AC5&lt;=18),'POA — Monthly financial forecas'!AC5&lt;=18,IF('POA — Monthly financial forecas'!AC5="","",'POA — Monthly financial forecas'!AC5&lt;=18))="",FALSE,IF(ISERROR('POA — Monthly financial forecas'!AC5&lt;=18),'POA — Monthly financial forecas'!AC5&lt;=18,IF('POA — Monthly financial forecas'!AC5="","",'POA — Monthly financial forecas'!AC5&lt;=18))),'Model inputs'!AM100+('Model inputs'!AM101-'Model inputs'!AM100)*('POA — Monthly financial forecas'!AC5-12)/6,IF(IF(IF(ISERROR('POA — Monthly financial forecas'!AC5&lt;=24),'POA — Monthly financial forecas'!AC5&lt;=24,IF('POA — Monthly financial forecas'!AC5="","",'POA — Monthly financial forecas'!AC5&lt;=24))="",FALSE,IF(ISERROR('POA — Monthly financial forecas'!AC5&lt;=24),'POA — Monthly financial forecas'!AC5&lt;=24,IF('POA — Monthly financial forecas'!AC5="","",'POA — Monthly financial forecas'!AC5&lt;=24))),'Model inputs'!AM101+('Model inputs'!AM102-'Model inputs'!AM101)*('POA — Monthly financial forecas'!AC5-18)/6,IF(IF(IF(ISERROR('POA — Monthly financial forecas'!AC5&lt;=30),'POA — Monthly financial forecas'!AC5&lt;=30,IF('POA — Monthly financial forecas'!AC5="","",'POA — Monthly financial forecas'!AC5&lt;=30))="",FALSE,IF(ISERROR('POA — Monthly financial forecas'!AC5&lt;=30),'POA — Monthly financial forecas'!AC5&lt;=30,IF('POA — Monthly financial forecas'!AC5="","",'POA — Monthly financial forecas'!AC5&lt;=30))),'Model inputs'!AM102+('Model inputs'!AM103-'Model inputs'!AM102)*('POA — Monthly financial forecas'!AC5-24)/6,IF(IF(IF(ISERROR('POA — Monthly financial forecas'!AC5&lt;=36),'POA — Monthly financial forecas'!AC5&lt;=36,IF('POA — Monthly financial forecas'!AC5="","",'POA — Monthly financial forecas'!AC5&lt;=36))="",FALSE,IF(ISERROR('POA — Monthly financial forecas'!AC5&lt;=36),'POA — Monthly financial forecas'!AC5&lt;=36,IF('POA — Monthly financial forecas'!AC5="","",'POA — Monthly financial forecas'!AC5&lt;=36))),'Model inputs'!AM103+('Model inputs'!AM104-'Model inputs'!AM103)*('POA — Monthly financial forecas'!AC5-30)/6,IF('Model inputs'!AM104="","",'Model inputs'!AM104))))))))</f>
      </c>
    </row>
    <row r="706">
      <c r="A706" t="inlineStr" s="25">
        <is>
          <t xml:space="preserve">Calculation</t>
        </is>
      </c>
      <c r="B706">
        <f>IF('Model inputs'!B705="",0,'Model inputs'!B705)*'Model inputs'!AM93</f>
      </c>
    </row>
    <row r="707">
      <c r="A707" t="inlineStr" s="25">
        <is>
          <t xml:space="preserve">Calculation</t>
        </is>
      </c>
      <c r="B707">
        <f>(IF(IF(IF(ISERROR('POA — Monthly financial forecas'!AD5&lt;=6),'POA — Monthly financial forecas'!AD5&lt;=6,IF('POA — Monthly financial forecas'!AD5="","",'POA — Monthly financial forecas'!AD5&lt;=6))="",FALSE,IF(ISERROR('POA — Monthly financial forecas'!AD5&lt;=6),'POA — Monthly financial forecas'!AD5&lt;=6,IF('POA — Monthly financial forecas'!AD5="","",'POA — Monthly financial forecas'!AD5&lt;=6))),'Model inputs'!AM99+('Model inputs'!AM105-'Model inputs'!AM99)*('POA — Monthly financial forecas'!AD5-0)/6,IF(IF(IF(ISERROR('POA — Monthly financial forecas'!AD5&lt;=12),'POA — Monthly financial forecas'!AD5&lt;=12,IF('POA — Monthly financial forecas'!AD5="","",'POA — Monthly financial forecas'!AD5&lt;=12))="",FALSE,IF(ISERROR('POA — Monthly financial forecas'!AD5&lt;=12),'POA — Monthly financial forecas'!AD5&lt;=12,IF('POA — Monthly financial forecas'!AD5="","",'POA — Monthly financial forecas'!AD5&lt;=12))),'Model inputs'!AM105+('Model inputs'!AM100-'Model inputs'!AM105)*('POA — Monthly financial forecas'!AD5-6)/6,IF(IF(IF(ISERROR('POA — Monthly financial forecas'!AD5&lt;=18),'POA — Monthly financial forecas'!AD5&lt;=18,IF('POA — Monthly financial forecas'!AD5="","",'POA — Monthly financial forecas'!AD5&lt;=18))="",FALSE,IF(ISERROR('POA — Monthly financial forecas'!AD5&lt;=18),'POA — Monthly financial forecas'!AD5&lt;=18,IF('POA — Monthly financial forecas'!AD5="","",'POA — Monthly financial forecas'!AD5&lt;=18))),'Model inputs'!AM100+('Model inputs'!AM101-'Model inputs'!AM100)*('POA — Monthly financial forecas'!AD5-12)/6,IF(IF(IF(ISERROR('POA — Monthly financial forecas'!AD5&lt;=24),'POA — Monthly financial forecas'!AD5&lt;=24,IF('POA — Monthly financial forecas'!AD5="","",'POA — Monthly financial forecas'!AD5&lt;=24))="",FALSE,IF(ISERROR('POA — Monthly financial forecas'!AD5&lt;=24),'POA — Monthly financial forecas'!AD5&lt;=24,IF('POA — Monthly financial forecas'!AD5="","",'POA — Monthly financial forecas'!AD5&lt;=24))),'Model inputs'!AM101+('Model inputs'!AM102-'Model inputs'!AM101)*('POA — Monthly financial forecas'!AD5-18)/6,IF(IF(IF(ISERROR('POA — Monthly financial forecas'!AD5&lt;=30),'POA — Monthly financial forecas'!AD5&lt;=30,IF('POA — Monthly financial forecas'!AD5="","",'POA — Monthly financial forecas'!AD5&lt;=30))="",FALSE,IF(ISERROR('POA — Monthly financial forecas'!AD5&lt;=30),'POA — Monthly financial forecas'!AD5&lt;=30,IF('POA — Monthly financial forecas'!AD5="","",'POA — Monthly financial forecas'!AD5&lt;=30))),'Model inputs'!AM102+('Model inputs'!AM103-'Model inputs'!AM102)*('POA — Monthly financial forecas'!AD5-24)/6,IF(IF(IF(ISERROR('POA — Monthly financial forecas'!AD5&lt;=36),'POA — Monthly financial forecas'!AD5&lt;=36,IF('POA — Monthly financial forecas'!AD5="","",'POA — Monthly financial forecas'!AD5&lt;=36))="",FALSE,IF(ISERROR('POA — Monthly financial forecas'!AD5&lt;=36),'POA — Monthly financial forecas'!AD5&lt;=36,IF('POA — Monthly financial forecas'!AD5="","",'POA — Monthly financial forecas'!AD5&lt;=36))),'Model inputs'!AM103+('Model inputs'!AM104-'Model inputs'!AM103)*('POA — Monthly financial forecas'!AD5-30)/6,IF('Model inputs'!AM104="","",'Model inputs'!AM104))))))))</f>
      </c>
    </row>
    <row r="708">
      <c r="A708" t="inlineStr" s="25">
        <is>
          <t xml:space="preserve">Calculation</t>
        </is>
      </c>
      <c r="B708">
        <f>IF('Model inputs'!B707="",0,'Model inputs'!B707)*'Model inputs'!AM93</f>
      </c>
    </row>
    <row r="709">
      <c r="A709" t="inlineStr" s="25">
        <is>
          <t xml:space="preserve">Calculation</t>
        </is>
      </c>
      <c r="B709">
        <f>(IF(IF(IF(ISERROR('POA — Monthly financial forecas'!AE5&lt;=6),'POA — Monthly financial forecas'!AE5&lt;=6,IF('POA — Monthly financial forecas'!AE5="","",'POA — Monthly financial forecas'!AE5&lt;=6))="",FALSE,IF(ISERROR('POA — Monthly financial forecas'!AE5&lt;=6),'POA — Monthly financial forecas'!AE5&lt;=6,IF('POA — Monthly financial forecas'!AE5="","",'POA — Monthly financial forecas'!AE5&lt;=6))),'Model inputs'!AM99+('Model inputs'!AM105-'Model inputs'!AM99)*('POA — Monthly financial forecas'!AE5-0)/6,IF(IF(IF(ISERROR('POA — Monthly financial forecas'!AE5&lt;=12),'POA — Monthly financial forecas'!AE5&lt;=12,IF('POA — Monthly financial forecas'!AE5="","",'POA — Monthly financial forecas'!AE5&lt;=12))="",FALSE,IF(ISERROR('POA — Monthly financial forecas'!AE5&lt;=12),'POA — Monthly financial forecas'!AE5&lt;=12,IF('POA — Monthly financial forecas'!AE5="","",'POA — Monthly financial forecas'!AE5&lt;=12))),'Model inputs'!AM105+('Model inputs'!AM100-'Model inputs'!AM105)*('POA — Monthly financial forecas'!AE5-6)/6,IF(IF(IF(ISERROR('POA — Monthly financial forecas'!AE5&lt;=18),'POA — Monthly financial forecas'!AE5&lt;=18,IF('POA — Monthly financial forecas'!AE5="","",'POA — Monthly financial forecas'!AE5&lt;=18))="",FALSE,IF(ISERROR('POA — Monthly financial forecas'!AE5&lt;=18),'POA — Monthly financial forecas'!AE5&lt;=18,IF('POA — Monthly financial forecas'!AE5="","",'POA — Monthly financial forecas'!AE5&lt;=18))),'Model inputs'!AM100+('Model inputs'!AM101-'Model inputs'!AM100)*('POA — Monthly financial forecas'!AE5-12)/6,IF(IF(IF(ISERROR('POA — Monthly financial forecas'!AE5&lt;=24),'POA — Monthly financial forecas'!AE5&lt;=24,IF('POA — Monthly financial forecas'!AE5="","",'POA — Monthly financial forecas'!AE5&lt;=24))="",FALSE,IF(ISERROR('POA — Monthly financial forecas'!AE5&lt;=24),'POA — Monthly financial forecas'!AE5&lt;=24,IF('POA — Monthly financial forecas'!AE5="","",'POA — Monthly financial forecas'!AE5&lt;=24))),'Model inputs'!AM101+('Model inputs'!AM102-'Model inputs'!AM101)*('POA — Monthly financial forecas'!AE5-18)/6,IF(IF(IF(ISERROR('POA — Monthly financial forecas'!AE5&lt;=30),'POA — Monthly financial forecas'!AE5&lt;=30,IF('POA — Monthly financial forecas'!AE5="","",'POA — Monthly financial forecas'!AE5&lt;=30))="",FALSE,IF(ISERROR('POA — Monthly financial forecas'!AE5&lt;=30),'POA — Monthly financial forecas'!AE5&lt;=30,IF('POA — Monthly financial forecas'!AE5="","",'POA — Monthly financial forecas'!AE5&lt;=30))),'Model inputs'!AM102+('Model inputs'!AM103-'Model inputs'!AM102)*('POA — Monthly financial forecas'!AE5-24)/6,IF(IF(IF(ISERROR('POA — Monthly financial forecas'!AE5&lt;=36),'POA — Monthly financial forecas'!AE5&lt;=36,IF('POA — Monthly financial forecas'!AE5="","",'POA — Monthly financial forecas'!AE5&lt;=36))="",FALSE,IF(ISERROR('POA — Monthly financial forecas'!AE5&lt;=36),'POA — Monthly financial forecas'!AE5&lt;=36,IF('POA — Monthly financial forecas'!AE5="","",'POA — Monthly financial forecas'!AE5&lt;=36))),'Model inputs'!AM103+('Model inputs'!AM104-'Model inputs'!AM103)*('POA — Monthly financial forecas'!AE5-30)/6,IF('Model inputs'!AM104="","",'Model inputs'!AM104))))))))</f>
      </c>
    </row>
    <row r="710">
      <c r="A710" t="inlineStr" s="25">
        <is>
          <t xml:space="preserve">Calculation</t>
        </is>
      </c>
      <c r="B710">
        <f>IF('Model inputs'!B709="",0,'Model inputs'!B709)*'Model inputs'!AM93</f>
      </c>
    </row>
    <row r="711">
      <c r="A711" t="inlineStr" s="25">
        <is>
          <t xml:space="preserve">Calculation</t>
        </is>
      </c>
      <c r="B711">
        <f>(IF(IF(IF(ISERROR('POA — Monthly financial forecas'!AF5&lt;=6),'POA — Monthly financial forecas'!AF5&lt;=6,IF('POA — Monthly financial forecas'!AF5="","",'POA — Monthly financial forecas'!AF5&lt;=6))="",FALSE,IF(ISERROR('POA — Monthly financial forecas'!AF5&lt;=6),'POA — Monthly financial forecas'!AF5&lt;=6,IF('POA — Monthly financial forecas'!AF5="","",'POA — Monthly financial forecas'!AF5&lt;=6))),'Model inputs'!AM99+('Model inputs'!AM105-'Model inputs'!AM99)*('POA — Monthly financial forecas'!AF5-0)/6,IF(IF(IF(ISERROR('POA — Monthly financial forecas'!AF5&lt;=12),'POA — Monthly financial forecas'!AF5&lt;=12,IF('POA — Monthly financial forecas'!AF5="","",'POA — Monthly financial forecas'!AF5&lt;=12))="",FALSE,IF(ISERROR('POA — Monthly financial forecas'!AF5&lt;=12),'POA — Monthly financial forecas'!AF5&lt;=12,IF('POA — Monthly financial forecas'!AF5="","",'POA — Monthly financial forecas'!AF5&lt;=12))),'Model inputs'!AM105+('Model inputs'!AM100-'Model inputs'!AM105)*('POA — Monthly financial forecas'!AF5-6)/6,IF(IF(IF(ISERROR('POA — Monthly financial forecas'!AF5&lt;=18),'POA — Monthly financial forecas'!AF5&lt;=18,IF('POA — Monthly financial forecas'!AF5="","",'POA — Monthly financial forecas'!AF5&lt;=18))="",FALSE,IF(ISERROR('POA — Monthly financial forecas'!AF5&lt;=18),'POA — Monthly financial forecas'!AF5&lt;=18,IF('POA — Monthly financial forecas'!AF5="","",'POA — Monthly financial forecas'!AF5&lt;=18))),'Model inputs'!AM100+('Model inputs'!AM101-'Model inputs'!AM100)*('POA — Monthly financial forecas'!AF5-12)/6,IF(IF(IF(ISERROR('POA — Monthly financial forecas'!AF5&lt;=24),'POA — Monthly financial forecas'!AF5&lt;=24,IF('POA — Monthly financial forecas'!AF5="","",'POA — Monthly financial forecas'!AF5&lt;=24))="",FALSE,IF(ISERROR('POA — Monthly financial forecas'!AF5&lt;=24),'POA — Monthly financial forecas'!AF5&lt;=24,IF('POA — Monthly financial forecas'!AF5="","",'POA — Monthly financial forecas'!AF5&lt;=24))),'Model inputs'!AM101+('Model inputs'!AM102-'Model inputs'!AM101)*('POA — Monthly financial forecas'!AF5-18)/6,IF(IF(IF(ISERROR('POA — Monthly financial forecas'!AF5&lt;=30),'POA — Monthly financial forecas'!AF5&lt;=30,IF('POA — Monthly financial forecas'!AF5="","",'POA — Monthly financial forecas'!AF5&lt;=30))="",FALSE,IF(ISERROR('POA — Monthly financial forecas'!AF5&lt;=30),'POA — Monthly financial forecas'!AF5&lt;=30,IF('POA — Monthly financial forecas'!AF5="","",'POA — Monthly financial forecas'!AF5&lt;=30))),'Model inputs'!AM102+('Model inputs'!AM103-'Model inputs'!AM102)*('POA — Monthly financial forecas'!AF5-24)/6,IF(IF(IF(ISERROR('POA — Monthly financial forecas'!AF5&lt;=36),'POA — Monthly financial forecas'!AF5&lt;=36,IF('POA — Monthly financial forecas'!AF5="","",'POA — Monthly financial forecas'!AF5&lt;=36))="",FALSE,IF(ISERROR('POA — Monthly financial forecas'!AF5&lt;=36),'POA — Monthly financial forecas'!AF5&lt;=36,IF('POA — Monthly financial forecas'!AF5="","",'POA — Monthly financial forecas'!AF5&lt;=36))),'Model inputs'!AM103+('Model inputs'!AM104-'Model inputs'!AM103)*('POA — Monthly financial forecas'!AF5-30)/6,IF('Model inputs'!AM104="","",'Model inputs'!AM104))))))))</f>
      </c>
    </row>
    <row r="712">
      <c r="A712" t="inlineStr" s="25">
        <is>
          <t xml:space="preserve">Calculation</t>
        </is>
      </c>
      <c r="B712">
        <f>IF('Model inputs'!B711="",0,'Model inputs'!B711)*'Model inputs'!AM93</f>
      </c>
    </row>
    <row r="713">
      <c r="A713" t="inlineStr" s="25">
        <is>
          <t xml:space="preserve">Calculation</t>
        </is>
      </c>
      <c r="B713">
        <f>(IF(IF(IF(ISERROR('POA — Monthly financial forecas'!AG5&lt;=6),'POA — Monthly financial forecas'!AG5&lt;=6,IF('POA — Monthly financial forecas'!AG5="","",'POA — Monthly financial forecas'!AG5&lt;=6))="",FALSE,IF(ISERROR('POA — Monthly financial forecas'!AG5&lt;=6),'POA — Monthly financial forecas'!AG5&lt;=6,IF('POA — Monthly financial forecas'!AG5="","",'POA — Monthly financial forecas'!AG5&lt;=6))),'Model inputs'!AM99+('Model inputs'!AM105-'Model inputs'!AM99)*('POA — Monthly financial forecas'!AG5-0)/6,IF(IF(IF(ISERROR('POA — Monthly financial forecas'!AG5&lt;=12),'POA — Monthly financial forecas'!AG5&lt;=12,IF('POA — Monthly financial forecas'!AG5="","",'POA — Monthly financial forecas'!AG5&lt;=12))="",FALSE,IF(ISERROR('POA — Monthly financial forecas'!AG5&lt;=12),'POA — Monthly financial forecas'!AG5&lt;=12,IF('POA — Monthly financial forecas'!AG5="","",'POA — Monthly financial forecas'!AG5&lt;=12))),'Model inputs'!AM105+('Model inputs'!AM100-'Model inputs'!AM105)*('POA — Monthly financial forecas'!AG5-6)/6,IF(IF(IF(ISERROR('POA — Monthly financial forecas'!AG5&lt;=18),'POA — Monthly financial forecas'!AG5&lt;=18,IF('POA — Monthly financial forecas'!AG5="","",'POA — Monthly financial forecas'!AG5&lt;=18))="",FALSE,IF(ISERROR('POA — Monthly financial forecas'!AG5&lt;=18),'POA — Monthly financial forecas'!AG5&lt;=18,IF('POA — Monthly financial forecas'!AG5="","",'POA — Monthly financial forecas'!AG5&lt;=18))),'Model inputs'!AM100+('Model inputs'!AM101-'Model inputs'!AM100)*('POA — Monthly financial forecas'!AG5-12)/6,IF(IF(IF(ISERROR('POA — Monthly financial forecas'!AG5&lt;=24),'POA — Monthly financial forecas'!AG5&lt;=24,IF('POA — Monthly financial forecas'!AG5="","",'POA — Monthly financial forecas'!AG5&lt;=24))="",FALSE,IF(ISERROR('POA — Monthly financial forecas'!AG5&lt;=24),'POA — Monthly financial forecas'!AG5&lt;=24,IF('POA — Monthly financial forecas'!AG5="","",'POA — Monthly financial forecas'!AG5&lt;=24))),'Model inputs'!AM101+('Model inputs'!AM102-'Model inputs'!AM101)*('POA — Monthly financial forecas'!AG5-18)/6,IF(IF(IF(ISERROR('POA — Monthly financial forecas'!AG5&lt;=30),'POA — Monthly financial forecas'!AG5&lt;=30,IF('POA — Monthly financial forecas'!AG5="","",'POA — Monthly financial forecas'!AG5&lt;=30))="",FALSE,IF(ISERROR('POA — Monthly financial forecas'!AG5&lt;=30),'POA — Monthly financial forecas'!AG5&lt;=30,IF('POA — Monthly financial forecas'!AG5="","",'POA — Monthly financial forecas'!AG5&lt;=30))),'Model inputs'!AM102+('Model inputs'!AM103-'Model inputs'!AM102)*('POA — Monthly financial forecas'!AG5-24)/6,IF(IF(IF(ISERROR('POA — Monthly financial forecas'!AG5&lt;=36),'POA — Monthly financial forecas'!AG5&lt;=36,IF('POA — Monthly financial forecas'!AG5="","",'POA — Monthly financial forecas'!AG5&lt;=36))="",FALSE,IF(ISERROR('POA — Monthly financial forecas'!AG5&lt;=36),'POA — Monthly financial forecas'!AG5&lt;=36,IF('POA — Monthly financial forecas'!AG5="","",'POA — Monthly financial forecas'!AG5&lt;=36))),'Model inputs'!AM103+('Model inputs'!AM104-'Model inputs'!AM103)*('POA — Monthly financial forecas'!AG5-30)/6,IF('Model inputs'!AM104="","",'Model inputs'!AM104))))))))</f>
      </c>
    </row>
    <row r="714">
      <c r="A714" t="inlineStr" s="25">
        <is>
          <t xml:space="preserve">Calculation</t>
        </is>
      </c>
      <c r="B714">
        <f>IF('Model inputs'!B713="",0,'Model inputs'!B713)*'Model inputs'!AM93</f>
      </c>
    </row>
    <row r="715">
      <c r="A715" t="inlineStr" s="25">
        <is>
          <t xml:space="preserve">Calculation</t>
        </is>
      </c>
      <c r="B715">
        <f>(IF(IF(IF(ISERROR('POA — Monthly financial forecas'!AH5&lt;=6),'POA — Monthly financial forecas'!AH5&lt;=6,IF('POA — Monthly financial forecas'!AH5="","",'POA — Monthly financial forecas'!AH5&lt;=6))="",FALSE,IF(ISERROR('POA — Monthly financial forecas'!AH5&lt;=6),'POA — Monthly financial forecas'!AH5&lt;=6,IF('POA — Monthly financial forecas'!AH5="","",'POA — Monthly financial forecas'!AH5&lt;=6))),'Model inputs'!AM99+('Model inputs'!AM105-'Model inputs'!AM99)*('POA — Monthly financial forecas'!AH5-0)/6,IF(IF(IF(ISERROR('POA — Monthly financial forecas'!AH5&lt;=12),'POA — Monthly financial forecas'!AH5&lt;=12,IF('POA — Monthly financial forecas'!AH5="","",'POA — Monthly financial forecas'!AH5&lt;=12))="",FALSE,IF(ISERROR('POA — Monthly financial forecas'!AH5&lt;=12),'POA — Monthly financial forecas'!AH5&lt;=12,IF('POA — Monthly financial forecas'!AH5="","",'POA — Monthly financial forecas'!AH5&lt;=12))),'Model inputs'!AM105+('Model inputs'!AM100-'Model inputs'!AM105)*('POA — Monthly financial forecas'!AH5-6)/6,IF(IF(IF(ISERROR('POA — Monthly financial forecas'!AH5&lt;=18),'POA — Monthly financial forecas'!AH5&lt;=18,IF('POA — Monthly financial forecas'!AH5="","",'POA — Monthly financial forecas'!AH5&lt;=18))="",FALSE,IF(ISERROR('POA — Monthly financial forecas'!AH5&lt;=18),'POA — Monthly financial forecas'!AH5&lt;=18,IF('POA — Monthly financial forecas'!AH5="","",'POA — Monthly financial forecas'!AH5&lt;=18))),'Model inputs'!AM100+('Model inputs'!AM101-'Model inputs'!AM100)*('POA — Monthly financial forecas'!AH5-12)/6,IF(IF(IF(ISERROR('POA — Monthly financial forecas'!AH5&lt;=24),'POA — Monthly financial forecas'!AH5&lt;=24,IF('POA — Monthly financial forecas'!AH5="","",'POA — Monthly financial forecas'!AH5&lt;=24))="",FALSE,IF(ISERROR('POA — Monthly financial forecas'!AH5&lt;=24),'POA — Monthly financial forecas'!AH5&lt;=24,IF('POA — Monthly financial forecas'!AH5="","",'POA — Monthly financial forecas'!AH5&lt;=24))),'Model inputs'!AM101+('Model inputs'!AM102-'Model inputs'!AM101)*('POA — Monthly financial forecas'!AH5-18)/6,IF(IF(IF(ISERROR('POA — Monthly financial forecas'!AH5&lt;=30),'POA — Monthly financial forecas'!AH5&lt;=30,IF('POA — Monthly financial forecas'!AH5="","",'POA — Monthly financial forecas'!AH5&lt;=30))="",FALSE,IF(ISERROR('POA — Monthly financial forecas'!AH5&lt;=30),'POA — Monthly financial forecas'!AH5&lt;=30,IF('POA — Monthly financial forecas'!AH5="","",'POA — Monthly financial forecas'!AH5&lt;=30))),'Model inputs'!AM102+('Model inputs'!AM103-'Model inputs'!AM102)*('POA — Monthly financial forecas'!AH5-24)/6,IF(IF(IF(ISERROR('POA — Monthly financial forecas'!AH5&lt;=36),'POA — Monthly financial forecas'!AH5&lt;=36,IF('POA — Monthly financial forecas'!AH5="","",'POA — Monthly financial forecas'!AH5&lt;=36))="",FALSE,IF(ISERROR('POA — Monthly financial forecas'!AH5&lt;=36),'POA — Monthly financial forecas'!AH5&lt;=36,IF('POA — Monthly financial forecas'!AH5="","",'POA — Monthly financial forecas'!AH5&lt;=36))),'Model inputs'!AM103+('Model inputs'!AM104-'Model inputs'!AM103)*('POA — Monthly financial forecas'!AH5-30)/6,IF('Model inputs'!AM104="","",'Model inputs'!AM104))))))))</f>
      </c>
    </row>
    <row r="716">
      <c r="A716" t="inlineStr" s="25">
        <is>
          <t xml:space="preserve">Calculation</t>
        </is>
      </c>
      <c r="B716">
        <f>IF('Model inputs'!B715="",0,'Model inputs'!B715)*'Model inputs'!AM93</f>
      </c>
    </row>
    <row r="717">
      <c r="A717" t="inlineStr" s="25">
        <is>
          <t xml:space="preserve">Calculation</t>
        </is>
      </c>
      <c r="B717">
        <f>(IF(IF(IF(ISERROR('POA — Monthly financial forecas'!AI5&lt;=6),'POA — Monthly financial forecas'!AI5&lt;=6,IF('POA — Monthly financial forecas'!AI5="","",'POA — Monthly financial forecas'!AI5&lt;=6))="",FALSE,IF(ISERROR('POA — Monthly financial forecas'!AI5&lt;=6),'POA — Monthly financial forecas'!AI5&lt;=6,IF('POA — Monthly financial forecas'!AI5="","",'POA — Monthly financial forecas'!AI5&lt;=6))),'Model inputs'!AM99+('Model inputs'!AM105-'Model inputs'!AM99)*('POA — Monthly financial forecas'!AI5-0)/6,IF(IF(IF(ISERROR('POA — Monthly financial forecas'!AI5&lt;=12),'POA — Monthly financial forecas'!AI5&lt;=12,IF('POA — Monthly financial forecas'!AI5="","",'POA — Monthly financial forecas'!AI5&lt;=12))="",FALSE,IF(ISERROR('POA — Monthly financial forecas'!AI5&lt;=12),'POA — Monthly financial forecas'!AI5&lt;=12,IF('POA — Monthly financial forecas'!AI5="","",'POA — Monthly financial forecas'!AI5&lt;=12))),'Model inputs'!AM105+('Model inputs'!AM100-'Model inputs'!AM105)*('POA — Monthly financial forecas'!AI5-6)/6,IF(IF(IF(ISERROR('POA — Monthly financial forecas'!AI5&lt;=18),'POA — Monthly financial forecas'!AI5&lt;=18,IF('POA — Monthly financial forecas'!AI5="","",'POA — Monthly financial forecas'!AI5&lt;=18))="",FALSE,IF(ISERROR('POA — Monthly financial forecas'!AI5&lt;=18),'POA — Monthly financial forecas'!AI5&lt;=18,IF('POA — Monthly financial forecas'!AI5="","",'POA — Monthly financial forecas'!AI5&lt;=18))),'Model inputs'!AM100+('Model inputs'!AM101-'Model inputs'!AM100)*('POA — Monthly financial forecas'!AI5-12)/6,IF(IF(IF(ISERROR('POA — Monthly financial forecas'!AI5&lt;=24),'POA — Monthly financial forecas'!AI5&lt;=24,IF('POA — Monthly financial forecas'!AI5="","",'POA — Monthly financial forecas'!AI5&lt;=24))="",FALSE,IF(ISERROR('POA — Monthly financial forecas'!AI5&lt;=24),'POA — Monthly financial forecas'!AI5&lt;=24,IF('POA — Monthly financial forecas'!AI5="","",'POA — Monthly financial forecas'!AI5&lt;=24))),'Model inputs'!AM101+('Model inputs'!AM102-'Model inputs'!AM101)*('POA — Monthly financial forecas'!AI5-18)/6,IF(IF(IF(ISERROR('POA — Monthly financial forecas'!AI5&lt;=30),'POA — Monthly financial forecas'!AI5&lt;=30,IF('POA — Monthly financial forecas'!AI5="","",'POA — Monthly financial forecas'!AI5&lt;=30))="",FALSE,IF(ISERROR('POA — Monthly financial forecas'!AI5&lt;=30),'POA — Monthly financial forecas'!AI5&lt;=30,IF('POA — Monthly financial forecas'!AI5="","",'POA — Monthly financial forecas'!AI5&lt;=30))),'Model inputs'!AM102+('Model inputs'!AM103-'Model inputs'!AM102)*('POA — Monthly financial forecas'!AI5-24)/6,IF(IF(IF(ISERROR('POA — Monthly financial forecas'!AI5&lt;=36),'POA — Monthly financial forecas'!AI5&lt;=36,IF('POA — Monthly financial forecas'!AI5="","",'POA — Monthly financial forecas'!AI5&lt;=36))="",FALSE,IF(ISERROR('POA — Monthly financial forecas'!AI5&lt;=36),'POA — Monthly financial forecas'!AI5&lt;=36,IF('POA — Monthly financial forecas'!AI5="","",'POA — Monthly financial forecas'!AI5&lt;=36))),'Model inputs'!AM103+('Model inputs'!AM104-'Model inputs'!AM103)*('POA — Monthly financial forecas'!AI5-30)/6,IF('Model inputs'!AM104="","",'Model inputs'!AM104))))))))</f>
      </c>
    </row>
    <row r="718">
      <c r="A718" t="inlineStr" s="25">
        <is>
          <t xml:space="preserve">Calculation</t>
        </is>
      </c>
      <c r="B718">
        <f>IF('Model inputs'!B717="",0,'Model inputs'!B717)*'Model inputs'!AM93</f>
      </c>
    </row>
    <row r="719">
      <c r="A719" t="inlineStr" s="25">
        <is>
          <t xml:space="preserve">Calculation</t>
        </is>
      </c>
      <c r="B719">
        <f>(IF(IF(IF(ISERROR('POA — Monthly financial forecas'!AJ5&lt;=6),'POA — Monthly financial forecas'!AJ5&lt;=6,IF('POA — Monthly financial forecas'!AJ5="","",'POA — Monthly financial forecas'!AJ5&lt;=6))="",FALSE,IF(ISERROR('POA — Monthly financial forecas'!AJ5&lt;=6),'POA — Monthly financial forecas'!AJ5&lt;=6,IF('POA — Monthly financial forecas'!AJ5="","",'POA — Monthly financial forecas'!AJ5&lt;=6))),'Model inputs'!AM99+('Model inputs'!AM105-'Model inputs'!AM99)*('POA — Monthly financial forecas'!AJ5-0)/6,IF(IF(IF(ISERROR('POA — Monthly financial forecas'!AJ5&lt;=12),'POA — Monthly financial forecas'!AJ5&lt;=12,IF('POA — Monthly financial forecas'!AJ5="","",'POA — Monthly financial forecas'!AJ5&lt;=12))="",FALSE,IF(ISERROR('POA — Monthly financial forecas'!AJ5&lt;=12),'POA — Monthly financial forecas'!AJ5&lt;=12,IF('POA — Monthly financial forecas'!AJ5="","",'POA — Monthly financial forecas'!AJ5&lt;=12))),'Model inputs'!AM105+('Model inputs'!AM100-'Model inputs'!AM105)*('POA — Monthly financial forecas'!AJ5-6)/6,IF(IF(IF(ISERROR('POA — Monthly financial forecas'!AJ5&lt;=18),'POA — Monthly financial forecas'!AJ5&lt;=18,IF('POA — Monthly financial forecas'!AJ5="","",'POA — Monthly financial forecas'!AJ5&lt;=18))="",FALSE,IF(ISERROR('POA — Monthly financial forecas'!AJ5&lt;=18),'POA — Monthly financial forecas'!AJ5&lt;=18,IF('POA — Monthly financial forecas'!AJ5="","",'POA — Monthly financial forecas'!AJ5&lt;=18))),'Model inputs'!AM100+('Model inputs'!AM101-'Model inputs'!AM100)*('POA — Monthly financial forecas'!AJ5-12)/6,IF(IF(IF(ISERROR('POA — Monthly financial forecas'!AJ5&lt;=24),'POA — Monthly financial forecas'!AJ5&lt;=24,IF('POA — Monthly financial forecas'!AJ5="","",'POA — Monthly financial forecas'!AJ5&lt;=24))="",FALSE,IF(ISERROR('POA — Monthly financial forecas'!AJ5&lt;=24),'POA — Monthly financial forecas'!AJ5&lt;=24,IF('POA — Monthly financial forecas'!AJ5="","",'POA — Monthly financial forecas'!AJ5&lt;=24))),'Model inputs'!AM101+('Model inputs'!AM102-'Model inputs'!AM101)*('POA — Monthly financial forecas'!AJ5-18)/6,IF(IF(IF(ISERROR('POA — Monthly financial forecas'!AJ5&lt;=30),'POA — Monthly financial forecas'!AJ5&lt;=30,IF('POA — Monthly financial forecas'!AJ5="","",'POA — Monthly financial forecas'!AJ5&lt;=30))="",FALSE,IF(ISERROR('POA — Monthly financial forecas'!AJ5&lt;=30),'POA — Monthly financial forecas'!AJ5&lt;=30,IF('POA — Monthly financial forecas'!AJ5="","",'POA — Monthly financial forecas'!AJ5&lt;=30))),'Model inputs'!AM102+('Model inputs'!AM103-'Model inputs'!AM102)*('POA — Monthly financial forecas'!AJ5-24)/6,IF(IF(IF(ISERROR('POA — Monthly financial forecas'!AJ5&lt;=36),'POA — Monthly financial forecas'!AJ5&lt;=36,IF('POA — Monthly financial forecas'!AJ5="","",'POA — Monthly financial forecas'!AJ5&lt;=36))="",FALSE,IF(ISERROR('POA — Monthly financial forecas'!AJ5&lt;=36),'POA — Monthly financial forecas'!AJ5&lt;=36,IF('POA — Monthly financial forecas'!AJ5="","",'POA — Monthly financial forecas'!AJ5&lt;=36))),'Model inputs'!AM103+('Model inputs'!AM104-'Model inputs'!AM103)*('POA — Monthly financial forecas'!AJ5-30)/6,IF('Model inputs'!AM104="","",'Model inputs'!AM104))))))))</f>
      </c>
    </row>
    <row r="720">
      <c r="A720" t="inlineStr" s="25">
        <is>
          <t xml:space="preserve">Calculation</t>
        </is>
      </c>
      <c r="B720">
        <f>IF('Model inputs'!B719="",0,'Model inputs'!B719)*'Model inputs'!AM93</f>
      </c>
    </row>
    <row r="721">
      <c r="A721" t="inlineStr" s="25">
        <is>
          <t xml:space="preserve">Calculation</t>
        </is>
      </c>
      <c r="B721">
        <f>(IF(IF(IF(ISERROR('POA — Monthly financial forecas'!AK5&lt;=6),'POA — Monthly financial forecas'!AK5&lt;=6,IF('POA — Monthly financial forecas'!AK5="","",'POA — Monthly financial forecas'!AK5&lt;=6))="",FALSE,IF(ISERROR('POA — Monthly financial forecas'!AK5&lt;=6),'POA — Monthly financial forecas'!AK5&lt;=6,IF('POA — Monthly financial forecas'!AK5="","",'POA — Monthly financial forecas'!AK5&lt;=6))),'Model inputs'!AM99+('Model inputs'!AM105-'Model inputs'!AM99)*('POA — Monthly financial forecas'!AK5-0)/6,IF(IF(IF(ISERROR('POA — Monthly financial forecas'!AK5&lt;=12),'POA — Monthly financial forecas'!AK5&lt;=12,IF('POA — Monthly financial forecas'!AK5="","",'POA — Monthly financial forecas'!AK5&lt;=12))="",FALSE,IF(ISERROR('POA — Monthly financial forecas'!AK5&lt;=12),'POA — Monthly financial forecas'!AK5&lt;=12,IF('POA — Monthly financial forecas'!AK5="","",'POA — Monthly financial forecas'!AK5&lt;=12))),'Model inputs'!AM105+('Model inputs'!AM100-'Model inputs'!AM105)*('POA — Monthly financial forecas'!AK5-6)/6,IF(IF(IF(ISERROR('POA — Monthly financial forecas'!AK5&lt;=18),'POA — Monthly financial forecas'!AK5&lt;=18,IF('POA — Monthly financial forecas'!AK5="","",'POA — Monthly financial forecas'!AK5&lt;=18))="",FALSE,IF(ISERROR('POA — Monthly financial forecas'!AK5&lt;=18),'POA — Monthly financial forecas'!AK5&lt;=18,IF('POA — Monthly financial forecas'!AK5="","",'POA — Monthly financial forecas'!AK5&lt;=18))),'Model inputs'!AM100+('Model inputs'!AM101-'Model inputs'!AM100)*('POA — Monthly financial forecas'!AK5-12)/6,IF(IF(IF(ISERROR('POA — Monthly financial forecas'!AK5&lt;=24),'POA — Monthly financial forecas'!AK5&lt;=24,IF('POA — Monthly financial forecas'!AK5="","",'POA — Monthly financial forecas'!AK5&lt;=24))="",FALSE,IF(ISERROR('POA — Monthly financial forecas'!AK5&lt;=24),'POA — Monthly financial forecas'!AK5&lt;=24,IF('POA — Monthly financial forecas'!AK5="","",'POA — Monthly financial forecas'!AK5&lt;=24))),'Model inputs'!AM101+('Model inputs'!AM102-'Model inputs'!AM101)*('POA — Monthly financial forecas'!AK5-18)/6,IF(IF(IF(ISERROR('POA — Monthly financial forecas'!AK5&lt;=30),'POA — Monthly financial forecas'!AK5&lt;=30,IF('POA — Monthly financial forecas'!AK5="","",'POA — Monthly financial forecas'!AK5&lt;=30))="",FALSE,IF(ISERROR('POA — Monthly financial forecas'!AK5&lt;=30),'POA — Monthly financial forecas'!AK5&lt;=30,IF('POA — Monthly financial forecas'!AK5="","",'POA — Monthly financial forecas'!AK5&lt;=30))),'Model inputs'!AM102+('Model inputs'!AM103-'Model inputs'!AM102)*('POA — Monthly financial forecas'!AK5-24)/6,IF(IF(IF(ISERROR('POA — Monthly financial forecas'!AK5&lt;=36),'POA — Monthly financial forecas'!AK5&lt;=36,IF('POA — Monthly financial forecas'!AK5="","",'POA — Monthly financial forecas'!AK5&lt;=36))="",FALSE,IF(ISERROR('POA — Monthly financial forecas'!AK5&lt;=36),'POA — Monthly financial forecas'!AK5&lt;=36,IF('POA — Monthly financial forecas'!AK5="","",'POA — Monthly financial forecas'!AK5&lt;=36))),'Model inputs'!AM103+('Model inputs'!AM104-'Model inputs'!AM103)*('POA — Monthly financial forecas'!AK5-30)/6,IF('Model inputs'!AM104="","",'Model inputs'!AM104))))))))</f>
      </c>
    </row>
    <row r="722">
      <c r="A722" t="inlineStr" s="25">
        <is>
          <t xml:space="preserve">Calculation</t>
        </is>
      </c>
      <c r="B722">
        <f>IF('Model inputs'!B721="",0,'Model inputs'!B721)*'Model inputs'!AM93</f>
      </c>
    </row>
    <row r="723">
      <c r="A723" t="inlineStr" s="25">
        <is>
          <t xml:space="preserve">Calculation</t>
        </is>
      </c>
      <c r="B723">
        <f>(IF(IF(IF(ISERROR('POA — Monthly financial forecas'!B5&lt;=6),'POA — Monthly financial forecas'!B5&lt;=6,IF('POA — Monthly financial forecas'!B5="","",'POA — Monthly financial forecas'!B5&lt;=6))="",FALSE,IF(ISERROR('POA — Monthly financial forecas'!B5&lt;=6),'POA — Monthly financial forecas'!B5&lt;=6,IF('POA — Monthly financial forecas'!B5="","",'POA — Monthly financial forecas'!B5&lt;=6))),'Model inputs'!AM20+('Model inputs'!AM26-'Model inputs'!AM20)*('POA — Monthly financial forecas'!B5-0)/6,IF(IF(IF(ISERROR('POA — Monthly financial forecas'!B5&lt;=12),'POA — Monthly financial forecas'!B5&lt;=12,IF('POA — Monthly financial forecas'!B5="","",'POA — Monthly financial forecas'!B5&lt;=12))="",FALSE,IF(ISERROR('POA — Monthly financial forecas'!B5&lt;=12),'POA — Monthly financial forecas'!B5&lt;=12,IF('POA — Monthly financial forecas'!B5="","",'POA — Monthly financial forecas'!B5&lt;=12))),'Model inputs'!AM26+('Model inputs'!AM21-'Model inputs'!AM26)*('POA — Monthly financial forecas'!B5-6)/6,IF(IF(IF(ISERROR('POA — Monthly financial forecas'!B5&lt;=18),'POA — Monthly financial forecas'!B5&lt;=18,IF('POA — Monthly financial forecas'!B5="","",'POA — Monthly financial forecas'!B5&lt;=18))="",FALSE,IF(ISERROR('POA — Monthly financial forecas'!B5&lt;=18),'POA — Monthly financial forecas'!B5&lt;=18,IF('POA — Monthly financial forecas'!B5="","",'POA — Monthly financial forecas'!B5&lt;=18))),'Model inputs'!AM21+('Model inputs'!AM22-'Model inputs'!AM21)*('POA — Monthly financial forecas'!B5-12)/6,IF(IF(IF(ISERROR('POA — Monthly financial forecas'!B5&lt;=24),'POA — Monthly financial forecas'!B5&lt;=24,IF('POA — Monthly financial forecas'!B5="","",'POA — Monthly financial forecas'!B5&lt;=24))="",FALSE,IF(ISERROR('POA — Monthly financial forecas'!B5&lt;=24),'POA — Monthly financial forecas'!B5&lt;=24,IF('POA — Monthly financial forecas'!B5="","",'POA — Monthly financial forecas'!B5&lt;=24))),'Model inputs'!AM22+('Model inputs'!AM23-'Model inputs'!AM22)*('POA — Monthly financial forecas'!B5-18)/6,IF(IF(IF(ISERROR('POA — Monthly financial forecas'!B5&lt;=30),'POA — Monthly financial forecas'!B5&lt;=30,IF('POA — Monthly financial forecas'!B5="","",'POA — Monthly financial forecas'!B5&lt;=30))="",FALSE,IF(ISERROR('POA — Monthly financial forecas'!B5&lt;=30),'POA — Monthly financial forecas'!B5&lt;=30,IF('POA — Monthly financial forecas'!B5="","",'POA — Monthly financial forecas'!B5&lt;=30))),'Model inputs'!AM23+('Model inputs'!AM24-'Model inputs'!AM23)*('POA — Monthly financial forecas'!B5-24)/6,IF(IF(IF(ISERROR('POA — Monthly financial forecas'!B5&lt;=36),'POA — Monthly financial forecas'!B5&lt;=36,IF('POA — Monthly financial forecas'!B5="","",'POA — Monthly financial forecas'!B5&lt;=36))="",FALSE,IF(ISERROR('POA — Monthly financial forecas'!B5&lt;=36),'POA — Monthly financial forecas'!B5&lt;=36,IF('POA — Monthly financial forecas'!B5="","",'POA — Monthly financial forecas'!B5&lt;=36))),'Model inputs'!AM24+('Model inputs'!AM25-'Model inputs'!AM24)*('POA — Monthly financial forecas'!B5-30)/6,IF('Model inputs'!AM25="","",'Model inputs'!AM25))))))))</f>
      </c>
    </row>
    <row r="724">
      <c r="A724" t="inlineStr" s="25">
        <is>
          <t xml:space="preserve">Calculation</t>
        </is>
      </c>
      <c r="B724">
        <f>(IF(IF(IF(ISERROR('POA — Monthly financial forecas'!C5&lt;=6),'POA — Monthly financial forecas'!C5&lt;=6,IF('POA — Monthly financial forecas'!C5="","",'POA — Monthly financial forecas'!C5&lt;=6))="",FALSE,IF(ISERROR('POA — Monthly financial forecas'!C5&lt;=6),'POA — Monthly financial forecas'!C5&lt;=6,IF('POA — Monthly financial forecas'!C5="","",'POA — Monthly financial forecas'!C5&lt;=6))),'Model inputs'!AM20+('Model inputs'!AM26-'Model inputs'!AM20)*('POA — Monthly financial forecas'!C5-0)/6,IF(IF(IF(ISERROR('POA — Monthly financial forecas'!C5&lt;=12),'POA — Monthly financial forecas'!C5&lt;=12,IF('POA — Monthly financial forecas'!C5="","",'POA — Monthly financial forecas'!C5&lt;=12))="",FALSE,IF(ISERROR('POA — Monthly financial forecas'!C5&lt;=12),'POA — Monthly financial forecas'!C5&lt;=12,IF('POA — Monthly financial forecas'!C5="","",'POA — Monthly financial forecas'!C5&lt;=12))),'Model inputs'!AM26+('Model inputs'!AM21-'Model inputs'!AM26)*('POA — Monthly financial forecas'!C5-6)/6,IF(IF(IF(ISERROR('POA — Monthly financial forecas'!C5&lt;=18),'POA — Monthly financial forecas'!C5&lt;=18,IF('POA — Monthly financial forecas'!C5="","",'POA — Monthly financial forecas'!C5&lt;=18))="",FALSE,IF(ISERROR('POA — Monthly financial forecas'!C5&lt;=18),'POA — Monthly financial forecas'!C5&lt;=18,IF('POA — Monthly financial forecas'!C5="","",'POA — Monthly financial forecas'!C5&lt;=18))),'Model inputs'!AM21+('Model inputs'!AM22-'Model inputs'!AM21)*('POA — Monthly financial forecas'!C5-12)/6,IF(IF(IF(ISERROR('POA — Monthly financial forecas'!C5&lt;=24),'POA — Monthly financial forecas'!C5&lt;=24,IF('POA — Monthly financial forecas'!C5="","",'POA — Monthly financial forecas'!C5&lt;=24))="",FALSE,IF(ISERROR('POA — Monthly financial forecas'!C5&lt;=24),'POA — Monthly financial forecas'!C5&lt;=24,IF('POA — Monthly financial forecas'!C5="","",'POA — Monthly financial forecas'!C5&lt;=24))),'Model inputs'!AM22+('Model inputs'!AM23-'Model inputs'!AM22)*('POA — Monthly financial forecas'!C5-18)/6,IF(IF(IF(ISERROR('POA — Monthly financial forecas'!C5&lt;=30),'POA — Monthly financial forecas'!C5&lt;=30,IF('POA — Monthly financial forecas'!C5="","",'POA — Monthly financial forecas'!C5&lt;=30))="",FALSE,IF(ISERROR('POA — Monthly financial forecas'!C5&lt;=30),'POA — Monthly financial forecas'!C5&lt;=30,IF('POA — Monthly financial forecas'!C5="","",'POA — Monthly financial forecas'!C5&lt;=30))),'Model inputs'!AM23+('Model inputs'!AM24-'Model inputs'!AM23)*('POA — Monthly financial forecas'!C5-24)/6,IF(IF(IF(ISERROR('POA — Monthly financial forecas'!C5&lt;=36),'POA — Monthly financial forecas'!C5&lt;=36,IF('POA — Monthly financial forecas'!C5="","",'POA — Monthly financial forecas'!C5&lt;=36))="",FALSE,IF(ISERROR('POA — Monthly financial forecas'!C5&lt;=36),'POA — Monthly financial forecas'!C5&lt;=36,IF('POA — Monthly financial forecas'!C5="","",'POA — Monthly financial forecas'!C5&lt;=36))),'Model inputs'!AM24+('Model inputs'!AM25-'Model inputs'!AM24)*('POA — Monthly financial forecas'!C5-30)/6,IF('Model inputs'!AM25="","",'Model inputs'!AM25))))))))</f>
      </c>
    </row>
    <row r="725">
      <c r="A725" t="inlineStr" s="25">
        <is>
          <t xml:space="preserve">Calculation</t>
        </is>
      </c>
      <c r="B725">
        <f>(IF(IF(IF(ISERROR('POA — Monthly financial forecas'!D5&lt;=6),'POA — Monthly financial forecas'!D5&lt;=6,IF('POA — Monthly financial forecas'!D5="","",'POA — Monthly financial forecas'!D5&lt;=6))="",FALSE,IF(ISERROR('POA — Monthly financial forecas'!D5&lt;=6),'POA — Monthly financial forecas'!D5&lt;=6,IF('POA — Monthly financial forecas'!D5="","",'POA — Monthly financial forecas'!D5&lt;=6))),'Model inputs'!AM20+('Model inputs'!AM26-'Model inputs'!AM20)*('POA — Monthly financial forecas'!D5-0)/6,IF(IF(IF(ISERROR('POA — Monthly financial forecas'!D5&lt;=12),'POA — Monthly financial forecas'!D5&lt;=12,IF('POA — Monthly financial forecas'!D5="","",'POA — Monthly financial forecas'!D5&lt;=12))="",FALSE,IF(ISERROR('POA — Monthly financial forecas'!D5&lt;=12),'POA — Monthly financial forecas'!D5&lt;=12,IF('POA — Monthly financial forecas'!D5="","",'POA — Monthly financial forecas'!D5&lt;=12))),'Model inputs'!AM26+('Model inputs'!AM21-'Model inputs'!AM26)*('POA — Monthly financial forecas'!D5-6)/6,IF(IF(IF(ISERROR('POA — Monthly financial forecas'!D5&lt;=18),'POA — Monthly financial forecas'!D5&lt;=18,IF('POA — Monthly financial forecas'!D5="","",'POA — Monthly financial forecas'!D5&lt;=18))="",FALSE,IF(ISERROR('POA — Monthly financial forecas'!D5&lt;=18),'POA — Monthly financial forecas'!D5&lt;=18,IF('POA — Monthly financial forecas'!D5="","",'POA — Monthly financial forecas'!D5&lt;=18))),'Model inputs'!AM21+('Model inputs'!AM22-'Model inputs'!AM21)*('POA — Monthly financial forecas'!D5-12)/6,IF(IF(IF(ISERROR('POA — Monthly financial forecas'!D5&lt;=24),'POA — Monthly financial forecas'!D5&lt;=24,IF('POA — Monthly financial forecas'!D5="","",'POA — Monthly financial forecas'!D5&lt;=24))="",FALSE,IF(ISERROR('POA — Monthly financial forecas'!D5&lt;=24),'POA — Monthly financial forecas'!D5&lt;=24,IF('POA — Monthly financial forecas'!D5="","",'POA — Monthly financial forecas'!D5&lt;=24))),'Model inputs'!AM22+('Model inputs'!AM23-'Model inputs'!AM22)*('POA — Monthly financial forecas'!D5-18)/6,IF(IF(IF(ISERROR('POA — Monthly financial forecas'!D5&lt;=30),'POA — Monthly financial forecas'!D5&lt;=30,IF('POA — Monthly financial forecas'!D5="","",'POA — Monthly financial forecas'!D5&lt;=30))="",FALSE,IF(ISERROR('POA — Monthly financial forecas'!D5&lt;=30),'POA — Monthly financial forecas'!D5&lt;=30,IF('POA — Monthly financial forecas'!D5="","",'POA — Monthly financial forecas'!D5&lt;=30))),'Model inputs'!AM23+('Model inputs'!AM24-'Model inputs'!AM23)*('POA — Monthly financial forecas'!D5-24)/6,IF(IF(IF(ISERROR('POA — Monthly financial forecas'!D5&lt;=36),'POA — Monthly financial forecas'!D5&lt;=36,IF('POA — Monthly financial forecas'!D5="","",'POA — Monthly financial forecas'!D5&lt;=36))="",FALSE,IF(ISERROR('POA — Monthly financial forecas'!D5&lt;=36),'POA — Monthly financial forecas'!D5&lt;=36,IF('POA — Monthly financial forecas'!D5="","",'POA — Monthly financial forecas'!D5&lt;=36))),'Model inputs'!AM24+('Model inputs'!AM25-'Model inputs'!AM24)*('POA — Monthly financial forecas'!D5-30)/6,IF('Model inputs'!AM25="","",'Model inputs'!AM25))))))))</f>
      </c>
    </row>
    <row r="726">
      <c r="A726" t="inlineStr" s="25">
        <is>
          <t xml:space="preserve">Calculation</t>
        </is>
      </c>
      <c r="B726">
        <f>(IF(IF(IF(ISERROR('POA — Monthly financial forecas'!E5&lt;=6),'POA — Monthly financial forecas'!E5&lt;=6,IF('POA — Monthly financial forecas'!E5="","",'POA — Monthly financial forecas'!E5&lt;=6))="",FALSE,IF(ISERROR('POA — Monthly financial forecas'!E5&lt;=6),'POA — Monthly financial forecas'!E5&lt;=6,IF('POA — Monthly financial forecas'!E5="","",'POA — Monthly financial forecas'!E5&lt;=6))),'Model inputs'!AM20+('Model inputs'!AM26-'Model inputs'!AM20)*('POA — Monthly financial forecas'!E5-0)/6,IF(IF(IF(ISERROR('POA — Monthly financial forecas'!E5&lt;=12),'POA — Monthly financial forecas'!E5&lt;=12,IF('POA — Monthly financial forecas'!E5="","",'POA — Monthly financial forecas'!E5&lt;=12))="",FALSE,IF(ISERROR('POA — Monthly financial forecas'!E5&lt;=12),'POA — Monthly financial forecas'!E5&lt;=12,IF('POA — Monthly financial forecas'!E5="","",'POA — Monthly financial forecas'!E5&lt;=12))),'Model inputs'!AM26+('Model inputs'!AM21-'Model inputs'!AM26)*('POA — Monthly financial forecas'!E5-6)/6,IF(IF(IF(ISERROR('POA — Monthly financial forecas'!E5&lt;=18),'POA — Monthly financial forecas'!E5&lt;=18,IF('POA — Monthly financial forecas'!E5="","",'POA — Monthly financial forecas'!E5&lt;=18))="",FALSE,IF(ISERROR('POA — Monthly financial forecas'!E5&lt;=18),'POA — Monthly financial forecas'!E5&lt;=18,IF('POA — Monthly financial forecas'!E5="","",'POA — Monthly financial forecas'!E5&lt;=18))),'Model inputs'!AM21+('Model inputs'!AM22-'Model inputs'!AM21)*('POA — Monthly financial forecas'!E5-12)/6,IF(IF(IF(ISERROR('POA — Monthly financial forecas'!E5&lt;=24),'POA — Monthly financial forecas'!E5&lt;=24,IF('POA — Monthly financial forecas'!E5="","",'POA — Monthly financial forecas'!E5&lt;=24))="",FALSE,IF(ISERROR('POA — Monthly financial forecas'!E5&lt;=24),'POA — Monthly financial forecas'!E5&lt;=24,IF('POA — Monthly financial forecas'!E5="","",'POA — Monthly financial forecas'!E5&lt;=24))),'Model inputs'!AM22+('Model inputs'!AM23-'Model inputs'!AM22)*('POA — Monthly financial forecas'!E5-18)/6,IF(IF(IF(ISERROR('POA — Monthly financial forecas'!E5&lt;=30),'POA — Monthly financial forecas'!E5&lt;=30,IF('POA — Monthly financial forecas'!E5="","",'POA — Monthly financial forecas'!E5&lt;=30))="",FALSE,IF(ISERROR('POA — Monthly financial forecas'!E5&lt;=30),'POA — Monthly financial forecas'!E5&lt;=30,IF('POA — Monthly financial forecas'!E5="","",'POA — Monthly financial forecas'!E5&lt;=30))),'Model inputs'!AM23+('Model inputs'!AM24-'Model inputs'!AM23)*('POA — Monthly financial forecas'!E5-24)/6,IF(IF(IF(ISERROR('POA — Monthly financial forecas'!E5&lt;=36),'POA — Monthly financial forecas'!E5&lt;=36,IF('POA — Monthly financial forecas'!E5="","",'POA — Monthly financial forecas'!E5&lt;=36))="",FALSE,IF(ISERROR('POA — Monthly financial forecas'!E5&lt;=36),'POA — Monthly financial forecas'!E5&lt;=36,IF('POA — Monthly financial forecas'!E5="","",'POA — Monthly financial forecas'!E5&lt;=36))),'Model inputs'!AM24+('Model inputs'!AM25-'Model inputs'!AM24)*('POA — Monthly financial forecas'!E5-30)/6,IF('Model inputs'!AM25="","",'Model inputs'!AM25))))))))</f>
      </c>
    </row>
    <row r="727">
      <c r="A727" t="inlineStr" s="25">
        <is>
          <t xml:space="preserve">Calculation</t>
        </is>
      </c>
      <c r="B727">
        <f>(IF(IF(IF(ISERROR('POA — Monthly financial forecas'!F5&lt;=6),'POA — Monthly financial forecas'!F5&lt;=6,IF('POA — Monthly financial forecas'!F5="","",'POA — Monthly financial forecas'!F5&lt;=6))="",FALSE,IF(ISERROR('POA — Monthly financial forecas'!F5&lt;=6),'POA — Monthly financial forecas'!F5&lt;=6,IF('POA — Monthly financial forecas'!F5="","",'POA — Monthly financial forecas'!F5&lt;=6))),'Model inputs'!AM20+('Model inputs'!AM26-'Model inputs'!AM20)*('POA — Monthly financial forecas'!F5-0)/6,IF(IF(IF(ISERROR('POA — Monthly financial forecas'!F5&lt;=12),'POA — Monthly financial forecas'!F5&lt;=12,IF('POA — Monthly financial forecas'!F5="","",'POA — Monthly financial forecas'!F5&lt;=12))="",FALSE,IF(ISERROR('POA — Monthly financial forecas'!F5&lt;=12),'POA — Monthly financial forecas'!F5&lt;=12,IF('POA — Monthly financial forecas'!F5="","",'POA — Monthly financial forecas'!F5&lt;=12))),'Model inputs'!AM26+('Model inputs'!AM21-'Model inputs'!AM26)*('POA — Monthly financial forecas'!F5-6)/6,IF(IF(IF(ISERROR('POA — Monthly financial forecas'!F5&lt;=18),'POA — Monthly financial forecas'!F5&lt;=18,IF('POA — Monthly financial forecas'!F5="","",'POA — Monthly financial forecas'!F5&lt;=18))="",FALSE,IF(ISERROR('POA — Monthly financial forecas'!F5&lt;=18),'POA — Monthly financial forecas'!F5&lt;=18,IF('POA — Monthly financial forecas'!F5="","",'POA — Monthly financial forecas'!F5&lt;=18))),'Model inputs'!AM21+('Model inputs'!AM22-'Model inputs'!AM21)*('POA — Monthly financial forecas'!F5-12)/6,IF(IF(IF(ISERROR('POA — Monthly financial forecas'!F5&lt;=24),'POA — Monthly financial forecas'!F5&lt;=24,IF('POA — Monthly financial forecas'!F5="","",'POA — Monthly financial forecas'!F5&lt;=24))="",FALSE,IF(ISERROR('POA — Monthly financial forecas'!F5&lt;=24),'POA — Monthly financial forecas'!F5&lt;=24,IF('POA — Monthly financial forecas'!F5="","",'POA — Monthly financial forecas'!F5&lt;=24))),'Model inputs'!AM22+('Model inputs'!AM23-'Model inputs'!AM22)*('POA — Monthly financial forecas'!F5-18)/6,IF(IF(IF(ISERROR('POA — Monthly financial forecas'!F5&lt;=30),'POA — Monthly financial forecas'!F5&lt;=30,IF('POA — Monthly financial forecas'!F5="","",'POA — Monthly financial forecas'!F5&lt;=30))="",FALSE,IF(ISERROR('POA — Monthly financial forecas'!F5&lt;=30),'POA — Monthly financial forecas'!F5&lt;=30,IF('POA — Monthly financial forecas'!F5="","",'POA — Monthly financial forecas'!F5&lt;=30))),'Model inputs'!AM23+('Model inputs'!AM24-'Model inputs'!AM23)*('POA — Monthly financial forecas'!F5-24)/6,IF(IF(IF(ISERROR('POA — Monthly financial forecas'!F5&lt;=36),'POA — Monthly financial forecas'!F5&lt;=36,IF('POA — Monthly financial forecas'!F5="","",'POA — Monthly financial forecas'!F5&lt;=36))="",FALSE,IF(ISERROR('POA — Monthly financial forecas'!F5&lt;=36),'POA — Monthly financial forecas'!F5&lt;=36,IF('POA — Monthly financial forecas'!F5="","",'POA — Monthly financial forecas'!F5&lt;=36))),'Model inputs'!AM24+('Model inputs'!AM25-'Model inputs'!AM24)*('POA — Monthly financial forecas'!F5-30)/6,IF('Model inputs'!AM25="","",'Model inputs'!AM25))))))))</f>
      </c>
    </row>
    <row r="728">
      <c r="A728" t="inlineStr" s="25">
        <is>
          <t xml:space="preserve">Calculation</t>
        </is>
      </c>
      <c r="B728">
        <f>(IF(IF(IF(ISERROR('POA — Monthly financial forecas'!G5&lt;=6),'POA — Monthly financial forecas'!G5&lt;=6,IF('POA — Monthly financial forecas'!G5="","",'POA — Monthly financial forecas'!G5&lt;=6))="",FALSE,IF(ISERROR('POA — Monthly financial forecas'!G5&lt;=6),'POA — Monthly financial forecas'!G5&lt;=6,IF('POA — Monthly financial forecas'!G5="","",'POA — Monthly financial forecas'!G5&lt;=6))),'Model inputs'!AM20+('Model inputs'!AM26-'Model inputs'!AM20)*('POA — Monthly financial forecas'!G5-0)/6,IF(IF(IF(ISERROR('POA — Monthly financial forecas'!G5&lt;=12),'POA — Monthly financial forecas'!G5&lt;=12,IF('POA — Monthly financial forecas'!G5="","",'POA — Monthly financial forecas'!G5&lt;=12))="",FALSE,IF(ISERROR('POA — Monthly financial forecas'!G5&lt;=12),'POA — Monthly financial forecas'!G5&lt;=12,IF('POA — Monthly financial forecas'!G5="","",'POA — Monthly financial forecas'!G5&lt;=12))),'Model inputs'!AM26+('Model inputs'!AM21-'Model inputs'!AM26)*('POA — Monthly financial forecas'!G5-6)/6,IF(IF(IF(ISERROR('POA — Monthly financial forecas'!G5&lt;=18),'POA — Monthly financial forecas'!G5&lt;=18,IF('POA — Monthly financial forecas'!G5="","",'POA — Monthly financial forecas'!G5&lt;=18))="",FALSE,IF(ISERROR('POA — Monthly financial forecas'!G5&lt;=18),'POA — Monthly financial forecas'!G5&lt;=18,IF('POA — Monthly financial forecas'!G5="","",'POA — Monthly financial forecas'!G5&lt;=18))),'Model inputs'!AM21+('Model inputs'!AM22-'Model inputs'!AM21)*('POA — Monthly financial forecas'!G5-12)/6,IF(IF(IF(ISERROR('POA — Monthly financial forecas'!G5&lt;=24),'POA — Monthly financial forecas'!G5&lt;=24,IF('POA — Monthly financial forecas'!G5="","",'POA — Monthly financial forecas'!G5&lt;=24))="",FALSE,IF(ISERROR('POA — Monthly financial forecas'!G5&lt;=24),'POA — Monthly financial forecas'!G5&lt;=24,IF('POA — Monthly financial forecas'!G5="","",'POA — Monthly financial forecas'!G5&lt;=24))),'Model inputs'!AM22+('Model inputs'!AM23-'Model inputs'!AM22)*('POA — Monthly financial forecas'!G5-18)/6,IF(IF(IF(ISERROR('POA — Monthly financial forecas'!G5&lt;=30),'POA — Monthly financial forecas'!G5&lt;=30,IF('POA — Monthly financial forecas'!G5="","",'POA — Monthly financial forecas'!G5&lt;=30))="",FALSE,IF(ISERROR('POA — Monthly financial forecas'!G5&lt;=30),'POA — Monthly financial forecas'!G5&lt;=30,IF('POA — Monthly financial forecas'!G5="","",'POA — Monthly financial forecas'!G5&lt;=30))),'Model inputs'!AM23+('Model inputs'!AM24-'Model inputs'!AM23)*('POA — Monthly financial forecas'!G5-24)/6,IF(IF(IF(ISERROR('POA — Monthly financial forecas'!G5&lt;=36),'POA — Monthly financial forecas'!G5&lt;=36,IF('POA — Monthly financial forecas'!G5="","",'POA — Monthly financial forecas'!G5&lt;=36))="",FALSE,IF(ISERROR('POA — Monthly financial forecas'!G5&lt;=36),'POA — Monthly financial forecas'!G5&lt;=36,IF('POA — Monthly financial forecas'!G5="","",'POA — Monthly financial forecas'!G5&lt;=36))),'Model inputs'!AM24+('Model inputs'!AM25-'Model inputs'!AM24)*('POA — Monthly financial forecas'!G5-30)/6,IF('Model inputs'!AM25="","",'Model inputs'!AM25))))))))</f>
      </c>
    </row>
    <row r="729">
      <c r="A729" t="inlineStr" s="25">
        <is>
          <t xml:space="preserve">Calculation</t>
        </is>
      </c>
      <c r="B729">
        <f>(IF(IF(IF(ISERROR('POA — Monthly financial forecas'!H5&lt;=6),'POA — Monthly financial forecas'!H5&lt;=6,IF('POA — Monthly financial forecas'!H5="","",'POA — Monthly financial forecas'!H5&lt;=6))="",FALSE,IF(ISERROR('POA — Monthly financial forecas'!H5&lt;=6),'POA — Monthly financial forecas'!H5&lt;=6,IF('POA — Monthly financial forecas'!H5="","",'POA — Monthly financial forecas'!H5&lt;=6))),'Model inputs'!AM20+('Model inputs'!AM26-'Model inputs'!AM20)*('POA — Monthly financial forecas'!H5-0)/6,IF(IF(IF(ISERROR('POA — Monthly financial forecas'!H5&lt;=12),'POA — Monthly financial forecas'!H5&lt;=12,IF('POA — Monthly financial forecas'!H5="","",'POA — Monthly financial forecas'!H5&lt;=12))="",FALSE,IF(ISERROR('POA — Monthly financial forecas'!H5&lt;=12),'POA — Monthly financial forecas'!H5&lt;=12,IF('POA — Monthly financial forecas'!H5="","",'POA — Monthly financial forecas'!H5&lt;=12))),'Model inputs'!AM26+('Model inputs'!AM21-'Model inputs'!AM26)*('POA — Monthly financial forecas'!H5-6)/6,IF(IF(IF(ISERROR('POA — Monthly financial forecas'!H5&lt;=18),'POA — Monthly financial forecas'!H5&lt;=18,IF('POA — Monthly financial forecas'!H5="","",'POA — Monthly financial forecas'!H5&lt;=18))="",FALSE,IF(ISERROR('POA — Monthly financial forecas'!H5&lt;=18),'POA — Monthly financial forecas'!H5&lt;=18,IF('POA — Monthly financial forecas'!H5="","",'POA — Monthly financial forecas'!H5&lt;=18))),'Model inputs'!AM21+('Model inputs'!AM22-'Model inputs'!AM21)*('POA — Monthly financial forecas'!H5-12)/6,IF(IF(IF(ISERROR('POA — Monthly financial forecas'!H5&lt;=24),'POA — Monthly financial forecas'!H5&lt;=24,IF('POA — Monthly financial forecas'!H5="","",'POA — Monthly financial forecas'!H5&lt;=24))="",FALSE,IF(ISERROR('POA — Monthly financial forecas'!H5&lt;=24),'POA — Monthly financial forecas'!H5&lt;=24,IF('POA — Monthly financial forecas'!H5="","",'POA — Monthly financial forecas'!H5&lt;=24))),'Model inputs'!AM22+('Model inputs'!AM23-'Model inputs'!AM22)*('POA — Monthly financial forecas'!H5-18)/6,IF(IF(IF(ISERROR('POA — Monthly financial forecas'!H5&lt;=30),'POA — Monthly financial forecas'!H5&lt;=30,IF('POA — Monthly financial forecas'!H5="","",'POA — Monthly financial forecas'!H5&lt;=30))="",FALSE,IF(ISERROR('POA — Monthly financial forecas'!H5&lt;=30),'POA — Monthly financial forecas'!H5&lt;=30,IF('POA — Monthly financial forecas'!H5="","",'POA — Monthly financial forecas'!H5&lt;=30))),'Model inputs'!AM23+('Model inputs'!AM24-'Model inputs'!AM23)*('POA — Monthly financial forecas'!H5-24)/6,IF(IF(IF(ISERROR('POA — Monthly financial forecas'!H5&lt;=36),'POA — Monthly financial forecas'!H5&lt;=36,IF('POA — Monthly financial forecas'!H5="","",'POA — Monthly financial forecas'!H5&lt;=36))="",FALSE,IF(ISERROR('POA — Monthly financial forecas'!H5&lt;=36),'POA — Monthly financial forecas'!H5&lt;=36,IF('POA — Monthly financial forecas'!H5="","",'POA — Monthly financial forecas'!H5&lt;=36))),'Model inputs'!AM24+('Model inputs'!AM25-'Model inputs'!AM24)*('POA — Monthly financial forecas'!H5-30)/6,IF('Model inputs'!AM25="","",'Model inputs'!AM25))))))))</f>
      </c>
    </row>
    <row r="730">
      <c r="A730" t="inlineStr" s="25">
        <is>
          <t xml:space="preserve">Calculation</t>
        </is>
      </c>
      <c r="B730">
        <f>(IF(IF(IF(ISERROR('POA — Monthly financial forecas'!I5&lt;=6),'POA — Monthly financial forecas'!I5&lt;=6,IF('POA — Monthly financial forecas'!I5="","",'POA — Monthly financial forecas'!I5&lt;=6))="",FALSE,IF(ISERROR('POA — Monthly financial forecas'!I5&lt;=6),'POA — Monthly financial forecas'!I5&lt;=6,IF('POA — Monthly financial forecas'!I5="","",'POA — Monthly financial forecas'!I5&lt;=6))),'Model inputs'!AM20+('Model inputs'!AM26-'Model inputs'!AM20)*('POA — Monthly financial forecas'!I5-0)/6,IF(IF(IF(ISERROR('POA — Monthly financial forecas'!I5&lt;=12),'POA — Monthly financial forecas'!I5&lt;=12,IF('POA — Monthly financial forecas'!I5="","",'POA — Monthly financial forecas'!I5&lt;=12))="",FALSE,IF(ISERROR('POA — Monthly financial forecas'!I5&lt;=12),'POA — Monthly financial forecas'!I5&lt;=12,IF('POA — Monthly financial forecas'!I5="","",'POA — Monthly financial forecas'!I5&lt;=12))),'Model inputs'!AM26+('Model inputs'!AM21-'Model inputs'!AM26)*('POA — Monthly financial forecas'!I5-6)/6,IF(IF(IF(ISERROR('POA — Monthly financial forecas'!I5&lt;=18),'POA — Monthly financial forecas'!I5&lt;=18,IF('POA — Monthly financial forecas'!I5="","",'POA — Monthly financial forecas'!I5&lt;=18))="",FALSE,IF(ISERROR('POA — Monthly financial forecas'!I5&lt;=18),'POA — Monthly financial forecas'!I5&lt;=18,IF('POA — Monthly financial forecas'!I5="","",'POA — Monthly financial forecas'!I5&lt;=18))),'Model inputs'!AM21+('Model inputs'!AM22-'Model inputs'!AM21)*('POA — Monthly financial forecas'!I5-12)/6,IF(IF(IF(ISERROR('POA — Monthly financial forecas'!I5&lt;=24),'POA — Monthly financial forecas'!I5&lt;=24,IF('POA — Monthly financial forecas'!I5="","",'POA — Monthly financial forecas'!I5&lt;=24))="",FALSE,IF(ISERROR('POA — Monthly financial forecas'!I5&lt;=24),'POA — Monthly financial forecas'!I5&lt;=24,IF('POA — Monthly financial forecas'!I5="","",'POA — Monthly financial forecas'!I5&lt;=24))),'Model inputs'!AM22+('Model inputs'!AM23-'Model inputs'!AM22)*('POA — Monthly financial forecas'!I5-18)/6,IF(IF(IF(ISERROR('POA — Monthly financial forecas'!I5&lt;=30),'POA — Monthly financial forecas'!I5&lt;=30,IF('POA — Monthly financial forecas'!I5="","",'POA — Monthly financial forecas'!I5&lt;=30))="",FALSE,IF(ISERROR('POA — Monthly financial forecas'!I5&lt;=30),'POA — Monthly financial forecas'!I5&lt;=30,IF('POA — Monthly financial forecas'!I5="","",'POA — Monthly financial forecas'!I5&lt;=30))),'Model inputs'!AM23+('Model inputs'!AM24-'Model inputs'!AM23)*('POA — Monthly financial forecas'!I5-24)/6,IF(IF(IF(ISERROR('POA — Monthly financial forecas'!I5&lt;=36),'POA — Monthly financial forecas'!I5&lt;=36,IF('POA — Monthly financial forecas'!I5="","",'POA — Monthly financial forecas'!I5&lt;=36))="",FALSE,IF(ISERROR('POA — Monthly financial forecas'!I5&lt;=36),'POA — Monthly financial forecas'!I5&lt;=36,IF('POA — Monthly financial forecas'!I5="","",'POA — Monthly financial forecas'!I5&lt;=36))),'Model inputs'!AM24+('Model inputs'!AM25-'Model inputs'!AM24)*('POA — Monthly financial forecas'!I5-30)/6,IF('Model inputs'!AM25="","",'Model inputs'!AM25))))))))</f>
      </c>
    </row>
    <row r="731">
      <c r="A731" t="inlineStr" s="25">
        <is>
          <t xml:space="preserve">Calculation</t>
        </is>
      </c>
      <c r="B731">
        <f>(IF(IF(IF(ISERROR('POA — Monthly financial forecas'!J5&lt;=6),'POA — Monthly financial forecas'!J5&lt;=6,IF('POA — Monthly financial forecas'!J5="","",'POA — Monthly financial forecas'!J5&lt;=6))="",FALSE,IF(ISERROR('POA — Monthly financial forecas'!J5&lt;=6),'POA — Monthly financial forecas'!J5&lt;=6,IF('POA — Monthly financial forecas'!J5="","",'POA — Monthly financial forecas'!J5&lt;=6))),'Model inputs'!AM20+('Model inputs'!AM26-'Model inputs'!AM20)*('POA — Monthly financial forecas'!J5-0)/6,IF(IF(IF(ISERROR('POA — Monthly financial forecas'!J5&lt;=12),'POA — Monthly financial forecas'!J5&lt;=12,IF('POA — Monthly financial forecas'!J5="","",'POA — Monthly financial forecas'!J5&lt;=12))="",FALSE,IF(ISERROR('POA — Monthly financial forecas'!J5&lt;=12),'POA — Monthly financial forecas'!J5&lt;=12,IF('POA — Monthly financial forecas'!J5="","",'POA — Monthly financial forecas'!J5&lt;=12))),'Model inputs'!AM26+('Model inputs'!AM21-'Model inputs'!AM26)*('POA — Monthly financial forecas'!J5-6)/6,IF(IF(IF(ISERROR('POA — Monthly financial forecas'!J5&lt;=18),'POA — Monthly financial forecas'!J5&lt;=18,IF('POA — Monthly financial forecas'!J5="","",'POA — Monthly financial forecas'!J5&lt;=18))="",FALSE,IF(ISERROR('POA — Monthly financial forecas'!J5&lt;=18),'POA — Monthly financial forecas'!J5&lt;=18,IF('POA — Monthly financial forecas'!J5="","",'POA — Monthly financial forecas'!J5&lt;=18))),'Model inputs'!AM21+('Model inputs'!AM22-'Model inputs'!AM21)*('POA — Monthly financial forecas'!J5-12)/6,IF(IF(IF(ISERROR('POA — Monthly financial forecas'!J5&lt;=24),'POA — Monthly financial forecas'!J5&lt;=24,IF('POA — Monthly financial forecas'!J5="","",'POA — Monthly financial forecas'!J5&lt;=24))="",FALSE,IF(ISERROR('POA — Monthly financial forecas'!J5&lt;=24),'POA — Monthly financial forecas'!J5&lt;=24,IF('POA — Monthly financial forecas'!J5="","",'POA — Monthly financial forecas'!J5&lt;=24))),'Model inputs'!AM22+('Model inputs'!AM23-'Model inputs'!AM22)*('POA — Monthly financial forecas'!J5-18)/6,IF(IF(IF(ISERROR('POA — Monthly financial forecas'!J5&lt;=30),'POA — Monthly financial forecas'!J5&lt;=30,IF('POA — Monthly financial forecas'!J5="","",'POA — Monthly financial forecas'!J5&lt;=30))="",FALSE,IF(ISERROR('POA — Monthly financial forecas'!J5&lt;=30),'POA — Monthly financial forecas'!J5&lt;=30,IF('POA — Monthly financial forecas'!J5="","",'POA — Monthly financial forecas'!J5&lt;=30))),'Model inputs'!AM23+('Model inputs'!AM24-'Model inputs'!AM23)*('POA — Monthly financial forecas'!J5-24)/6,IF(IF(IF(ISERROR('POA — Monthly financial forecas'!J5&lt;=36),'POA — Monthly financial forecas'!J5&lt;=36,IF('POA — Monthly financial forecas'!J5="","",'POA — Monthly financial forecas'!J5&lt;=36))="",FALSE,IF(ISERROR('POA — Monthly financial forecas'!J5&lt;=36),'POA — Monthly financial forecas'!J5&lt;=36,IF('POA — Monthly financial forecas'!J5="","",'POA — Monthly financial forecas'!J5&lt;=36))),'Model inputs'!AM24+('Model inputs'!AM25-'Model inputs'!AM24)*('POA — Monthly financial forecas'!J5-30)/6,IF('Model inputs'!AM25="","",'Model inputs'!AM25))))))))</f>
      </c>
    </row>
    <row r="732">
      <c r="A732" t="inlineStr" s="25">
        <is>
          <t xml:space="preserve">Calculation</t>
        </is>
      </c>
      <c r="B732">
        <f>(IF(IF(IF(ISERROR('POA — Monthly financial forecas'!K5&lt;=6),'POA — Monthly financial forecas'!K5&lt;=6,IF('POA — Monthly financial forecas'!K5="","",'POA — Monthly financial forecas'!K5&lt;=6))="",FALSE,IF(ISERROR('POA — Monthly financial forecas'!K5&lt;=6),'POA — Monthly financial forecas'!K5&lt;=6,IF('POA — Monthly financial forecas'!K5="","",'POA — Monthly financial forecas'!K5&lt;=6))),'Model inputs'!AM20+('Model inputs'!AM26-'Model inputs'!AM20)*('POA — Monthly financial forecas'!K5-0)/6,IF(IF(IF(ISERROR('POA — Monthly financial forecas'!K5&lt;=12),'POA — Monthly financial forecas'!K5&lt;=12,IF('POA — Monthly financial forecas'!K5="","",'POA — Monthly financial forecas'!K5&lt;=12))="",FALSE,IF(ISERROR('POA — Monthly financial forecas'!K5&lt;=12),'POA — Monthly financial forecas'!K5&lt;=12,IF('POA — Monthly financial forecas'!K5="","",'POA — Monthly financial forecas'!K5&lt;=12))),'Model inputs'!AM26+('Model inputs'!AM21-'Model inputs'!AM26)*('POA — Monthly financial forecas'!K5-6)/6,IF(IF(IF(ISERROR('POA — Monthly financial forecas'!K5&lt;=18),'POA — Monthly financial forecas'!K5&lt;=18,IF('POA — Monthly financial forecas'!K5="","",'POA — Monthly financial forecas'!K5&lt;=18))="",FALSE,IF(ISERROR('POA — Monthly financial forecas'!K5&lt;=18),'POA — Monthly financial forecas'!K5&lt;=18,IF('POA — Monthly financial forecas'!K5="","",'POA — Monthly financial forecas'!K5&lt;=18))),'Model inputs'!AM21+('Model inputs'!AM22-'Model inputs'!AM21)*('POA — Monthly financial forecas'!K5-12)/6,IF(IF(IF(ISERROR('POA — Monthly financial forecas'!K5&lt;=24),'POA — Monthly financial forecas'!K5&lt;=24,IF('POA — Monthly financial forecas'!K5="","",'POA — Monthly financial forecas'!K5&lt;=24))="",FALSE,IF(ISERROR('POA — Monthly financial forecas'!K5&lt;=24),'POA — Monthly financial forecas'!K5&lt;=24,IF('POA — Monthly financial forecas'!K5="","",'POA — Monthly financial forecas'!K5&lt;=24))),'Model inputs'!AM22+('Model inputs'!AM23-'Model inputs'!AM22)*('POA — Monthly financial forecas'!K5-18)/6,IF(IF(IF(ISERROR('POA — Monthly financial forecas'!K5&lt;=30),'POA — Monthly financial forecas'!K5&lt;=30,IF('POA — Monthly financial forecas'!K5="","",'POA — Monthly financial forecas'!K5&lt;=30))="",FALSE,IF(ISERROR('POA — Monthly financial forecas'!K5&lt;=30),'POA — Monthly financial forecas'!K5&lt;=30,IF('POA — Monthly financial forecas'!K5="","",'POA — Monthly financial forecas'!K5&lt;=30))),'Model inputs'!AM23+('Model inputs'!AM24-'Model inputs'!AM23)*('POA — Monthly financial forecas'!K5-24)/6,IF(IF(IF(ISERROR('POA — Monthly financial forecas'!K5&lt;=36),'POA — Monthly financial forecas'!K5&lt;=36,IF('POA — Monthly financial forecas'!K5="","",'POA — Monthly financial forecas'!K5&lt;=36))="",FALSE,IF(ISERROR('POA — Monthly financial forecas'!K5&lt;=36),'POA — Monthly financial forecas'!K5&lt;=36,IF('POA — Monthly financial forecas'!K5="","",'POA — Monthly financial forecas'!K5&lt;=36))),'Model inputs'!AM24+('Model inputs'!AM25-'Model inputs'!AM24)*('POA — Monthly financial forecas'!K5-30)/6,IF('Model inputs'!AM25="","",'Model inputs'!AM25))))))))</f>
      </c>
    </row>
    <row r="733">
      <c r="A733" t="inlineStr" s="25">
        <is>
          <t xml:space="preserve">Calculation</t>
        </is>
      </c>
      <c r="B733">
        <f>(IF(IF(IF(ISERROR('POA — Monthly financial forecas'!L5&lt;=6),'POA — Monthly financial forecas'!L5&lt;=6,IF('POA — Monthly financial forecas'!L5="","",'POA — Monthly financial forecas'!L5&lt;=6))="",FALSE,IF(ISERROR('POA — Monthly financial forecas'!L5&lt;=6),'POA — Monthly financial forecas'!L5&lt;=6,IF('POA — Monthly financial forecas'!L5="","",'POA — Monthly financial forecas'!L5&lt;=6))),'Model inputs'!AM20+('Model inputs'!AM26-'Model inputs'!AM20)*('POA — Monthly financial forecas'!L5-0)/6,IF(IF(IF(ISERROR('POA — Monthly financial forecas'!L5&lt;=12),'POA — Monthly financial forecas'!L5&lt;=12,IF('POA — Monthly financial forecas'!L5="","",'POA — Monthly financial forecas'!L5&lt;=12))="",FALSE,IF(ISERROR('POA — Monthly financial forecas'!L5&lt;=12),'POA — Monthly financial forecas'!L5&lt;=12,IF('POA — Monthly financial forecas'!L5="","",'POA — Monthly financial forecas'!L5&lt;=12))),'Model inputs'!AM26+('Model inputs'!AM21-'Model inputs'!AM26)*('POA — Monthly financial forecas'!L5-6)/6,IF(IF(IF(ISERROR('POA — Monthly financial forecas'!L5&lt;=18),'POA — Monthly financial forecas'!L5&lt;=18,IF('POA — Monthly financial forecas'!L5="","",'POA — Monthly financial forecas'!L5&lt;=18))="",FALSE,IF(ISERROR('POA — Monthly financial forecas'!L5&lt;=18),'POA — Monthly financial forecas'!L5&lt;=18,IF('POA — Monthly financial forecas'!L5="","",'POA — Monthly financial forecas'!L5&lt;=18))),'Model inputs'!AM21+('Model inputs'!AM22-'Model inputs'!AM21)*('POA — Monthly financial forecas'!L5-12)/6,IF(IF(IF(ISERROR('POA — Monthly financial forecas'!L5&lt;=24),'POA — Monthly financial forecas'!L5&lt;=24,IF('POA — Monthly financial forecas'!L5="","",'POA — Monthly financial forecas'!L5&lt;=24))="",FALSE,IF(ISERROR('POA — Monthly financial forecas'!L5&lt;=24),'POA — Monthly financial forecas'!L5&lt;=24,IF('POA — Monthly financial forecas'!L5="","",'POA — Monthly financial forecas'!L5&lt;=24))),'Model inputs'!AM22+('Model inputs'!AM23-'Model inputs'!AM22)*('POA — Monthly financial forecas'!L5-18)/6,IF(IF(IF(ISERROR('POA — Monthly financial forecas'!L5&lt;=30),'POA — Monthly financial forecas'!L5&lt;=30,IF('POA — Monthly financial forecas'!L5="","",'POA — Monthly financial forecas'!L5&lt;=30))="",FALSE,IF(ISERROR('POA — Monthly financial forecas'!L5&lt;=30),'POA — Monthly financial forecas'!L5&lt;=30,IF('POA — Monthly financial forecas'!L5="","",'POA — Monthly financial forecas'!L5&lt;=30))),'Model inputs'!AM23+('Model inputs'!AM24-'Model inputs'!AM23)*('POA — Monthly financial forecas'!L5-24)/6,IF(IF(IF(ISERROR('POA — Monthly financial forecas'!L5&lt;=36),'POA — Monthly financial forecas'!L5&lt;=36,IF('POA — Monthly financial forecas'!L5="","",'POA — Monthly financial forecas'!L5&lt;=36))="",FALSE,IF(ISERROR('POA — Monthly financial forecas'!L5&lt;=36),'POA — Monthly financial forecas'!L5&lt;=36,IF('POA — Monthly financial forecas'!L5="","",'POA — Monthly financial forecas'!L5&lt;=36))),'Model inputs'!AM24+('Model inputs'!AM25-'Model inputs'!AM24)*('POA — Monthly financial forecas'!L5-30)/6,IF('Model inputs'!AM25="","",'Model inputs'!AM25))))))))</f>
      </c>
    </row>
    <row r="734">
      <c r="A734" t="inlineStr" s="25">
        <is>
          <t xml:space="preserve">Calculation</t>
        </is>
      </c>
      <c r="B734">
        <f>(IF(IF(IF(ISERROR('POA — Monthly financial forecas'!M5&lt;=6),'POA — Monthly financial forecas'!M5&lt;=6,IF('POA — Monthly financial forecas'!M5="","",'POA — Monthly financial forecas'!M5&lt;=6))="",FALSE,IF(ISERROR('POA — Monthly financial forecas'!M5&lt;=6),'POA — Monthly financial forecas'!M5&lt;=6,IF('POA — Monthly financial forecas'!M5="","",'POA — Monthly financial forecas'!M5&lt;=6))),'Model inputs'!AM20+('Model inputs'!AM26-'Model inputs'!AM20)*('POA — Monthly financial forecas'!M5-0)/6,IF(IF(IF(ISERROR('POA — Monthly financial forecas'!M5&lt;=12),'POA — Monthly financial forecas'!M5&lt;=12,IF('POA — Monthly financial forecas'!M5="","",'POA — Monthly financial forecas'!M5&lt;=12))="",FALSE,IF(ISERROR('POA — Monthly financial forecas'!M5&lt;=12),'POA — Monthly financial forecas'!M5&lt;=12,IF('POA — Monthly financial forecas'!M5="","",'POA — Monthly financial forecas'!M5&lt;=12))),'Model inputs'!AM26+('Model inputs'!AM21-'Model inputs'!AM26)*('POA — Monthly financial forecas'!M5-6)/6,IF(IF(IF(ISERROR('POA — Monthly financial forecas'!M5&lt;=18),'POA — Monthly financial forecas'!M5&lt;=18,IF('POA — Monthly financial forecas'!M5="","",'POA — Monthly financial forecas'!M5&lt;=18))="",FALSE,IF(ISERROR('POA — Monthly financial forecas'!M5&lt;=18),'POA — Monthly financial forecas'!M5&lt;=18,IF('POA — Monthly financial forecas'!M5="","",'POA — Monthly financial forecas'!M5&lt;=18))),'Model inputs'!AM21+('Model inputs'!AM22-'Model inputs'!AM21)*('POA — Monthly financial forecas'!M5-12)/6,IF(IF(IF(ISERROR('POA — Monthly financial forecas'!M5&lt;=24),'POA — Monthly financial forecas'!M5&lt;=24,IF('POA — Monthly financial forecas'!M5="","",'POA — Monthly financial forecas'!M5&lt;=24))="",FALSE,IF(ISERROR('POA — Monthly financial forecas'!M5&lt;=24),'POA — Monthly financial forecas'!M5&lt;=24,IF('POA — Monthly financial forecas'!M5="","",'POA — Monthly financial forecas'!M5&lt;=24))),'Model inputs'!AM22+('Model inputs'!AM23-'Model inputs'!AM22)*('POA — Monthly financial forecas'!M5-18)/6,IF(IF(IF(ISERROR('POA — Monthly financial forecas'!M5&lt;=30),'POA — Monthly financial forecas'!M5&lt;=30,IF('POA — Monthly financial forecas'!M5="","",'POA — Monthly financial forecas'!M5&lt;=30))="",FALSE,IF(ISERROR('POA — Monthly financial forecas'!M5&lt;=30),'POA — Monthly financial forecas'!M5&lt;=30,IF('POA — Monthly financial forecas'!M5="","",'POA — Monthly financial forecas'!M5&lt;=30))),'Model inputs'!AM23+('Model inputs'!AM24-'Model inputs'!AM23)*('POA — Monthly financial forecas'!M5-24)/6,IF(IF(IF(ISERROR('POA — Monthly financial forecas'!M5&lt;=36),'POA — Monthly financial forecas'!M5&lt;=36,IF('POA — Monthly financial forecas'!M5="","",'POA — Monthly financial forecas'!M5&lt;=36))="",FALSE,IF(ISERROR('POA — Monthly financial forecas'!M5&lt;=36),'POA — Monthly financial forecas'!M5&lt;=36,IF('POA — Monthly financial forecas'!M5="","",'POA — Monthly financial forecas'!M5&lt;=36))),'Model inputs'!AM24+('Model inputs'!AM25-'Model inputs'!AM24)*('POA — Monthly financial forecas'!M5-30)/6,IF('Model inputs'!AM25="","",'Model inputs'!AM25))))))))</f>
      </c>
    </row>
    <row r="735">
      <c r="A735" t="inlineStr" s="25">
        <is>
          <t xml:space="preserve">Calculation</t>
        </is>
      </c>
      <c r="B735">
        <f>(IF(IF(IF(ISERROR('POA — Monthly financial forecas'!N5&lt;=6),'POA — Monthly financial forecas'!N5&lt;=6,IF('POA — Monthly financial forecas'!N5="","",'POA — Monthly financial forecas'!N5&lt;=6))="",FALSE,IF(ISERROR('POA — Monthly financial forecas'!N5&lt;=6),'POA — Monthly financial forecas'!N5&lt;=6,IF('POA — Monthly financial forecas'!N5="","",'POA — Monthly financial forecas'!N5&lt;=6))),'Model inputs'!AM20+('Model inputs'!AM26-'Model inputs'!AM20)*('POA — Monthly financial forecas'!N5-0)/6,IF(IF(IF(ISERROR('POA — Monthly financial forecas'!N5&lt;=12),'POA — Monthly financial forecas'!N5&lt;=12,IF('POA — Monthly financial forecas'!N5="","",'POA — Monthly financial forecas'!N5&lt;=12))="",FALSE,IF(ISERROR('POA — Monthly financial forecas'!N5&lt;=12),'POA — Monthly financial forecas'!N5&lt;=12,IF('POA — Monthly financial forecas'!N5="","",'POA — Monthly financial forecas'!N5&lt;=12))),'Model inputs'!AM26+('Model inputs'!AM21-'Model inputs'!AM26)*('POA — Monthly financial forecas'!N5-6)/6,IF(IF(IF(ISERROR('POA — Monthly financial forecas'!N5&lt;=18),'POA — Monthly financial forecas'!N5&lt;=18,IF('POA — Monthly financial forecas'!N5="","",'POA — Monthly financial forecas'!N5&lt;=18))="",FALSE,IF(ISERROR('POA — Monthly financial forecas'!N5&lt;=18),'POA — Monthly financial forecas'!N5&lt;=18,IF('POA — Monthly financial forecas'!N5="","",'POA — Monthly financial forecas'!N5&lt;=18))),'Model inputs'!AM21+('Model inputs'!AM22-'Model inputs'!AM21)*('POA — Monthly financial forecas'!N5-12)/6,IF(IF(IF(ISERROR('POA — Monthly financial forecas'!N5&lt;=24),'POA — Monthly financial forecas'!N5&lt;=24,IF('POA — Monthly financial forecas'!N5="","",'POA — Monthly financial forecas'!N5&lt;=24))="",FALSE,IF(ISERROR('POA — Monthly financial forecas'!N5&lt;=24),'POA — Monthly financial forecas'!N5&lt;=24,IF('POA — Monthly financial forecas'!N5="","",'POA — Monthly financial forecas'!N5&lt;=24))),'Model inputs'!AM22+('Model inputs'!AM23-'Model inputs'!AM22)*('POA — Monthly financial forecas'!N5-18)/6,IF(IF(IF(ISERROR('POA — Monthly financial forecas'!N5&lt;=30),'POA — Monthly financial forecas'!N5&lt;=30,IF('POA — Monthly financial forecas'!N5="","",'POA — Monthly financial forecas'!N5&lt;=30))="",FALSE,IF(ISERROR('POA — Monthly financial forecas'!N5&lt;=30),'POA — Monthly financial forecas'!N5&lt;=30,IF('POA — Monthly financial forecas'!N5="","",'POA — Monthly financial forecas'!N5&lt;=30))),'Model inputs'!AM23+('Model inputs'!AM24-'Model inputs'!AM23)*('POA — Monthly financial forecas'!N5-24)/6,IF(IF(IF(ISERROR('POA — Monthly financial forecas'!N5&lt;=36),'POA — Monthly financial forecas'!N5&lt;=36,IF('POA — Monthly financial forecas'!N5="","",'POA — Monthly financial forecas'!N5&lt;=36))="",FALSE,IF(ISERROR('POA — Monthly financial forecas'!N5&lt;=36),'POA — Monthly financial forecas'!N5&lt;=36,IF('POA — Monthly financial forecas'!N5="","",'POA — Monthly financial forecas'!N5&lt;=36))),'Model inputs'!AM24+('Model inputs'!AM25-'Model inputs'!AM24)*('POA — Monthly financial forecas'!N5-30)/6,IF('Model inputs'!AM25="","",'Model inputs'!AM25))))))))</f>
      </c>
    </row>
    <row r="736">
      <c r="A736" t="inlineStr" s="25">
        <is>
          <t xml:space="preserve">Calculation</t>
        </is>
      </c>
      <c r="B736">
        <f>(IF(IF(IF(ISERROR('POA — Monthly financial forecas'!O5&lt;=6),'POA — Monthly financial forecas'!O5&lt;=6,IF('POA — Monthly financial forecas'!O5="","",'POA — Monthly financial forecas'!O5&lt;=6))="",FALSE,IF(ISERROR('POA — Monthly financial forecas'!O5&lt;=6),'POA — Monthly financial forecas'!O5&lt;=6,IF('POA — Monthly financial forecas'!O5="","",'POA — Monthly financial forecas'!O5&lt;=6))),'Model inputs'!AM20+('Model inputs'!AM26-'Model inputs'!AM20)*('POA — Monthly financial forecas'!O5-0)/6,IF(IF(IF(ISERROR('POA — Monthly financial forecas'!O5&lt;=12),'POA — Monthly financial forecas'!O5&lt;=12,IF('POA — Monthly financial forecas'!O5="","",'POA — Monthly financial forecas'!O5&lt;=12))="",FALSE,IF(ISERROR('POA — Monthly financial forecas'!O5&lt;=12),'POA — Monthly financial forecas'!O5&lt;=12,IF('POA — Monthly financial forecas'!O5="","",'POA — Monthly financial forecas'!O5&lt;=12))),'Model inputs'!AM26+('Model inputs'!AM21-'Model inputs'!AM26)*('POA — Monthly financial forecas'!O5-6)/6,IF(IF(IF(ISERROR('POA — Monthly financial forecas'!O5&lt;=18),'POA — Monthly financial forecas'!O5&lt;=18,IF('POA — Monthly financial forecas'!O5="","",'POA — Monthly financial forecas'!O5&lt;=18))="",FALSE,IF(ISERROR('POA — Monthly financial forecas'!O5&lt;=18),'POA — Monthly financial forecas'!O5&lt;=18,IF('POA — Monthly financial forecas'!O5="","",'POA — Monthly financial forecas'!O5&lt;=18))),'Model inputs'!AM21+('Model inputs'!AM22-'Model inputs'!AM21)*('POA — Monthly financial forecas'!O5-12)/6,IF(IF(IF(ISERROR('POA — Monthly financial forecas'!O5&lt;=24),'POA — Monthly financial forecas'!O5&lt;=24,IF('POA — Monthly financial forecas'!O5="","",'POA — Monthly financial forecas'!O5&lt;=24))="",FALSE,IF(ISERROR('POA — Monthly financial forecas'!O5&lt;=24),'POA — Monthly financial forecas'!O5&lt;=24,IF('POA — Monthly financial forecas'!O5="","",'POA — Monthly financial forecas'!O5&lt;=24))),'Model inputs'!AM22+('Model inputs'!AM23-'Model inputs'!AM22)*('POA — Monthly financial forecas'!O5-18)/6,IF(IF(IF(ISERROR('POA — Monthly financial forecas'!O5&lt;=30),'POA — Monthly financial forecas'!O5&lt;=30,IF('POA — Monthly financial forecas'!O5="","",'POA — Monthly financial forecas'!O5&lt;=30))="",FALSE,IF(ISERROR('POA — Monthly financial forecas'!O5&lt;=30),'POA — Monthly financial forecas'!O5&lt;=30,IF('POA — Monthly financial forecas'!O5="","",'POA — Monthly financial forecas'!O5&lt;=30))),'Model inputs'!AM23+('Model inputs'!AM24-'Model inputs'!AM23)*('POA — Monthly financial forecas'!O5-24)/6,IF(IF(IF(ISERROR('POA — Monthly financial forecas'!O5&lt;=36),'POA — Monthly financial forecas'!O5&lt;=36,IF('POA — Monthly financial forecas'!O5="","",'POA — Monthly financial forecas'!O5&lt;=36))="",FALSE,IF(ISERROR('POA — Monthly financial forecas'!O5&lt;=36),'POA — Monthly financial forecas'!O5&lt;=36,IF('POA — Monthly financial forecas'!O5="","",'POA — Monthly financial forecas'!O5&lt;=36))),'Model inputs'!AM24+('Model inputs'!AM25-'Model inputs'!AM24)*('POA — Monthly financial forecas'!O5-30)/6,IF('Model inputs'!AM25="","",'Model inputs'!AM25))))))))</f>
      </c>
    </row>
    <row r="737">
      <c r="A737" t="inlineStr" s="25">
        <is>
          <t xml:space="preserve">Calculation</t>
        </is>
      </c>
      <c r="B737">
        <f>(IF(IF(IF(ISERROR('POA — Monthly financial forecas'!P5&lt;=6),'POA — Monthly financial forecas'!P5&lt;=6,IF('POA — Monthly financial forecas'!P5="","",'POA — Monthly financial forecas'!P5&lt;=6))="",FALSE,IF(ISERROR('POA — Monthly financial forecas'!P5&lt;=6),'POA — Monthly financial forecas'!P5&lt;=6,IF('POA — Monthly financial forecas'!P5="","",'POA — Monthly financial forecas'!P5&lt;=6))),'Model inputs'!AM20+('Model inputs'!AM26-'Model inputs'!AM20)*('POA — Monthly financial forecas'!P5-0)/6,IF(IF(IF(ISERROR('POA — Monthly financial forecas'!P5&lt;=12),'POA — Monthly financial forecas'!P5&lt;=12,IF('POA — Monthly financial forecas'!P5="","",'POA — Monthly financial forecas'!P5&lt;=12))="",FALSE,IF(ISERROR('POA — Monthly financial forecas'!P5&lt;=12),'POA — Monthly financial forecas'!P5&lt;=12,IF('POA — Monthly financial forecas'!P5="","",'POA — Monthly financial forecas'!P5&lt;=12))),'Model inputs'!AM26+('Model inputs'!AM21-'Model inputs'!AM26)*('POA — Monthly financial forecas'!P5-6)/6,IF(IF(IF(ISERROR('POA — Monthly financial forecas'!P5&lt;=18),'POA — Monthly financial forecas'!P5&lt;=18,IF('POA — Monthly financial forecas'!P5="","",'POA — Monthly financial forecas'!P5&lt;=18))="",FALSE,IF(ISERROR('POA — Monthly financial forecas'!P5&lt;=18),'POA — Monthly financial forecas'!P5&lt;=18,IF('POA — Monthly financial forecas'!P5="","",'POA — Monthly financial forecas'!P5&lt;=18))),'Model inputs'!AM21+('Model inputs'!AM22-'Model inputs'!AM21)*('POA — Monthly financial forecas'!P5-12)/6,IF(IF(IF(ISERROR('POA — Monthly financial forecas'!P5&lt;=24),'POA — Monthly financial forecas'!P5&lt;=24,IF('POA — Monthly financial forecas'!P5="","",'POA — Monthly financial forecas'!P5&lt;=24))="",FALSE,IF(ISERROR('POA — Monthly financial forecas'!P5&lt;=24),'POA — Monthly financial forecas'!P5&lt;=24,IF('POA — Monthly financial forecas'!P5="","",'POA — Monthly financial forecas'!P5&lt;=24))),'Model inputs'!AM22+('Model inputs'!AM23-'Model inputs'!AM22)*('POA — Monthly financial forecas'!P5-18)/6,IF(IF(IF(ISERROR('POA — Monthly financial forecas'!P5&lt;=30),'POA — Monthly financial forecas'!P5&lt;=30,IF('POA — Monthly financial forecas'!P5="","",'POA — Monthly financial forecas'!P5&lt;=30))="",FALSE,IF(ISERROR('POA — Monthly financial forecas'!P5&lt;=30),'POA — Monthly financial forecas'!P5&lt;=30,IF('POA — Monthly financial forecas'!P5="","",'POA — Monthly financial forecas'!P5&lt;=30))),'Model inputs'!AM23+('Model inputs'!AM24-'Model inputs'!AM23)*('POA — Monthly financial forecas'!P5-24)/6,IF(IF(IF(ISERROR('POA — Monthly financial forecas'!P5&lt;=36),'POA — Monthly financial forecas'!P5&lt;=36,IF('POA — Monthly financial forecas'!P5="","",'POA — Monthly financial forecas'!P5&lt;=36))="",FALSE,IF(ISERROR('POA — Monthly financial forecas'!P5&lt;=36),'POA — Monthly financial forecas'!P5&lt;=36,IF('POA — Monthly financial forecas'!P5="","",'POA — Monthly financial forecas'!P5&lt;=36))),'Model inputs'!AM24+('Model inputs'!AM25-'Model inputs'!AM24)*('POA — Monthly financial forecas'!P5-30)/6,IF('Model inputs'!AM25="","",'Model inputs'!AM25))))))))</f>
      </c>
    </row>
    <row r="738">
      <c r="A738" t="inlineStr" s="25">
        <is>
          <t xml:space="preserve">Calculation</t>
        </is>
      </c>
      <c r="B738">
        <f>(IF(IF(IF(ISERROR('POA — Monthly financial forecas'!Q5&lt;=6),'POA — Monthly financial forecas'!Q5&lt;=6,IF('POA — Monthly financial forecas'!Q5="","",'POA — Monthly financial forecas'!Q5&lt;=6))="",FALSE,IF(ISERROR('POA — Monthly financial forecas'!Q5&lt;=6),'POA — Monthly financial forecas'!Q5&lt;=6,IF('POA — Monthly financial forecas'!Q5="","",'POA — Monthly financial forecas'!Q5&lt;=6))),'Model inputs'!AM20+('Model inputs'!AM26-'Model inputs'!AM20)*('POA — Monthly financial forecas'!Q5-0)/6,IF(IF(IF(ISERROR('POA — Monthly financial forecas'!Q5&lt;=12),'POA — Monthly financial forecas'!Q5&lt;=12,IF('POA — Monthly financial forecas'!Q5="","",'POA — Monthly financial forecas'!Q5&lt;=12))="",FALSE,IF(ISERROR('POA — Monthly financial forecas'!Q5&lt;=12),'POA — Monthly financial forecas'!Q5&lt;=12,IF('POA — Monthly financial forecas'!Q5="","",'POA — Monthly financial forecas'!Q5&lt;=12))),'Model inputs'!AM26+('Model inputs'!AM21-'Model inputs'!AM26)*('POA — Monthly financial forecas'!Q5-6)/6,IF(IF(IF(ISERROR('POA — Monthly financial forecas'!Q5&lt;=18),'POA — Monthly financial forecas'!Q5&lt;=18,IF('POA — Monthly financial forecas'!Q5="","",'POA — Monthly financial forecas'!Q5&lt;=18))="",FALSE,IF(ISERROR('POA — Monthly financial forecas'!Q5&lt;=18),'POA — Monthly financial forecas'!Q5&lt;=18,IF('POA — Monthly financial forecas'!Q5="","",'POA — Monthly financial forecas'!Q5&lt;=18))),'Model inputs'!AM21+('Model inputs'!AM22-'Model inputs'!AM21)*('POA — Monthly financial forecas'!Q5-12)/6,IF(IF(IF(ISERROR('POA — Monthly financial forecas'!Q5&lt;=24),'POA — Monthly financial forecas'!Q5&lt;=24,IF('POA — Monthly financial forecas'!Q5="","",'POA — Monthly financial forecas'!Q5&lt;=24))="",FALSE,IF(ISERROR('POA — Monthly financial forecas'!Q5&lt;=24),'POA — Monthly financial forecas'!Q5&lt;=24,IF('POA — Monthly financial forecas'!Q5="","",'POA — Monthly financial forecas'!Q5&lt;=24))),'Model inputs'!AM22+('Model inputs'!AM23-'Model inputs'!AM22)*('POA — Monthly financial forecas'!Q5-18)/6,IF(IF(IF(ISERROR('POA — Monthly financial forecas'!Q5&lt;=30),'POA — Monthly financial forecas'!Q5&lt;=30,IF('POA — Monthly financial forecas'!Q5="","",'POA — Monthly financial forecas'!Q5&lt;=30))="",FALSE,IF(ISERROR('POA — Monthly financial forecas'!Q5&lt;=30),'POA — Monthly financial forecas'!Q5&lt;=30,IF('POA — Monthly financial forecas'!Q5="","",'POA — Monthly financial forecas'!Q5&lt;=30))),'Model inputs'!AM23+('Model inputs'!AM24-'Model inputs'!AM23)*('POA — Monthly financial forecas'!Q5-24)/6,IF(IF(IF(ISERROR('POA — Monthly financial forecas'!Q5&lt;=36),'POA — Monthly financial forecas'!Q5&lt;=36,IF('POA — Monthly financial forecas'!Q5="","",'POA — Monthly financial forecas'!Q5&lt;=36))="",FALSE,IF(ISERROR('POA — Monthly financial forecas'!Q5&lt;=36),'POA — Monthly financial forecas'!Q5&lt;=36,IF('POA — Monthly financial forecas'!Q5="","",'POA — Monthly financial forecas'!Q5&lt;=36))),'Model inputs'!AM24+('Model inputs'!AM25-'Model inputs'!AM24)*('POA — Monthly financial forecas'!Q5-30)/6,IF('Model inputs'!AM25="","",'Model inputs'!AM25))))))))</f>
      </c>
    </row>
    <row r="739">
      <c r="A739" t="inlineStr" s="25">
        <is>
          <t xml:space="preserve">Calculation</t>
        </is>
      </c>
      <c r="B739">
        <f>(IF(IF(IF(ISERROR('POA — Monthly financial forecas'!R5&lt;=6),'POA — Monthly financial forecas'!R5&lt;=6,IF('POA — Monthly financial forecas'!R5="","",'POA — Monthly financial forecas'!R5&lt;=6))="",FALSE,IF(ISERROR('POA — Monthly financial forecas'!R5&lt;=6),'POA — Monthly financial forecas'!R5&lt;=6,IF('POA — Monthly financial forecas'!R5="","",'POA — Monthly financial forecas'!R5&lt;=6))),'Model inputs'!AM20+('Model inputs'!AM26-'Model inputs'!AM20)*('POA — Monthly financial forecas'!R5-0)/6,IF(IF(IF(ISERROR('POA — Monthly financial forecas'!R5&lt;=12),'POA — Monthly financial forecas'!R5&lt;=12,IF('POA — Monthly financial forecas'!R5="","",'POA — Monthly financial forecas'!R5&lt;=12))="",FALSE,IF(ISERROR('POA — Monthly financial forecas'!R5&lt;=12),'POA — Monthly financial forecas'!R5&lt;=12,IF('POA — Monthly financial forecas'!R5="","",'POA — Monthly financial forecas'!R5&lt;=12))),'Model inputs'!AM26+('Model inputs'!AM21-'Model inputs'!AM26)*('POA — Monthly financial forecas'!R5-6)/6,IF(IF(IF(ISERROR('POA — Monthly financial forecas'!R5&lt;=18),'POA — Monthly financial forecas'!R5&lt;=18,IF('POA — Monthly financial forecas'!R5="","",'POA — Monthly financial forecas'!R5&lt;=18))="",FALSE,IF(ISERROR('POA — Monthly financial forecas'!R5&lt;=18),'POA — Monthly financial forecas'!R5&lt;=18,IF('POA — Monthly financial forecas'!R5="","",'POA — Monthly financial forecas'!R5&lt;=18))),'Model inputs'!AM21+('Model inputs'!AM22-'Model inputs'!AM21)*('POA — Monthly financial forecas'!R5-12)/6,IF(IF(IF(ISERROR('POA — Monthly financial forecas'!R5&lt;=24),'POA — Monthly financial forecas'!R5&lt;=24,IF('POA — Monthly financial forecas'!R5="","",'POA — Monthly financial forecas'!R5&lt;=24))="",FALSE,IF(ISERROR('POA — Monthly financial forecas'!R5&lt;=24),'POA — Monthly financial forecas'!R5&lt;=24,IF('POA — Monthly financial forecas'!R5="","",'POA — Monthly financial forecas'!R5&lt;=24))),'Model inputs'!AM22+('Model inputs'!AM23-'Model inputs'!AM22)*('POA — Monthly financial forecas'!R5-18)/6,IF(IF(IF(ISERROR('POA — Monthly financial forecas'!R5&lt;=30),'POA — Monthly financial forecas'!R5&lt;=30,IF('POA — Monthly financial forecas'!R5="","",'POA — Monthly financial forecas'!R5&lt;=30))="",FALSE,IF(ISERROR('POA — Monthly financial forecas'!R5&lt;=30),'POA — Monthly financial forecas'!R5&lt;=30,IF('POA — Monthly financial forecas'!R5="","",'POA — Monthly financial forecas'!R5&lt;=30))),'Model inputs'!AM23+('Model inputs'!AM24-'Model inputs'!AM23)*('POA — Monthly financial forecas'!R5-24)/6,IF(IF(IF(ISERROR('POA — Monthly financial forecas'!R5&lt;=36),'POA — Monthly financial forecas'!R5&lt;=36,IF('POA — Monthly financial forecas'!R5="","",'POA — Monthly financial forecas'!R5&lt;=36))="",FALSE,IF(ISERROR('POA — Monthly financial forecas'!R5&lt;=36),'POA — Monthly financial forecas'!R5&lt;=36,IF('POA — Monthly financial forecas'!R5="","",'POA — Monthly financial forecas'!R5&lt;=36))),'Model inputs'!AM24+('Model inputs'!AM25-'Model inputs'!AM24)*('POA — Monthly financial forecas'!R5-30)/6,IF('Model inputs'!AM25="","",'Model inputs'!AM25))))))))</f>
      </c>
    </row>
    <row r="740">
      <c r="A740" t="inlineStr" s="25">
        <is>
          <t xml:space="preserve">Calculation</t>
        </is>
      </c>
      <c r="B740">
        <f>(IF(IF(IF(ISERROR('POA — Monthly financial forecas'!S5&lt;=6),'POA — Monthly financial forecas'!S5&lt;=6,IF('POA — Monthly financial forecas'!S5="","",'POA — Monthly financial forecas'!S5&lt;=6))="",FALSE,IF(ISERROR('POA — Monthly financial forecas'!S5&lt;=6),'POA — Monthly financial forecas'!S5&lt;=6,IF('POA — Monthly financial forecas'!S5="","",'POA — Monthly financial forecas'!S5&lt;=6))),'Model inputs'!AM20+('Model inputs'!AM26-'Model inputs'!AM20)*('POA — Monthly financial forecas'!S5-0)/6,IF(IF(IF(ISERROR('POA — Monthly financial forecas'!S5&lt;=12),'POA — Monthly financial forecas'!S5&lt;=12,IF('POA — Monthly financial forecas'!S5="","",'POA — Monthly financial forecas'!S5&lt;=12))="",FALSE,IF(ISERROR('POA — Monthly financial forecas'!S5&lt;=12),'POA — Monthly financial forecas'!S5&lt;=12,IF('POA — Monthly financial forecas'!S5="","",'POA — Monthly financial forecas'!S5&lt;=12))),'Model inputs'!AM26+('Model inputs'!AM21-'Model inputs'!AM26)*('POA — Monthly financial forecas'!S5-6)/6,IF(IF(IF(ISERROR('POA — Monthly financial forecas'!S5&lt;=18),'POA — Monthly financial forecas'!S5&lt;=18,IF('POA — Monthly financial forecas'!S5="","",'POA — Monthly financial forecas'!S5&lt;=18))="",FALSE,IF(ISERROR('POA — Monthly financial forecas'!S5&lt;=18),'POA — Monthly financial forecas'!S5&lt;=18,IF('POA — Monthly financial forecas'!S5="","",'POA — Monthly financial forecas'!S5&lt;=18))),'Model inputs'!AM21+('Model inputs'!AM22-'Model inputs'!AM21)*('POA — Monthly financial forecas'!S5-12)/6,IF(IF(IF(ISERROR('POA — Monthly financial forecas'!S5&lt;=24),'POA — Monthly financial forecas'!S5&lt;=24,IF('POA — Monthly financial forecas'!S5="","",'POA — Monthly financial forecas'!S5&lt;=24))="",FALSE,IF(ISERROR('POA — Monthly financial forecas'!S5&lt;=24),'POA — Monthly financial forecas'!S5&lt;=24,IF('POA — Monthly financial forecas'!S5="","",'POA — Monthly financial forecas'!S5&lt;=24))),'Model inputs'!AM22+('Model inputs'!AM23-'Model inputs'!AM22)*('POA — Monthly financial forecas'!S5-18)/6,IF(IF(IF(ISERROR('POA — Monthly financial forecas'!S5&lt;=30),'POA — Monthly financial forecas'!S5&lt;=30,IF('POA — Monthly financial forecas'!S5="","",'POA — Monthly financial forecas'!S5&lt;=30))="",FALSE,IF(ISERROR('POA — Monthly financial forecas'!S5&lt;=30),'POA — Monthly financial forecas'!S5&lt;=30,IF('POA — Monthly financial forecas'!S5="","",'POA — Monthly financial forecas'!S5&lt;=30))),'Model inputs'!AM23+('Model inputs'!AM24-'Model inputs'!AM23)*('POA — Monthly financial forecas'!S5-24)/6,IF(IF(IF(ISERROR('POA — Monthly financial forecas'!S5&lt;=36),'POA — Monthly financial forecas'!S5&lt;=36,IF('POA — Monthly financial forecas'!S5="","",'POA — Monthly financial forecas'!S5&lt;=36))="",FALSE,IF(ISERROR('POA — Monthly financial forecas'!S5&lt;=36),'POA — Monthly financial forecas'!S5&lt;=36,IF('POA — Monthly financial forecas'!S5="","",'POA — Monthly financial forecas'!S5&lt;=36))),'Model inputs'!AM24+('Model inputs'!AM25-'Model inputs'!AM24)*('POA — Monthly financial forecas'!S5-30)/6,IF('Model inputs'!AM25="","",'Model inputs'!AM25))))))))</f>
      </c>
    </row>
    <row r="741">
      <c r="A741" t="inlineStr" s="25">
        <is>
          <t xml:space="preserve">Calculation</t>
        </is>
      </c>
      <c r="B741">
        <f>(IF(IF(IF(ISERROR('POA — Monthly financial forecas'!T5&lt;=6),'POA — Monthly financial forecas'!T5&lt;=6,IF('POA — Monthly financial forecas'!T5="","",'POA — Monthly financial forecas'!T5&lt;=6))="",FALSE,IF(ISERROR('POA — Monthly financial forecas'!T5&lt;=6),'POA — Monthly financial forecas'!T5&lt;=6,IF('POA — Monthly financial forecas'!T5="","",'POA — Monthly financial forecas'!T5&lt;=6))),'Model inputs'!AM20+('Model inputs'!AM26-'Model inputs'!AM20)*('POA — Monthly financial forecas'!T5-0)/6,IF(IF(IF(ISERROR('POA — Monthly financial forecas'!T5&lt;=12),'POA — Monthly financial forecas'!T5&lt;=12,IF('POA — Monthly financial forecas'!T5="","",'POA — Monthly financial forecas'!T5&lt;=12))="",FALSE,IF(ISERROR('POA — Monthly financial forecas'!T5&lt;=12),'POA — Monthly financial forecas'!T5&lt;=12,IF('POA — Monthly financial forecas'!T5="","",'POA — Monthly financial forecas'!T5&lt;=12))),'Model inputs'!AM26+('Model inputs'!AM21-'Model inputs'!AM26)*('POA — Monthly financial forecas'!T5-6)/6,IF(IF(IF(ISERROR('POA — Monthly financial forecas'!T5&lt;=18),'POA — Monthly financial forecas'!T5&lt;=18,IF('POA — Monthly financial forecas'!T5="","",'POA — Monthly financial forecas'!T5&lt;=18))="",FALSE,IF(ISERROR('POA — Monthly financial forecas'!T5&lt;=18),'POA — Monthly financial forecas'!T5&lt;=18,IF('POA — Monthly financial forecas'!T5="","",'POA — Monthly financial forecas'!T5&lt;=18))),'Model inputs'!AM21+('Model inputs'!AM22-'Model inputs'!AM21)*('POA — Monthly financial forecas'!T5-12)/6,IF(IF(IF(ISERROR('POA — Monthly financial forecas'!T5&lt;=24),'POA — Monthly financial forecas'!T5&lt;=24,IF('POA — Monthly financial forecas'!T5="","",'POA — Monthly financial forecas'!T5&lt;=24))="",FALSE,IF(ISERROR('POA — Monthly financial forecas'!T5&lt;=24),'POA — Monthly financial forecas'!T5&lt;=24,IF('POA — Monthly financial forecas'!T5="","",'POA — Monthly financial forecas'!T5&lt;=24))),'Model inputs'!AM22+('Model inputs'!AM23-'Model inputs'!AM22)*('POA — Monthly financial forecas'!T5-18)/6,IF(IF(IF(ISERROR('POA — Monthly financial forecas'!T5&lt;=30),'POA — Monthly financial forecas'!T5&lt;=30,IF('POA — Monthly financial forecas'!T5="","",'POA — Monthly financial forecas'!T5&lt;=30))="",FALSE,IF(ISERROR('POA — Monthly financial forecas'!T5&lt;=30),'POA — Monthly financial forecas'!T5&lt;=30,IF('POA — Monthly financial forecas'!T5="","",'POA — Monthly financial forecas'!T5&lt;=30))),'Model inputs'!AM23+('Model inputs'!AM24-'Model inputs'!AM23)*('POA — Monthly financial forecas'!T5-24)/6,IF(IF(IF(ISERROR('POA — Monthly financial forecas'!T5&lt;=36),'POA — Monthly financial forecas'!T5&lt;=36,IF('POA — Monthly financial forecas'!T5="","",'POA — Monthly financial forecas'!T5&lt;=36))="",FALSE,IF(ISERROR('POA — Monthly financial forecas'!T5&lt;=36),'POA — Monthly financial forecas'!T5&lt;=36,IF('POA — Monthly financial forecas'!T5="","",'POA — Monthly financial forecas'!T5&lt;=36))),'Model inputs'!AM24+('Model inputs'!AM25-'Model inputs'!AM24)*('POA — Monthly financial forecas'!T5-30)/6,IF('Model inputs'!AM25="","",'Model inputs'!AM25))))))))</f>
      </c>
    </row>
    <row r="742">
      <c r="A742" t="inlineStr" s="25">
        <is>
          <t xml:space="preserve">Calculation</t>
        </is>
      </c>
      <c r="B742">
        <f>(IF(IF(IF(ISERROR('POA — Monthly financial forecas'!U5&lt;=6),'POA — Monthly financial forecas'!U5&lt;=6,IF('POA — Monthly financial forecas'!U5="","",'POA — Monthly financial forecas'!U5&lt;=6))="",FALSE,IF(ISERROR('POA — Monthly financial forecas'!U5&lt;=6),'POA — Monthly financial forecas'!U5&lt;=6,IF('POA — Monthly financial forecas'!U5="","",'POA — Monthly financial forecas'!U5&lt;=6))),'Model inputs'!AM20+('Model inputs'!AM26-'Model inputs'!AM20)*('POA — Monthly financial forecas'!U5-0)/6,IF(IF(IF(ISERROR('POA — Monthly financial forecas'!U5&lt;=12),'POA — Monthly financial forecas'!U5&lt;=12,IF('POA — Monthly financial forecas'!U5="","",'POA — Monthly financial forecas'!U5&lt;=12))="",FALSE,IF(ISERROR('POA — Monthly financial forecas'!U5&lt;=12),'POA — Monthly financial forecas'!U5&lt;=12,IF('POA — Monthly financial forecas'!U5="","",'POA — Monthly financial forecas'!U5&lt;=12))),'Model inputs'!AM26+('Model inputs'!AM21-'Model inputs'!AM26)*('POA — Monthly financial forecas'!U5-6)/6,IF(IF(IF(ISERROR('POA — Monthly financial forecas'!U5&lt;=18),'POA — Monthly financial forecas'!U5&lt;=18,IF('POA — Monthly financial forecas'!U5="","",'POA — Monthly financial forecas'!U5&lt;=18))="",FALSE,IF(ISERROR('POA — Monthly financial forecas'!U5&lt;=18),'POA — Monthly financial forecas'!U5&lt;=18,IF('POA — Monthly financial forecas'!U5="","",'POA — Monthly financial forecas'!U5&lt;=18))),'Model inputs'!AM21+('Model inputs'!AM22-'Model inputs'!AM21)*('POA — Monthly financial forecas'!U5-12)/6,IF(IF(IF(ISERROR('POA — Monthly financial forecas'!U5&lt;=24),'POA — Monthly financial forecas'!U5&lt;=24,IF('POA — Monthly financial forecas'!U5="","",'POA — Monthly financial forecas'!U5&lt;=24))="",FALSE,IF(ISERROR('POA — Monthly financial forecas'!U5&lt;=24),'POA — Monthly financial forecas'!U5&lt;=24,IF('POA — Monthly financial forecas'!U5="","",'POA — Monthly financial forecas'!U5&lt;=24))),'Model inputs'!AM22+('Model inputs'!AM23-'Model inputs'!AM22)*('POA — Monthly financial forecas'!U5-18)/6,IF(IF(IF(ISERROR('POA — Monthly financial forecas'!U5&lt;=30),'POA — Monthly financial forecas'!U5&lt;=30,IF('POA — Monthly financial forecas'!U5="","",'POA — Monthly financial forecas'!U5&lt;=30))="",FALSE,IF(ISERROR('POA — Monthly financial forecas'!U5&lt;=30),'POA — Monthly financial forecas'!U5&lt;=30,IF('POA — Monthly financial forecas'!U5="","",'POA — Monthly financial forecas'!U5&lt;=30))),'Model inputs'!AM23+('Model inputs'!AM24-'Model inputs'!AM23)*('POA — Monthly financial forecas'!U5-24)/6,IF(IF(IF(ISERROR('POA — Monthly financial forecas'!U5&lt;=36),'POA — Monthly financial forecas'!U5&lt;=36,IF('POA — Monthly financial forecas'!U5="","",'POA — Monthly financial forecas'!U5&lt;=36))="",FALSE,IF(ISERROR('POA — Monthly financial forecas'!U5&lt;=36),'POA — Monthly financial forecas'!U5&lt;=36,IF('POA — Monthly financial forecas'!U5="","",'POA — Monthly financial forecas'!U5&lt;=36))),'Model inputs'!AM24+('Model inputs'!AM25-'Model inputs'!AM24)*('POA — Monthly financial forecas'!U5-30)/6,IF('Model inputs'!AM25="","",'Model inputs'!AM25))))))))</f>
      </c>
    </row>
    <row r="743">
      <c r="A743" t="inlineStr" s="25">
        <is>
          <t xml:space="preserve">Calculation</t>
        </is>
      </c>
      <c r="B743">
        <f>(IF(IF(IF(ISERROR('POA — Monthly financial forecas'!V5&lt;=6),'POA — Monthly financial forecas'!V5&lt;=6,IF('POA — Monthly financial forecas'!V5="","",'POA — Monthly financial forecas'!V5&lt;=6))="",FALSE,IF(ISERROR('POA — Monthly financial forecas'!V5&lt;=6),'POA — Monthly financial forecas'!V5&lt;=6,IF('POA — Monthly financial forecas'!V5="","",'POA — Monthly financial forecas'!V5&lt;=6))),'Model inputs'!AM20+('Model inputs'!AM26-'Model inputs'!AM20)*('POA — Monthly financial forecas'!V5-0)/6,IF(IF(IF(ISERROR('POA — Monthly financial forecas'!V5&lt;=12),'POA — Monthly financial forecas'!V5&lt;=12,IF('POA — Monthly financial forecas'!V5="","",'POA — Monthly financial forecas'!V5&lt;=12))="",FALSE,IF(ISERROR('POA — Monthly financial forecas'!V5&lt;=12),'POA — Monthly financial forecas'!V5&lt;=12,IF('POA — Monthly financial forecas'!V5="","",'POA — Monthly financial forecas'!V5&lt;=12))),'Model inputs'!AM26+('Model inputs'!AM21-'Model inputs'!AM26)*('POA — Monthly financial forecas'!V5-6)/6,IF(IF(IF(ISERROR('POA — Monthly financial forecas'!V5&lt;=18),'POA — Monthly financial forecas'!V5&lt;=18,IF('POA — Monthly financial forecas'!V5="","",'POA — Monthly financial forecas'!V5&lt;=18))="",FALSE,IF(ISERROR('POA — Monthly financial forecas'!V5&lt;=18),'POA — Monthly financial forecas'!V5&lt;=18,IF('POA — Monthly financial forecas'!V5="","",'POA — Monthly financial forecas'!V5&lt;=18))),'Model inputs'!AM21+('Model inputs'!AM22-'Model inputs'!AM21)*('POA — Monthly financial forecas'!V5-12)/6,IF(IF(IF(ISERROR('POA — Monthly financial forecas'!V5&lt;=24),'POA — Monthly financial forecas'!V5&lt;=24,IF('POA — Monthly financial forecas'!V5="","",'POA — Monthly financial forecas'!V5&lt;=24))="",FALSE,IF(ISERROR('POA — Monthly financial forecas'!V5&lt;=24),'POA — Monthly financial forecas'!V5&lt;=24,IF('POA — Monthly financial forecas'!V5="","",'POA — Monthly financial forecas'!V5&lt;=24))),'Model inputs'!AM22+('Model inputs'!AM23-'Model inputs'!AM22)*('POA — Monthly financial forecas'!V5-18)/6,IF(IF(IF(ISERROR('POA — Monthly financial forecas'!V5&lt;=30),'POA — Monthly financial forecas'!V5&lt;=30,IF('POA — Monthly financial forecas'!V5="","",'POA — Monthly financial forecas'!V5&lt;=30))="",FALSE,IF(ISERROR('POA — Monthly financial forecas'!V5&lt;=30),'POA — Monthly financial forecas'!V5&lt;=30,IF('POA — Monthly financial forecas'!V5="","",'POA — Monthly financial forecas'!V5&lt;=30))),'Model inputs'!AM23+('Model inputs'!AM24-'Model inputs'!AM23)*('POA — Monthly financial forecas'!V5-24)/6,IF(IF(IF(ISERROR('POA — Monthly financial forecas'!V5&lt;=36),'POA — Monthly financial forecas'!V5&lt;=36,IF('POA — Monthly financial forecas'!V5="","",'POA — Monthly financial forecas'!V5&lt;=36))="",FALSE,IF(ISERROR('POA — Monthly financial forecas'!V5&lt;=36),'POA — Monthly financial forecas'!V5&lt;=36,IF('POA — Monthly financial forecas'!V5="","",'POA — Monthly financial forecas'!V5&lt;=36))),'Model inputs'!AM24+('Model inputs'!AM25-'Model inputs'!AM24)*('POA — Monthly financial forecas'!V5-30)/6,IF('Model inputs'!AM25="","",'Model inputs'!AM25))))))))</f>
      </c>
    </row>
    <row r="744">
      <c r="A744" t="inlineStr" s="25">
        <is>
          <t xml:space="preserve">Calculation</t>
        </is>
      </c>
      <c r="B744">
        <f>(IF(IF(IF(ISERROR('POA — Monthly financial forecas'!W5&lt;=6),'POA — Monthly financial forecas'!W5&lt;=6,IF('POA — Monthly financial forecas'!W5="","",'POA — Monthly financial forecas'!W5&lt;=6))="",FALSE,IF(ISERROR('POA — Monthly financial forecas'!W5&lt;=6),'POA — Monthly financial forecas'!W5&lt;=6,IF('POA — Monthly financial forecas'!W5="","",'POA — Monthly financial forecas'!W5&lt;=6))),'Model inputs'!AM20+('Model inputs'!AM26-'Model inputs'!AM20)*('POA — Monthly financial forecas'!W5-0)/6,IF(IF(IF(ISERROR('POA — Monthly financial forecas'!W5&lt;=12),'POA — Monthly financial forecas'!W5&lt;=12,IF('POA — Monthly financial forecas'!W5="","",'POA — Monthly financial forecas'!W5&lt;=12))="",FALSE,IF(ISERROR('POA — Monthly financial forecas'!W5&lt;=12),'POA — Monthly financial forecas'!W5&lt;=12,IF('POA — Monthly financial forecas'!W5="","",'POA — Monthly financial forecas'!W5&lt;=12))),'Model inputs'!AM26+('Model inputs'!AM21-'Model inputs'!AM26)*('POA — Monthly financial forecas'!W5-6)/6,IF(IF(IF(ISERROR('POA — Monthly financial forecas'!W5&lt;=18),'POA — Monthly financial forecas'!W5&lt;=18,IF('POA — Monthly financial forecas'!W5="","",'POA — Monthly financial forecas'!W5&lt;=18))="",FALSE,IF(ISERROR('POA — Monthly financial forecas'!W5&lt;=18),'POA — Monthly financial forecas'!W5&lt;=18,IF('POA — Monthly financial forecas'!W5="","",'POA — Monthly financial forecas'!W5&lt;=18))),'Model inputs'!AM21+('Model inputs'!AM22-'Model inputs'!AM21)*('POA — Monthly financial forecas'!W5-12)/6,IF(IF(IF(ISERROR('POA — Monthly financial forecas'!W5&lt;=24),'POA — Monthly financial forecas'!W5&lt;=24,IF('POA — Monthly financial forecas'!W5="","",'POA — Monthly financial forecas'!W5&lt;=24))="",FALSE,IF(ISERROR('POA — Monthly financial forecas'!W5&lt;=24),'POA — Monthly financial forecas'!W5&lt;=24,IF('POA — Monthly financial forecas'!W5="","",'POA — Monthly financial forecas'!W5&lt;=24))),'Model inputs'!AM22+('Model inputs'!AM23-'Model inputs'!AM22)*('POA — Monthly financial forecas'!W5-18)/6,IF(IF(IF(ISERROR('POA — Monthly financial forecas'!W5&lt;=30),'POA — Monthly financial forecas'!W5&lt;=30,IF('POA — Monthly financial forecas'!W5="","",'POA — Monthly financial forecas'!W5&lt;=30))="",FALSE,IF(ISERROR('POA — Monthly financial forecas'!W5&lt;=30),'POA — Monthly financial forecas'!W5&lt;=30,IF('POA — Monthly financial forecas'!W5="","",'POA — Monthly financial forecas'!W5&lt;=30))),'Model inputs'!AM23+('Model inputs'!AM24-'Model inputs'!AM23)*('POA — Monthly financial forecas'!W5-24)/6,IF(IF(IF(ISERROR('POA — Monthly financial forecas'!W5&lt;=36),'POA — Monthly financial forecas'!W5&lt;=36,IF('POA — Monthly financial forecas'!W5="","",'POA — Monthly financial forecas'!W5&lt;=36))="",FALSE,IF(ISERROR('POA — Monthly financial forecas'!W5&lt;=36),'POA — Monthly financial forecas'!W5&lt;=36,IF('POA — Monthly financial forecas'!W5="","",'POA — Monthly financial forecas'!W5&lt;=36))),'Model inputs'!AM24+('Model inputs'!AM25-'Model inputs'!AM24)*('POA — Monthly financial forecas'!W5-30)/6,IF('Model inputs'!AM25="","",'Model inputs'!AM25))))))))</f>
      </c>
    </row>
    <row r="745">
      <c r="A745" t="inlineStr" s="25">
        <is>
          <t xml:space="preserve">Calculation</t>
        </is>
      </c>
      <c r="B745">
        <f>(IF(IF(IF(ISERROR('POA — Monthly financial forecas'!X5&lt;=6),'POA — Monthly financial forecas'!X5&lt;=6,IF('POA — Monthly financial forecas'!X5="","",'POA — Monthly financial forecas'!X5&lt;=6))="",FALSE,IF(ISERROR('POA — Monthly financial forecas'!X5&lt;=6),'POA — Monthly financial forecas'!X5&lt;=6,IF('POA — Monthly financial forecas'!X5="","",'POA — Monthly financial forecas'!X5&lt;=6))),'Model inputs'!AM20+('Model inputs'!AM26-'Model inputs'!AM20)*('POA — Monthly financial forecas'!X5-0)/6,IF(IF(IF(ISERROR('POA — Monthly financial forecas'!X5&lt;=12),'POA — Monthly financial forecas'!X5&lt;=12,IF('POA — Monthly financial forecas'!X5="","",'POA — Monthly financial forecas'!X5&lt;=12))="",FALSE,IF(ISERROR('POA — Monthly financial forecas'!X5&lt;=12),'POA — Monthly financial forecas'!X5&lt;=12,IF('POA — Monthly financial forecas'!X5="","",'POA — Monthly financial forecas'!X5&lt;=12))),'Model inputs'!AM26+('Model inputs'!AM21-'Model inputs'!AM26)*('POA — Monthly financial forecas'!X5-6)/6,IF(IF(IF(ISERROR('POA — Monthly financial forecas'!X5&lt;=18),'POA — Monthly financial forecas'!X5&lt;=18,IF('POA — Monthly financial forecas'!X5="","",'POA — Monthly financial forecas'!X5&lt;=18))="",FALSE,IF(ISERROR('POA — Monthly financial forecas'!X5&lt;=18),'POA — Monthly financial forecas'!X5&lt;=18,IF('POA — Monthly financial forecas'!X5="","",'POA — Monthly financial forecas'!X5&lt;=18))),'Model inputs'!AM21+('Model inputs'!AM22-'Model inputs'!AM21)*('POA — Monthly financial forecas'!X5-12)/6,IF(IF(IF(ISERROR('POA — Monthly financial forecas'!X5&lt;=24),'POA — Monthly financial forecas'!X5&lt;=24,IF('POA — Monthly financial forecas'!X5="","",'POA — Monthly financial forecas'!X5&lt;=24))="",FALSE,IF(ISERROR('POA — Monthly financial forecas'!X5&lt;=24),'POA — Monthly financial forecas'!X5&lt;=24,IF('POA — Monthly financial forecas'!X5="","",'POA — Monthly financial forecas'!X5&lt;=24))),'Model inputs'!AM22+('Model inputs'!AM23-'Model inputs'!AM22)*('POA — Monthly financial forecas'!X5-18)/6,IF(IF(IF(ISERROR('POA — Monthly financial forecas'!X5&lt;=30),'POA — Monthly financial forecas'!X5&lt;=30,IF('POA — Monthly financial forecas'!X5="","",'POA — Monthly financial forecas'!X5&lt;=30))="",FALSE,IF(ISERROR('POA — Monthly financial forecas'!X5&lt;=30),'POA — Monthly financial forecas'!X5&lt;=30,IF('POA — Monthly financial forecas'!X5="","",'POA — Monthly financial forecas'!X5&lt;=30))),'Model inputs'!AM23+('Model inputs'!AM24-'Model inputs'!AM23)*('POA — Monthly financial forecas'!X5-24)/6,IF(IF(IF(ISERROR('POA — Monthly financial forecas'!X5&lt;=36),'POA — Monthly financial forecas'!X5&lt;=36,IF('POA — Monthly financial forecas'!X5="","",'POA — Monthly financial forecas'!X5&lt;=36))="",FALSE,IF(ISERROR('POA — Monthly financial forecas'!X5&lt;=36),'POA — Monthly financial forecas'!X5&lt;=36,IF('POA — Monthly financial forecas'!X5="","",'POA — Monthly financial forecas'!X5&lt;=36))),'Model inputs'!AM24+('Model inputs'!AM25-'Model inputs'!AM24)*('POA — Monthly financial forecas'!X5-30)/6,IF('Model inputs'!AM25="","",'Model inputs'!AM25))))))))</f>
      </c>
    </row>
    <row r="746">
      <c r="A746" t="inlineStr" s="25">
        <is>
          <t xml:space="preserve">Calculation</t>
        </is>
      </c>
      <c r="B746">
        <f>(IF(IF(IF(ISERROR('POA — Monthly financial forecas'!Y5&lt;=6),'POA — Monthly financial forecas'!Y5&lt;=6,IF('POA — Monthly financial forecas'!Y5="","",'POA — Monthly financial forecas'!Y5&lt;=6))="",FALSE,IF(ISERROR('POA — Monthly financial forecas'!Y5&lt;=6),'POA — Monthly financial forecas'!Y5&lt;=6,IF('POA — Monthly financial forecas'!Y5="","",'POA — Monthly financial forecas'!Y5&lt;=6))),'Model inputs'!AM20+('Model inputs'!AM26-'Model inputs'!AM20)*('POA — Monthly financial forecas'!Y5-0)/6,IF(IF(IF(ISERROR('POA — Monthly financial forecas'!Y5&lt;=12),'POA — Monthly financial forecas'!Y5&lt;=12,IF('POA — Monthly financial forecas'!Y5="","",'POA — Monthly financial forecas'!Y5&lt;=12))="",FALSE,IF(ISERROR('POA — Monthly financial forecas'!Y5&lt;=12),'POA — Monthly financial forecas'!Y5&lt;=12,IF('POA — Monthly financial forecas'!Y5="","",'POA — Monthly financial forecas'!Y5&lt;=12))),'Model inputs'!AM26+('Model inputs'!AM21-'Model inputs'!AM26)*('POA — Monthly financial forecas'!Y5-6)/6,IF(IF(IF(ISERROR('POA — Monthly financial forecas'!Y5&lt;=18),'POA — Monthly financial forecas'!Y5&lt;=18,IF('POA — Monthly financial forecas'!Y5="","",'POA — Monthly financial forecas'!Y5&lt;=18))="",FALSE,IF(ISERROR('POA — Monthly financial forecas'!Y5&lt;=18),'POA — Monthly financial forecas'!Y5&lt;=18,IF('POA — Monthly financial forecas'!Y5="","",'POA — Monthly financial forecas'!Y5&lt;=18))),'Model inputs'!AM21+('Model inputs'!AM22-'Model inputs'!AM21)*('POA — Monthly financial forecas'!Y5-12)/6,IF(IF(IF(ISERROR('POA — Monthly financial forecas'!Y5&lt;=24),'POA — Monthly financial forecas'!Y5&lt;=24,IF('POA — Monthly financial forecas'!Y5="","",'POA — Monthly financial forecas'!Y5&lt;=24))="",FALSE,IF(ISERROR('POA — Monthly financial forecas'!Y5&lt;=24),'POA — Monthly financial forecas'!Y5&lt;=24,IF('POA — Monthly financial forecas'!Y5="","",'POA — Monthly financial forecas'!Y5&lt;=24))),'Model inputs'!AM22+('Model inputs'!AM23-'Model inputs'!AM22)*('POA — Monthly financial forecas'!Y5-18)/6,IF(IF(IF(ISERROR('POA — Monthly financial forecas'!Y5&lt;=30),'POA — Monthly financial forecas'!Y5&lt;=30,IF('POA — Monthly financial forecas'!Y5="","",'POA — Monthly financial forecas'!Y5&lt;=30))="",FALSE,IF(ISERROR('POA — Monthly financial forecas'!Y5&lt;=30),'POA — Monthly financial forecas'!Y5&lt;=30,IF('POA — Monthly financial forecas'!Y5="","",'POA — Monthly financial forecas'!Y5&lt;=30))),'Model inputs'!AM23+('Model inputs'!AM24-'Model inputs'!AM23)*('POA — Monthly financial forecas'!Y5-24)/6,IF(IF(IF(ISERROR('POA — Monthly financial forecas'!Y5&lt;=36),'POA — Monthly financial forecas'!Y5&lt;=36,IF('POA — Monthly financial forecas'!Y5="","",'POA — Monthly financial forecas'!Y5&lt;=36))="",FALSE,IF(ISERROR('POA — Monthly financial forecas'!Y5&lt;=36),'POA — Monthly financial forecas'!Y5&lt;=36,IF('POA — Monthly financial forecas'!Y5="","",'POA — Monthly financial forecas'!Y5&lt;=36))),'Model inputs'!AM24+('Model inputs'!AM25-'Model inputs'!AM24)*('POA — Monthly financial forecas'!Y5-30)/6,IF('Model inputs'!AM25="","",'Model inputs'!AM25))))))))</f>
      </c>
    </row>
    <row r="747">
      <c r="A747" t="inlineStr" s="25">
        <is>
          <t xml:space="preserve">Calculation</t>
        </is>
      </c>
      <c r="B747">
        <f>(IF(IF(IF(ISERROR('POA — Monthly financial forecas'!Z5&lt;=6),'POA — Monthly financial forecas'!Z5&lt;=6,IF('POA — Monthly financial forecas'!Z5="","",'POA — Monthly financial forecas'!Z5&lt;=6))="",FALSE,IF(ISERROR('POA — Monthly financial forecas'!Z5&lt;=6),'POA — Monthly financial forecas'!Z5&lt;=6,IF('POA — Monthly financial forecas'!Z5="","",'POA — Monthly financial forecas'!Z5&lt;=6))),'Model inputs'!AM20+('Model inputs'!AM26-'Model inputs'!AM20)*('POA — Monthly financial forecas'!Z5-0)/6,IF(IF(IF(ISERROR('POA — Monthly financial forecas'!Z5&lt;=12),'POA — Monthly financial forecas'!Z5&lt;=12,IF('POA — Monthly financial forecas'!Z5="","",'POA — Monthly financial forecas'!Z5&lt;=12))="",FALSE,IF(ISERROR('POA — Monthly financial forecas'!Z5&lt;=12),'POA — Monthly financial forecas'!Z5&lt;=12,IF('POA — Monthly financial forecas'!Z5="","",'POA — Monthly financial forecas'!Z5&lt;=12))),'Model inputs'!AM26+('Model inputs'!AM21-'Model inputs'!AM26)*('POA — Monthly financial forecas'!Z5-6)/6,IF(IF(IF(ISERROR('POA — Monthly financial forecas'!Z5&lt;=18),'POA — Monthly financial forecas'!Z5&lt;=18,IF('POA — Monthly financial forecas'!Z5="","",'POA — Monthly financial forecas'!Z5&lt;=18))="",FALSE,IF(ISERROR('POA — Monthly financial forecas'!Z5&lt;=18),'POA — Monthly financial forecas'!Z5&lt;=18,IF('POA — Monthly financial forecas'!Z5="","",'POA — Monthly financial forecas'!Z5&lt;=18))),'Model inputs'!AM21+('Model inputs'!AM22-'Model inputs'!AM21)*('POA — Monthly financial forecas'!Z5-12)/6,IF(IF(IF(ISERROR('POA — Monthly financial forecas'!Z5&lt;=24),'POA — Monthly financial forecas'!Z5&lt;=24,IF('POA — Monthly financial forecas'!Z5="","",'POA — Monthly financial forecas'!Z5&lt;=24))="",FALSE,IF(ISERROR('POA — Monthly financial forecas'!Z5&lt;=24),'POA — Monthly financial forecas'!Z5&lt;=24,IF('POA — Monthly financial forecas'!Z5="","",'POA — Monthly financial forecas'!Z5&lt;=24))),'Model inputs'!AM22+('Model inputs'!AM23-'Model inputs'!AM22)*('POA — Monthly financial forecas'!Z5-18)/6,IF(IF(IF(ISERROR('POA — Monthly financial forecas'!Z5&lt;=30),'POA — Monthly financial forecas'!Z5&lt;=30,IF('POA — Monthly financial forecas'!Z5="","",'POA — Monthly financial forecas'!Z5&lt;=30))="",FALSE,IF(ISERROR('POA — Monthly financial forecas'!Z5&lt;=30),'POA — Monthly financial forecas'!Z5&lt;=30,IF('POA — Monthly financial forecas'!Z5="","",'POA — Monthly financial forecas'!Z5&lt;=30))),'Model inputs'!AM23+('Model inputs'!AM24-'Model inputs'!AM23)*('POA — Monthly financial forecas'!Z5-24)/6,IF(IF(IF(ISERROR('POA — Monthly financial forecas'!Z5&lt;=36),'POA — Monthly financial forecas'!Z5&lt;=36,IF('POA — Monthly financial forecas'!Z5="","",'POA — Monthly financial forecas'!Z5&lt;=36))="",FALSE,IF(ISERROR('POA — Monthly financial forecas'!Z5&lt;=36),'POA — Monthly financial forecas'!Z5&lt;=36,IF('POA — Monthly financial forecas'!Z5="","",'POA — Monthly financial forecas'!Z5&lt;=36))),'Model inputs'!AM24+('Model inputs'!AM25-'Model inputs'!AM24)*('POA — Monthly financial forecas'!Z5-30)/6,IF('Model inputs'!AM25="","",'Model inputs'!AM25))))))))</f>
      </c>
    </row>
    <row r="748">
      <c r="A748" t="inlineStr" s="25">
        <is>
          <t xml:space="preserve">Calculation</t>
        </is>
      </c>
      <c r="B748">
        <f>(IF(IF(IF(ISERROR('POA — Monthly financial forecas'!AA5&lt;=6),'POA — Monthly financial forecas'!AA5&lt;=6,IF('POA — Monthly financial forecas'!AA5="","",'POA — Monthly financial forecas'!AA5&lt;=6))="",FALSE,IF(ISERROR('POA — Monthly financial forecas'!AA5&lt;=6),'POA — Monthly financial forecas'!AA5&lt;=6,IF('POA — Monthly financial forecas'!AA5="","",'POA — Monthly financial forecas'!AA5&lt;=6))),'Model inputs'!AM20+('Model inputs'!AM26-'Model inputs'!AM20)*('POA — Monthly financial forecas'!AA5-0)/6,IF(IF(IF(ISERROR('POA — Monthly financial forecas'!AA5&lt;=12),'POA — Monthly financial forecas'!AA5&lt;=12,IF('POA — Monthly financial forecas'!AA5="","",'POA — Monthly financial forecas'!AA5&lt;=12))="",FALSE,IF(ISERROR('POA — Monthly financial forecas'!AA5&lt;=12),'POA — Monthly financial forecas'!AA5&lt;=12,IF('POA — Monthly financial forecas'!AA5="","",'POA — Monthly financial forecas'!AA5&lt;=12))),'Model inputs'!AM26+('Model inputs'!AM21-'Model inputs'!AM26)*('POA — Monthly financial forecas'!AA5-6)/6,IF(IF(IF(ISERROR('POA — Monthly financial forecas'!AA5&lt;=18),'POA — Monthly financial forecas'!AA5&lt;=18,IF('POA — Monthly financial forecas'!AA5="","",'POA — Monthly financial forecas'!AA5&lt;=18))="",FALSE,IF(ISERROR('POA — Monthly financial forecas'!AA5&lt;=18),'POA — Monthly financial forecas'!AA5&lt;=18,IF('POA — Monthly financial forecas'!AA5="","",'POA — Monthly financial forecas'!AA5&lt;=18))),'Model inputs'!AM21+('Model inputs'!AM22-'Model inputs'!AM21)*('POA — Monthly financial forecas'!AA5-12)/6,IF(IF(IF(ISERROR('POA — Monthly financial forecas'!AA5&lt;=24),'POA — Monthly financial forecas'!AA5&lt;=24,IF('POA — Monthly financial forecas'!AA5="","",'POA — Monthly financial forecas'!AA5&lt;=24))="",FALSE,IF(ISERROR('POA — Monthly financial forecas'!AA5&lt;=24),'POA — Monthly financial forecas'!AA5&lt;=24,IF('POA — Monthly financial forecas'!AA5="","",'POA — Monthly financial forecas'!AA5&lt;=24))),'Model inputs'!AM22+('Model inputs'!AM23-'Model inputs'!AM22)*('POA — Monthly financial forecas'!AA5-18)/6,IF(IF(IF(ISERROR('POA — Monthly financial forecas'!AA5&lt;=30),'POA — Monthly financial forecas'!AA5&lt;=30,IF('POA — Monthly financial forecas'!AA5="","",'POA — Monthly financial forecas'!AA5&lt;=30))="",FALSE,IF(ISERROR('POA — Monthly financial forecas'!AA5&lt;=30),'POA — Monthly financial forecas'!AA5&lt;=30,IF('POA — Monthly financial forecas'!AA5="","",'POA — Monthly financial forecas'!AA5&lt;=30))),'Model inputs'!AM23+('Model inputs'!AM24-'Model inputs'!AM23)*('POA — Monthly financial forecas'!AA5-24)/6,IF(IF(IF(ISERROR('POA — Monthly financial forecas'!AA5&lt;=36),'POA — Monthly financial forecas'!AA5&lt;=36,IF('POA — Monthly financial forecas'!AA5="","",'POA — Monthly financial forecas'!AA5&lt;=36))="",FALSE,IF(ISERROR('POA — Monthly financial forecas'!AA5&lt;=36),'POA — Monthly financial forecas'!AA5&lt;=36,IF('POA — Monthly financial forecas'!AA5="","",'POA — Monthly financial forecas'!AA5&lt;=36))),'Model inputs'!AM24+('Model inputs'!AM25-'Model inputs'!AM24)*('POA — Monthly financial forecas'!AA5-30)/6,IF('Model inputs'!AM25="","",'Model inputs'!AM25))))))))</f>
      </c>
    </row>
    <row r="749">
      <c r="A749" t="inlineStr" s="25">
        <is>
          <t xml:space="preserve">Calculation</t>
        </is>
      </c>
      <c r="B749">
        <f>(IF(IF(IF(ISERROR('POA — Monthly financial forecas'!AB5&lt;=6),'POA — Monthly financial forecas'!AB5&lt;=6,IF('POA — Monthly financial forecas'!AB5="","",'POA — Monthly financial forecas'!AB5&lt;=6))="",FALSE,IF(ISERROR('POA — Monthly financial forecas'!AB5&lt;=6),'POA — Monthly financial forecas'!AB5&lt;=6,IF('POA — Monthly financial forecas'!AB5="","",'POA — Monthly financial forecas'!AB5&lt;=6))),'Model inputs'!AM20+('Model inputs'!AM26-'Model inputs'!AM20)*('POA — Monthly financial forecas'!AB5-0)/6,IF(IF(IF(ISERROR('POA — Monthly financial forecas'!AB5&lt;=12),'POA — Monthly financial forecas'!AB5&lt;=12,IF('POA — Monthly financial forecas'!AB5="","",'POA — Monthly financial forecas'!AB5&lt;=12))="",FALSE,IF(ISERROR('POA — Monthly financial forecas'!AB5&lt;=12),'POA — Monthly financial forecas'!AB5&lt;=12,IF('POA — Monthly financial forecas'!AB5="","",'POA — Monthly financial forecas'!AB5&lt;=12))),'Model inputs'!AM26+('Model inputs'!AM21-'Model inputs'!AM26)*('POA — Monthly financial forecas'!AB5-6)/6,IF(IF(IF(ISERROR('POA — Monthly financial forecas'!AB5&lt;=18),'POA — Monthly financial forecas'!AB5&lt;=18,IF('POA — Monthly financial forecas'!AB5="","",'POA — Monthly financial forecas'!AB5&lt;=18))="",FALSE,IF(ISERROR('POA — Monthly financial forecas'!AB5&lt;=18),'POA — Monthly financial forecas'!AB5&lt;=18,IF('POA — Monthly financial forecas'!AB5="","",'POA — Monthly financial forecas'!AB5&lt;=18))),'Model inputs'!AM21+('Model inputs'!AM22-'Model inputs'!AM21)*('POA — Monthly financial forecas'!AB5-12)/6,IF(IF(IF(ISERROR('POA — Monthly financial forecas'!AB5&lt;=24),'POA — Monthly financial forecas'!AB5&lt;=24,IF('POA — Monthly financial forecas'!AB5="","",'POA — Monthly financial forecas'!AB5&lt;=24))="",FALSE,IF(ISERROR('POA — Monthly financial forecas'!AB5&lt;=24),'POA — Monthly financial forecas'!AB5&lt;=24,IF('POA — Monthly financial forecas'!AB5="","",'POA — Monthly financial forecas'!AB5&lt;=24))),'Model inputs'!AM22+('Model inputs'!AM23-'Model inputs'!AM22)*('POA — Monthly financial forecas'!AB5-18)/6,IF(IF(IF(ISERROR('POA — Monthly financial forecas'!AB5&lt;=30),'POA — Monthly financial forecas'!AB5&lt;=30,IF('POA — Monthly financial forecas'!AB5="","",'POA — Monthly financial forecas'!AB5&lt;=30))="",FALSE,IF(ISERROR('POA — Monthly financial forecas'!AB5&lt;=30),'POA — Monthly financial forecas'!AB5&lt;=30,IF('POA — Monthly financial forecas'!AB5="","",'POA — Monthly financial forecas'!AB5&lt;=30))),'Model inputs'!AM23+('Model inputs'!AM24-'Model inputs'!AM23)*('POA — Monthly financial forecas'!AB5-24)/6,IF(IF(IF(ISERROR('POA — Monthly financial forecas'!AB5&lt;=36),'POA — Monthly financial forecas'!AB5&lt;=36,IF('POA — Monthly financial forecas'!AB5="","",'POA — Monthly financial forecas'!AB5&lt;=36))="",FALSE,IF(ISERROR('POA — Monthly financial forecas'!AB5&lt;=36),'POA — Monthly financial forecas'!AB5&lt;=36,IF('POA — Monthly financial forecas'!AB5="","",'POA — Monthly financial forecas'!AB5&lt;=36))),'Model inputs'!AM24+('Model inputs'!AM25-'Model inputs'!AM24)*('POA — Monthly financial forecas'!AB5-30)/6,IF('Model inputs'!AM25="","",'Model inputs'!AM25))))))))</f>
      </c>
    </row>
    <row r="750">
      <c r="A750" t="inlineStr" s="25">
        <is>
          <t xml:space="preserve">Calculation</t>
        </is>
      </c>
      <c r="B750">
        <f>(IF(IF(IF(ISERROR('POA — Monthly financial forecas'!AC5&lt;=6),'POA — Monthly financial forecas'!AC5&lt;=6,IF('POA — Monthly financial forecas'!AC5="","",'POA — Monthly financial forecas'!AC5&lt;=6))="",FALSE,IF(ISERROR('POA — Monthly financial forecas'!AC5&lt;=6),'POA — Monthly financial forecas'!AC5&lt;=6,IF('POA — Monthly financial forecas'!AC5="","",'POA — Monthly financial forecas'!AC5&lt;=6))),'Model inputs'!AM20+('Model inputs'!AM26-'Model inputs'!AM20)*('POA — Monthly financial forecas'!AC5-0)/6,IF(IF(IF(ISERROR('POA — Monthly financial forecas'!AC5&lt;=12),'POA — Monthly financial forecas'!AC5&lt;=12,IF('POA — Monthly financial forecas'!AC5="","",'POA — Monthly financial forecas'!AC5&lt;=12))="",FALSE,IF(ISERROR('POA — Monthly financial forecas'!AC5&lt;=12),'POA — Monthly financial forecas'!AC5&lt;=12,IF('POA — Monthly financial forecas'!AC5="","",'POA — Monthly financial forecas'!AC5&lt;=12))),'Model inputs'!AM26+('Model inputs'!AM21-'Model inputs'!AM26)*('POA — Monthly financial forecas'!AC5-6)/6,IF(IF(IF(ISERROR('POA — Monthly financial forecas'!AC5&lt;=18),'POA — Monthly financial forecas'!AC5&lt;=18,IF('POA — Monthly financial forecas'!AC5="","",'POA — Monthly financial forecas'!AC5&lt;=18))="",FALSE,IF(ISERROR('POA — Monthly financial forecas'!AC5&lt;=18),'POA — Monthly financial forecas'!AC5&lt;=18,IF('POA — Monthly financial forecas'!AC5="","",'POA — Monthly financial forecas'!AC5&lt;=18))),'Model inputs'!AM21+('Model inputs'!AM22-'Model inputs'!AM21)*('POA — Monthly financial forecas'!AC5-12)/6,IF(IF(IF(ISERROR('POA — Monthly financial forecas'!AC5&lt;=24),'POA — Monthly financial forecas'!AC5&lt;=24,IF('POA — Monthly financial forecas'!AC5="","",'POA — Monthly financial forecas'!AC5&lt;=24))="",FALSE,IF(ISERROR('POA — Monthly financial forecas'!AC5&lt;=24),'POA — Monthly financial forecas'!AC5&lt;=24,IF('POA — Monthly financial forecas'!AC5="","",'POA — Monthly financial forecas'!AC5&lt;=24))),'Model inputs'!AM22+('Model inputs'!AM23-'Model inputs'!AM22)*('POA — Monthly financial forecas'!AC5-18)/6,IF(IF(IF(ISERROR('POA — Monthly financial forecas'!AC5&lt;=30),'POA — Monthly financial forecas'!AC5&lt;=30,IF('POA — Monthly financial forecas'!AC5="","",'POA — Monthly financial forecas'!AC5&lt;=30))="",FALSE,IF(ISERROR('POA — Monthly financial forecas'!AC5&lt;=30),'POA — Monthly financial forecas'!AC5&lt;=30,IF('POA — Monthly financial forecas'!AC5="","",'POA — Monthly financial forecas'!AC5&lt;=30))),'Model inputs'!AM23+('Model inputs'!AM24-'Model inputs'!AM23)*('POA — Monthly financial forecas'!AC5-24)/6,IF(IF(IF(ISERROR('POA — Monthly financial forecas'!AC5&lt;=36),'POA — Monthly financial forecas'!AC5&lt;=36,IF('POA — Monthly financial forecas'!AC5="","",'POA — Monthly financial forecas'!AC5&lt;=36))="",FALSE,IF(ISERROR('POA — Monthly financial forecas'!AC5&lt;=36),'POA — Monthly financial forecas'!AC5&lt;=36,IF('POA — Monthly financial forecas'!AC5="","",'POA — Monthly financial forecas'!AC5&lt;=36))),'Model inputs'!AM24+('Model inputs'!AM25-'Model inputs'!AM24)*('POA — Monthly financial forecas'!AC5-30)/6,IF('Model inputs'!AM25="","",'Model inputs'!AM25))))))))</f>
      </c>
    </row>
    <row r="751">
      <c r="A751" t="inlineStr" s="25">
        <is>
          <t xml:space="preserve">Calculation</t>
        </is>
      </c>
      <c r="B751">
        <f>(IF(IF(IF(ISERROR('POA — Monthly financial forecas'!AD5&lt;=6),'POA — Monthly financial forecas'!AD5&lt;=6,IF('POA — Monthly financial forecas'!AD5="","",'POA — Monthly financial forecas'!AD5&lt;=6))="",FALSE,IF(ISERROR('POA — Monthly financial forecas'!AD5&lt;=6),'POA — Monthly financial forecas'!AD5&lt;=6,IF('POA — Monthly financial forecas'!AD5="","",'POA — Monthly financial forecas'!AD5&lt;=6))),'Model inputs'!AM20+('Model inputs'!AM26-'Model inputs'!AM20)*('POA — Monthly financial forecas'!AD5-0)/6,IF(IF(IF(ISERROR('POA — Monthly financial forecas'!AD5&lt;=12),'POA — Monthly financial forecas'!AD5&lt;=12,IF('POA — Monthly financial forecas'!AD5="","",'POA — Monthly financial forecas'!AD5&lt;=12))="",FALSE,IF(ISERROR('POA — Monthly financial forecas'!AD5&lt;=12),'POA — Monthly financial forecas'!AD5&lt;=12,IF('POA — Monthly financial forecas'!AD5="","",'POA — Monthly financial forecas'!AD5&lt;=12))),'Model inputs'!AM26+('Model inputs'!AM21-'Model inputs'!AM26)*('POA — Monthly financial forecas'!AD5-6)/6,IF(IF(IF(ISERROR('POA — Monthly financial forecas'!AD5&lt;=18),'POA — Monthly financial forecas'!AD5&lt;=18,IF('POA — Monthly financial forecas'!AD5="","",'POA — Monthly financial forecas'!AD5&lt;=18))="",FALSE,IF(ISERROR('POA — Monthly financial forecas'!AD5&lt;=18),'POA — Monthly financial forecas'!AD5&lt;=18,IF('POA — Monthly financial forecas'!AD5="","",'POA — Monthly financial forecas'!AD5&lt;=18))),'Model inputs'!AM21+('Model inputs'!AM22-'Model inputs'!AM21)*('POA — Monthly financial forecas'!AD5-12)/6,IF(IF(IF(ISERROR('POA — Monthly financial forecas'!AD5&lt;=24),'POA — Monthly financial forecas'!AD5&lt;=24,IF('POA — Monthly financial forecas'!AD5="","",'POA — Monthly financial forecas'!AD5&lt;=24))="",FALSE,IF(ISERROR('POA — Monthly financial forecas'!AD5&lt;=24),'POA — Monthly financial forecas'!AD5&lt;=24,IF('POA — Monthly financial forecas'!AD5="","",'POA — Monthly financial forecas'!AD5&lt;=24))),'Model inputs'!AM22+('Model inputs'!AM23-'Model inputs'!AM22)*('POA — Monthly financial forecas'!AD5-18)/6,IF(IF(IF(ISERROR('POA — Monthly financial forecas'!AD5&lt;=30),'POA — Monthly financial forecas'!AD5&lt;=30,IF('POA — Monthly financial forecas'!AD5="","",'POA — Monthly financial forecas'!AD5&lt;=30))="",FALSE,IF(ISERROR('POA — Monthly financial forecas'!AD5&lt;=30),'POA — Monthly financial forecas'!AD5&lt;=30,IF('POA — Monthly financial forecas'!AD5="","",'POA — Monthly financial forecas'!AD5&lt;=30))),'Model inputs'!AM23+('Model inputs'!AM24-'Model inputs'!AM23)*('POA — Monthly financial forecas'!AD5-24)/6,IF(IF(IF(ISERROR('POA — Monthly financial forecas'!AD5&lt;=36),'POA — Monthly financial forecas'!AD5&lt;=36,IF('POA — Monthly financial forecas'!AD5="","",'POA — Monthly financial forecas'!AD5&lt;=36))="",FALSE,IF(ISERROR('POA — Monthly financial forecas'!AD5&lt;=36),'POA — Monthly financial forecas'!AD5&lt;=36,IF('POA — Monthly financial forecas'!AD5="","",'POA — Monthly financial forecas'!AD5&lt;=36))),'Model inputs'!AM24+('Model inputs'!AM25-'Model inputs'!AM24)*('POA — Monthly financial forecas'!AD5-30)/6,IF('Model inputs'!AM25="","",'Model inputs'!AM25))))))))</f>
      </c>
    </row>
    <row r="752">
      <c r="A752" t="inlineStr" s="25">
        <is>
          <t xml:space="preserve">Calculation</t>
        </is>
      </c>
      <c r="B752">
        <f>(IF(IF(IF(ISERROR('POA — Monthly financial forecas'!AE5&lt;=6),'POA — Monthly financial forecas'!AE5&lt;=6,IF('POA — Monthly financial forecas'!AE5="","",'POA — Monthly financial forecas'!AE5&lt;=6))="",FALSE,IF(ISERROR('POA — Monthly financial forecas'!AE5&lt;=6),'POA — Monthly financial forecas'!AE5&lt;=6,IF('POA — Monthly financial forecas'!AE5="","",'POA — Monthly financial forecas'!AE5&lt;=6))),'Model inputs'!AM20+('Model inputs'!AM26-'Model inputs'!AM20)*('POA — Monthly financial forecas'!AE5-0)/6,IF(IF(IF(ISERROR('POA — Monthly financial forecas'!AE5&lt;=12),'POA — Monthly financial forecas'!AE5&lt;=12,IF('POA — Monthly financial forecas'!AE5="","",'POA — Monthly financial forecas'!AE5&lt;=12))="",FALSE,IF(ISERROR('POA — Monthly financial forecas'!AE5&lt;=12),'POA — Monthly financial forecas'!AE5&lt;=12,IF('POA — Monthly financial forecas'!AE5="","",'POA — Monthly financial forecas'!AE5&lt;=12))),'Model inputs'!AM26+('Model inputs'!AM21-'Model inputs'!AM26)*('POA — Monthly financial forecas'!AE5-6)/6,IF(IF(IF(ISERROR('POA — Monthly financial forecas'!AE5&lt;=18),'POA — Monthly financial forecas'!AE5&lt;=18,IF('POA — Monthly financial forecas'!AE5="","",'POA — Monthly financial forecas'!AE5&lt;=18))="",FALSE,IF(ISERROR('POA — Monthly financial forecas'!AE5&lt;=18),'POA — Monthly financial forecas'!AE5&lt;=18,IF('POA — Monthly financial forecas'!AE5="","",'POA — Monthly financial forecas'!AE5&lt;=18))),'Model inputs'!AM21+('Model inputs'!AM22-'Model inputs'!AM21)*('POA — Monthly financial forecas'!AE5-12)/6,IF(IF(IF(ISERROR('POA — Monthly financial forecas'!AE5&lt;=24),'POA — Monthly financial forecas'!AE5&lt;=24,IF('POA — Monthly financial forecas'!AE5="","",'POA — Monthly financial forecas'!AE5&lt;=24))="",FALSE,IF(ISERROR('POA — Monthly financial forecas'!AE5&lt;=24),'POA — Monthly financial forecas'!AE5&lt;=24,IF('POA — Monthly financial forecas'!AE5="","",'POA — Monthly financial forecas'!AE5&lt;=24))),'Model inputs'!AM22+('Model inputs'!AM23-'Model inputs'!AM22)*('POA — Monthly financial forecas'!AE5-18)/6,IF(IF(IF(ISERROR('POA — Monthly financial forecas'!AE5&lt;=30),'POA — Monthly financial forecas'!AE5&lt;=30,IF('POA — Monthly financial forecas'!AE5="","",'POA — Monthly financial forecas'!AE5&lt;=30))="",FALSE,IF(ISERROR('POA — Monthly financial forecas'!AE5&lt;=30),'POA — Monthly financial forecas'!AE5&lt;=30,IF('POA — Monthly financial forecas'!AE5="","",'POA — Monthly financial forecas'!AE5&lt;=30))),'Model inputs'!AM23+('Model inputs'!AM24-'Model inputs'!AM23)*('POA — Monthly financial forecas'!AE5-24)/6,IF(IF(IF(ISERROR('POA — Monthly financial forecas'!AE5&lt;=36),'POA — Monthly financial forecas'!AE5&lt;=36,IF('POA — Monthly financial forecas'!AE5="","",'POA — Monthly financial forecas'!AE5&lt;=36))="",FALSE,IF(ISERROR('POA — Monthly financial forecas'!AE5&lt;=36),'POA — Monthly financial forecas'!AE5&lt;=36,IF('POA — Monthly financial forecas'!AE5="","",'POA — Monthly financial forecas'!AE5&lt;=36))),'Model inputs'!AM24+('Model inputs'!AM25-'Model inputs'!AM24)*('POA — Monthly financial forecas'!AE5-30)/6,IF('Model inputs'!AM25="","",'Model inputs'!AM25))))))))</f>
      </c>
    </row>
    <row r="753">
      <c r="A753" t="inlineStr" s="25">
        <is>
          <t xml:space="preserve">Calculation</t>
        </is>
      </c>
      <c r="B753">
        <f>(IF(IF(IF(ISERROR('POA — Monthly financial forecas'!AF5&lt;=6),'POA — Monthly financial forecas'!AF5&lt;=6,IF('POA — Monthly financial forecas'!AF5="","",'POA — Monthly financial forecas'!AF5&lt;=6))="",FALSE,IF(ISERROR('POA — Monthly financial forecas'!AF5&lt;=6),'POA — Monthly financial forecas'!AF5&lt;=6,IF('POA — Monthly financial forecas'!AF5="","",'POA — Monthly financial forecas'!AF5&lt;=6))),'Model inputs'!AM20+('Model inputs'!AM26-'Model inputs'!AM20)*('POA — Monthly financial forecas'!AF5-0)/6,IF(IF(IF(ISERROR('POA — Monthly financial forecas'!AF5&lt;=12),'POA — Monthly financial forecas'!AF5&lt;=12,IF('POA — Monthly financial forecas'!AF5="","",'POA — Monthly financial forecas'!AF5&lt;=12))="",FALSE,IF(ISERROR('POA — Monthly financial forecas'!AF5&lt;=12),'POA — Monthly financial forecas'!AF5&lt;=12,IF('POA — Monthly financial forecas'!AF5="","",'POA — Monthly financial forecas'!AF5&lt;=12))),'Model inputs'!AM26+('Model inputs'!AM21-'Model inputs'!AM26)*('POA — Monthly financial forecas'!AF5-6)/6,IF(IF(IF(ISERROR('POA — Monthly financial forecas'!AF5&lt;=18),'POA — Monthly financial forecas'!AF5&lt;=18,IF('POA — Monthly financial forecas'!AF5="","",'POA — Monthly financial forecas'!AF5&lt;=18))="",FALSE,IF(ISERROR('POA — Monthly financial forecas'!AF5&lt;=18),'POA — Monthly financial forecas'!AF5&lt;=18,IF('POA — Monthly financial forecas'!AF5="","",'POA — Monthly financial forecas'!AF5&lt;=18))),'Model inputs'!AM21+('Model inputs'!AM22-'Model inputs'!AM21)*('POA — Monthly financial forecas'!AF5-12)/6,IF(IF(IF(ISERROR('POA — Monthly financial forecas'!AF5&lt;=24),'POA — Monthly financial forecas'!AF5&lt;=24,IF('POA — Monthly financial forecas'!AF5="","",'POA — Monthly financial forecas'!AF5&lt;=24))="",FALSE,IF(ISERROR('POA — Monthly financial forecas'!AF5&lt;=24),'POA — Monthly financial forecas'!AF5&lt;=24,IF('POA — Monthly financial forecas'!AF5="","",'POA — Monthly financial forecas'!AF5&lt;=24))),'Model inputs'!AM22+('Model inputs'!AM23-'Model inputs'!AM22)*('POA — Monthly financial forecas'!AF5-18)/6,IF(IF(IF(ISERROR('POA — Monthly financial forecas'!AF5&lt;=30),'POA — Monthly financial forecas'!AF5&lt;=30,IF('POA — Monthly financial forecas'!AF5="","",'POA — Monthly financial forecas'!AF5&lt;=30))="",FALSE,IF(ISERROR('POA — Monthly financial forecas'!AF5&lt;=30),'POA — Monthly financial forecas'!AF5&lt;=30,IF('POA — Monthly financial forecas'!AF5="","",'POA — Monthly financial forecas'!AF5&lt;=30))),'Model inputs'!AM23+('Model inputs'!AM24-'Model inputs'!AM23)*('POA — Monthly financial forecas'!AF5-24)/6,IF(IF(IF(ISERROR('POA — Monthly financial forecas'!AF5&lt;=36),'POA — Monthly financial forecas'!AF5&lt;=36,IF('POA — Monthly financial forecas'!AF5="","",'POA — Monthly financial forecas'!AF5&lt;=36))="",FALSE,IF(ISERROR('POA — Monthly financial forecas'!AF5&lt;=36),'POA — Monthly financial forecas'!AF5&lt;=36,IF('POA — Monthly financial forecas'!AF5="","",'POA — Monthly financial forecas'!AF5&lt;=36))),'Model inputs'!AM24+('Model inputs'!AM25-'Model inputs'!AM24)*('POA — Monthly financial forecas'!AF5-30)/6,IF('Model inputs'!AM25="","",'Model inputs'!AM25))))))))</f>
      </c>
    </row>
    <row r="754">
      <c r="A754" t="inlineStr" s="25">
        <is>
          <t xml:space="preserve">Calculation</t>
        </is>
      </c>
      <c r="B754">
        <f>(IF(IF(IF(ISERROR('POA — Monthly financial forecas'!AG5&lt;=6),'POA — Monthly financial forecas'!AG5&lt;=6,IF('POA — Monthly financial forecas'!AG5="","",'POA — Monthly financial forecas'!AG5&lt;=6))="",FALSE,IF(ISERROR('POA — Monthly financial forecas'!AG5&lt;=6),'POA — Monthly financial forecas'!AG5&lt;=6,IF('POA — Monthly financial forecas'!AG5="","",'POA — Monthly financial forecas'!AG5&lt;=6))),'Model inputs'!AM20+('Model inputs'!AM26-'Model inputs'!AM20)*('POA — Monthly financial forecas'!AG5-0)/6,IF(IF(IF(ISERROR('POA — Monthly financial forecas'!AG5&lt;=12),'POA — Monthly financial forecas'!AG5&lt;=12,IF('POA — Monthly financial forecas'!AG5="","",'POA — Monthly financial forecas'!AG5&lt;=12))="",FALSE,IF(ISERROR('POA — Monthly financial forecas'!AG5&lt;=12),'POA — Monthly financial forecas'!AG5&lt;=12,IF('POA — Monthly financial forecas'!AG5="","",'POA — Monthly financial forecas'!AG5&lt;=12))),'Model inputs'!AM26+('Model inputs'!AM21-'Model inputs'!AM26)*('POA — Monthly financial forecas'!AG5-6)/6,IF(IF(IF(ISERROR('POA — Monthly financial forecas'!AG5&lt;=18),'POA — Monthly financial forecas'!AG5&lt;=18,IF('POA — Monthly financial forecas'!AG5="","",'POA — Monthly financial forecas'!AG5&lt;=18))="",FALSE,IF(ISERROR('POA — Monthly financial forecas'!AG5&lt;=18),'POA — Monthly financial forecas'!AG5&lt;=18,IF('POA — Monthly financial forecas'!AG5="","",'POA — Monthly financial forecas'!AG5&lt;=18))),'Model inputs'!AM21+('Model inputs'!AM22-'Model inputs'!AM21)*('POA — Monthly financial forecas'!AG5-12)/6,IF(IF(IF(ISERROR('POA — Monthly financial forecas'!AG5&lt;=24),'POA — Monthly financial forecas'!AG5&lt;=24,IF('POA — Monthly financial forecas'!AG5="","",'POA — Monthly financial forecas'!AG5&lt;=24))="",FALSE,IF(ISERROR('POA — Monthly financial forecas'!AG5&lt;=24),'POA — Monthly financial forecas'!AG5&lt;=24,IF('POA — Monthly financial forecas'!AG5="","",'POA — Monthly financial forecas'!AG5&lt;=24))),'Model inputs'!AM22+('Model inputs'!AM23-'Model inputs'!AM22)*('POA — Monthly financial forecas'!AG5-18)/6,IF(IF(IF(ISERROR('POA — Monthly financial forecas'!AG5&lt;=30),'POA — Monthly financial forecas'!AG5&lt;=30,IF('POA — Monthly financial forecas'!AG5="","",'POA — Monthly financial forecas'!AG5&lt;=30))="",FALSE,IF(ISERROR('POA — Monthly financial forecas'!AG5&lt;=30),'POA — Monthly financial forecas'!AG5&lt;=30,IF('POA — Monthly financial forecas'!AG5="","",'POA — Monthly financial forecas'!AG5&lt;=30))),'Model inputs'!AM23+('Model inputs'!AM24-'Model inputs'!AM23)*('POA — Monthly financial forecas'!AG5-24)/6,IF(IF(IF(ISERROR('POA — Monthly financial forecas'!AG5&lt;=36),'POA — Monthly financial forecas'!AG5&lt;=36,IF('POA — Monthly financial forecas'!AG5="","",'POA — Monthly financial forecas'!AG5&lt;=36))="",FALSE,IF(ISERROR('POA — Monthly financial forecas'!AG5&lt;=36),'POA — Monthly financial forecas'!AG5&lt;=36,IF('POA — Monthly financial forecas'!AG5="","",'POA — Monthly financial forecas'!AG5&lt;=36))),'Model inputs'!AM24+('Model inputs'!AM25-'Model inputs'!AM24)*('POA — Monthly financial forecas'!AG5-30)/6,IF('Model inputs'!AM25="","",'Model inputs'!AM25))))))))</f>
      </c>
    </row>
    <row r="755">
      <c r="A755" t="inlineStr" s="25">
        <is>
          <t xml:space="preserve">Calculation</t>
        </is>
      </c>
      <c r="B755">
        <f>(IF(IF(IF(ISERROR('POA — Monthly financial forecas'!AH5&lt;=6),'POA — Monthly financial forecas'!AH5&lt;=6,IF('POA — Monthly financial forecas'!AH5="","",'POA — Monthly financial forecas'!AH5&lt;=6))="",FALSE,IF(ISERROR('POA — Monthly financial forecas'!AH5&lt;=6),'POA — Monthly financial forecas'!AH5&lt;=6,IF('POA — Monthly financial forecas'!AH5="","",'POA — Monthly financial forecas'!AH5&lt;=6))),'Model inputs'!AM20+('Model inputs'!AM26-'Model inputs'!AM20)*('POA — Monthly financial forecas'!AH5-0)/6,IF(IF(IF(ISERROR('POA — Monthly financial forecas'!AH5&lt;=12),'POA — Monthly financial forecas'!AH5&lt;=12,IF('POA — Monthly financial forecas'!AH5="","",'POA — Monthly financial forecas'!AH5&lt;=12))="",FALSE,IF(ISERROR('POA — Monthly financial forecas'!AH5&lt;=12),'POA — Monthly financial forecas'!AH5&lt;=12,IF('POA — Monthly financial forecas'!AH5="","",'POA — Monthly financial forecas'!AH5&lt;=12))),'Model inputs'!AM26+('Model inputs'!AM21-'Model inputs'!AM26)*('POA — Monthly financial forecas'!AH5-6)/6,IF(IF(IF(ISERROR('POA — Monthly financial forecas'!AH5&lt;=18),'POA — Monthly financial forecas'!AH5&lt;=18,IF('POA — Monthly financial forecas'!AH5="","",'POA — Monthly financial forecas'!AH5&lt;=18))="",FALSE,IF(ISERROR('POA — Monthly financial forecas'!AH5&lt;=18),'POA — Monthly financial forecas'!AH5&lt;=18,IF('POA — Monthly financial forecas'!AH5="","",'POA — Monthly financial forecas'!AH5&lt;=18))),'Model inputs'!AM21+('Model inputs'!AM22-'Model inputs'!AM21)*('POA — Monthly financial forecas'!AH5-12)/6,IF(IF(IF(ISERROR('POA — Monthly financial forecas'!AH5&lt;=24),'POA — Monthly financial forecas'!AH5&lt;=24,IF('POA — Monthly financial forecas'!AH5="","",'POA — Monthly financial forecas'!AH5&lt;=24))="",FALSE,IF(ISERROR('POA — Monthly financial forecas'!AH5&lt;=24),'POA — Monthly financial forecas'!AH5&lt;=24,IF('POA — Monthly financial forecas'!AH5="","",'POA — Monthly financial forecas'!AH5&lt;=24))),'Model inputs'!AM22+('Model inputs'!AM23-'Model inputs'!AM22)*('POA — Monthly financial forecas'!AH5-18)/6,IF(IF(IF(ISERROR('POA — Monthly financial forecas'!AH5&lt;=30),'POA — Monthly financial forecas'!AH5&lt;=30,IF('POA — Monthly financial forecas'!AH5="","",'POA — Monthly financial forecas'!AH5&lt;=30))="",FALSE,IF(ISERROR('POA — Monthly financial forecas'!AH5&lt;=30),'POA — Monthly financial forecas'!AH5&lt;=30,IF('POA — Monthly financial forecas'!AH5="","",'POA — Monthly financial forecas'!AH5&lt;=30))),'Model inputs'!AM23+('Model inputs'!AM24-'Model inputs'!AM23)*('POA — Monthly financial forecas'!AH5-24)/6,IF(IF(IF(ISERROR('POA — Monthly financial forecas'!AH5&lt;=36),'POA — Monthly financial forecas'!AH5&lt;=36,IF('POA — Monthly financial forecas'!AH5="","",'POA — Monthly financial forecas'!AH5&lt;=36))="",FALSE,IF(ISERROR('POA — Monthly financial forecas'!AH5&lt;=36),'POA — Monthly financial forecas'!AH5&lt;=36,IF('POA — Monthly financial forecas'!AH5="","",'POA — Monthly financial forecas'!AH5&lt;=36))),'Model inputs'!AM24+('Model inputs'!AM25-'Model inputs'!AM24)*('POA — Monthly financial forecas'!AH5-30)/6,IF('Model inputs'!AM25="","",'Model inputs'!AM25))))))))</f>
      </c>
    </row>
    <row r="756">
      <c r="A756" t="inlineStr" s="25">
        <is>
          <t xml:space="preserve">Calculation</t>
        </is>
      </c>
      <c r="B756">
        <f>(IF(IF(IF(ISERROR('POA — Monthly financial forecas'!AI5&lt;=6),'POA — Monthly financial forecas'!AI5&lt;=6,IF('POA — Monthly financial forecas'!AI5="","",'POA — Monthly financial forecas'!AI5&lt;=6))="",FALSE,IF(ISERROR('POA — Monthly financial forecas'!AI5&lt;=6),'POA — Monthly financial forecas'!AI5&lt;=6,IF('POA — Monthly financial forecas'!AI5="","",'POA — Monthly financial forecas'!AI5&lt;=6))),'Model inputs'!AM20+('Model inputs'!AM26-'Model inputs'!AM20)*('POA — Monthly financial forecas'!AI5-0)/6,IF(IF(IF(ISERROR('POA — Monthly financial forecas'!AI5&lt;=12),'POA — Monthly financial forecas'!AI5&lt;=12,IF('POA — Monthly financial forecas'!AI5="","",'POA — Monthly financial forecas'!AI5&lt;=12))="",FALSE,IF(ISERROR('POA — Monthly financial forecas'!AI5&lt;=12),'POA — Monthly financial forecas'!AI5&lt;=12,IF('POA — Monthly financial forecas'!AI5="","",'POA — Monthly financial forecas'!AI5&lt;=12))),'Model inputs'!AM26+('Model inputs'!AM21-'Model inputs'!AM26)*('POA — Monthly financial forecas'!AI5-6)/6,IF(IF(IF(ISERROR('POA — Monthly financial forecas'!AI5&lt;=18),'POA — Monthly financial forecas'!AI5&lt;=18,IF('POA — Monthly financial forecas'!AI5="","",'POA — Monthly financial forecas'!AI5&lt;=18))="",FALSE,IF(ISERROR('POA — Monthly financial forecas'!AI5&lt;=18),'POA — Monthly financial forecas'!AI5&lt;=18,IF('POA — Monthly financial forecas'!AI5="","",'POA — Monthly financial forecas'!AI5&lt;=18))),'Model inputs'!AM21+('Model inputs'!AM22-'Model inputs'!AM21)*('POA — Monthly financial forecas'!AI5-12)/6,IF(IF(IF(ISERROR('POA — Monthly financial forecas'!AI5&lt;=24),'POA — Monthly financial forecas'!AI5&lt;=24,IF('POA — Monthly financial forecas'!AI5="","",'POA — Monthly financial forecas'!AI5&lt;=24))="",FALSE,IF(ISERROR('POA — Monthly financial forecas'!AI5&lt;=24),'POA — Monthly financial forecas'!AI5&lt;=24,IF('POA — Monthly financial forecas'!AI5="","",'POA — Monthly financial forecas'!AI5&lt;=24))),'Model inputs'!AM22+('Model inputs'!AM23-'Model inputs'!AM22)*('POA — Monthly financial forecas'!AI5-18)/6,IF(IF(IF(ISERROR('POA — Monthly financial forecas'!AI5&lt;=30),'POA — Monthly financial forecas'!AI5&lt;=30,IF('POA — Monthly financial forecas'!AI5="","",'POA — Monthly financial forecas'!AI5&lt;=30))="",FALSE,IF(ISERROR('POA — Monthly financial forecas'!AI5&lt;=30),'POA — Monthly financial forecas'!AI5&lt;=30,IF('POA — Monthly financial forecas'!AI5="","",'POA — Monthly financial forecas'!AI5&lt;=30))),'Model inputs'!AM23+('Model inputs'!AM24-'Model inputs'!AM23)*('POA — Monthly financial forecas'!AI5-24)/6,IF(IF(IF(ISERROR('POA — Monthly financial forecas'!AI5&lt;=36),'POA — Monthly financial forecas'!AI5&lt;=36,IF('POA — Monthly financial forecas'!AI5="","",'POA — Monthly financial forecas'!AI5&lt;=36))="",FALSE,IF(ISERROR('POA — Monthly financial forecas'!AI5&lt;=36),'POA — Monthly financial forecas'!AI5&lt;=36,IF('POA — Monthly financial forecas'!AI5="","",'POA — Monthly financial forecas'!AI5&lt;=36))),'Model inputs'!AM24+('Model inputs'!AM25-'Model inputs'!AM24)*('POA — Monthly financial forecas'!AI5-30)/6,IF('Model inputs'!AM25="","",'Model inputs'!AM25))))))))</f>
      </c>
    </row>
    <row r="757">
      <c r="A757" t="inlineStr" s="25">
        <is>
          <t xml:space="preserve">Calculation</t>
        </is>
      </c>
      <c r="B757">
        <f>(IF(IF(IF(ISERROR('POA — Monthly financial forecas'!AJ5&lt;=6),'POA — Monthly financial forecas'!AJ5&lt;=6,IF('POA — Monthly financial forecas'!AJ5="","",'POA — Monthly financial forecas'!AJ5&lt;=6))="",FALSE,IF(ISERROR('POA — Monthly financial forecas'!AJ5&lt;=6),'POA — Monthly financial forecas'!AJ5&lt;=6,IF('POA — Monthly financial forecas'!AJ5="","",'POA — Monthly financial forecas'!AJ5&lt;=6))),'Model inputs'!AM20+('Model inputs'!AM26-'Model inputs'!AM20)*('POA — Monthly financial forecas'!AJ5-0)/6,IF(IF(IF(ISERROR('POA — Monthly financial forecas'!AJ5&lt;=12),'POA — Monthly financial forecas'!AJ5&lt;=12,IF('POA — Monthly financial forecas'!AJ5="","",'POA — Monthly financial forecas'!AJ5&lt;=12))="",FALSE,IF(ISERROR('POA — Monthly financial forecas'!AJ5&lt;=12),'POA — Monthly financial forecas'!AJ5&lt;=12,IF('POA — Monthly financial forecas'!AJ5="","",'POA — Monthly financial forecas'!AJ5&lt;=12))),'Model inputs'!AM26+('Model inputs'!AM21-'Model inputs'!AM26)*('POA — Monthly financial forecas'!AJ5-6)/6,IF(IF(IF(ISERROR('POA — Monthly financial forecas'!AJ5&lt;=18),'POA — Monthly financial forecas'!AJ5&lt;=18,IF('POA — Monthly financial forecas'!AJ5="","",'POA — Monthly financial forecas'!AJ5&lt;=18))="",FALSE,IF(ISERROR('POA — Monthly financial forecas'!AJ5&lt;=18),'POA — Monthly financial forecas'!AJ5&lt;=18,IF('POA — Monthly financial forecas'!AJ5="","",'POA — Monthly financial forecas'!AJ5&lt;=18))),'Model inputs'!AM21+('Model inputs'!AM22-'Model inputs'!AM21)*('POA — Monthly financial forecas'!AJ5-12)/6,IF(IF(IF(ISERROR('POA — Monthly financial forecas'!AJ5&lt;=24),'POA — Monthly financial forecas'!AJ5&lt;=24,IF('POA — Monthly financial forecas'!AJ5="","",'POA — Monthly financial forecas'!AJ5&lt;=24))="",FALSE,IF(ISERROR('POA — Monthly financial forecas'!AJ5&lt;=24),'POA — Monthly financial forecas'!AJ5&lt;=24,IF('POA — Monthly financial forecas'!AJ5="","",'POA — Monthly financial forecas'!AJ5&lt;=24))),'Model inputs'!AM22+('Model inputs'!AM23-'Model inputs'!AM22)*('POA — Monthly financial forecas'!AJ5-18)/6,IF(IF(IF(ISERROR('POA — Monthly financial forecas'!AJ5&lt;=30),'POA — Monthly financial forecas'!AJ5&lt;=30,IF('POA — Monthly financial forecas'!AJ5="","",'POA — Monthly financial forecas'!AJ5&lt;=30))="",FALSE,IF(ISERROR('POA — Monthly financial forecas'!AJ5&lt;=30),'POA — Monthly financial forecas'!AJ5&lt;=30,IF('POA — Monthly financial forecas'!AJ5="","",'POA — Monthly financial forecas'!AJ5&lt;=30))),'Model inputs'!AM23+('Model inputs'!AM24-'Model inputs'!AM23)*('POA — Monthly financial forecas'!AJ5-24)/6,IF(IF(IF(ISERROR('POA — Monthly financial forecas'!AJ5&lt;=36),'POA — Monthly financial forecas'!AJ5&lt;=36,IF('POA — Monthly financial forecas'!AJ5="","",'POA — Monthly financial forecas'!AJ5&lt;=36))="",FALSE,IF(ISERROR('POA — Monthly financial forecas'!AJ5&lt;=36),'POA — Monthly financial forecas'!AJ5&lt;=36,IF('POA — Monthly financial forecas'!AJ5="","",'POA — Monthly financial forecas'!AJ5&lt;=36))),'Model inputs'!AM24+('Model inputs'!AM25-'Model inputs'!AM24)*('POA — Monthly financial forecas'!AJ5-30)/6,IF('Model inputs'!AM25="","",'Model inputs'!AM25))))))))</f>
      </c>
    </row>
    <row r="758">
      <c r="A758" t="inlineStr" s="25">
        <is>
          <t xml:space="preserve">Calculation</t>
        </is>
      </c>
      <c r="B758">
        <f>(IF(IF(IF(ISERROR('POA — Monthly financial forecas'!AK5&lt;=6),'POA — Monthly financial forecas'!AK5&lt;=6,IF('POA — Monthly financial forecas'!AK5="","",'POA — Monthly financial forecas'!AK5&lt;=6))="",FALSE,IF(ISERROR('POA — Monthly financial forecas'!AK5&lt;=6),'POA — Monthly financial forecas'!AK5&lt;=6,IF('POA — Monthly financial forecas'!AK5="","",'POA — Monthly financial forecas'!AK5&lt;=6))),'Model inputs'!AM20+('Model inputs'!AM26-'Model inputs'!AM20)*('POA — Monthly financial forecas'!AK5-0)/6,IF(IF(IF(ISERROR('POA — Monthly financial forecas'!AK5&lt;=12),'POA — Monthly financial forecas'!AK5&lt;=12,IF('POA — Monthly financial forecas'!AK5="","",'POA — Monthly financial forecas'!AK5&lt;=12))="",FALSE,IF(ISERROR('POA — Monthly financial forecas'!AK5&lt;=12),'POA — Monthly financial forecas'!AK5&lt;=12,IF('POA — Monthly financial forecas'!AK5="","",'POA — Monthly financial forecas'!AK5&lt;=12))),'Model inputs'!AM26+('Model inputs'!AM21-'Model inputs'!AM26)*('POA — Monthly financial forecas'!AK5-6)/6,IF(IF(IF(ISERROR('POA — Monthly financial forecas'!AK5&lt;=18),'POA — Monthly financial forecas'!AK5&lt;=18,IF('POA — Monthly financial forecas'!AK5="","",'POA — Monthly financial forecas'!AK5&lt;=18))="",FALSE,IF(ISERROR('POA — Monthly financial forecas'!AK5&lt;=18),'POA — Monthly financial forecas'!AK5&lt;=18,IF('POA — Monthly financial forecas'!AK5="","",'POA — Monthly financial forecas'!AK5&lt;=18))),'Model inputs'!AM21+('Model inputs'!AM22-'Model inputs'!AM21)*('POA — Monthly financial forecas'!AK5-12)/6,IF(IF(IF(ISERROR('POA — Monthly financial forecas'!AK5&lt;=24),'POA — Monthly financial forecas'!AK5&lt;=24,IF('POA — Monthly financial forecas'!AK5="","",'POA — Monthly financial forecas'!AK5&lt;=24))="",FALSE,IF(ISERROR('POA — Monthly financial forecas'!AK5&lt;=24),'POA — Monthly financial forecas'!AK5&lt;=24,IF('POA — Monthly financial forecas'!AK5="","",'POA — Monthly financial forecas'!AK5&lt;=24))),'Model inputs'!AM22+('Model inputs'!AM23-'Model inputs'!AM22)*('POA — Monthly financial forecas'!AK5-18)/6,IF(IF(IF(ISERROR('POA — Monthly financial forecas'!AK5&lt;=30),'POA — Monthly financial forecas'!AK5&lt;=30,IF('POA — Monthly financial forecas'!AK5="","",'POA — Monthly financial forecas'!AK5&lt;=30))="",FALSE,IF(ISERROR('POA — Monthly financial forecas'!AK5&lt;=30),'POA — Monthly financial forecas'!AK5&lt;=30,IF('POA — Monthly financial forecas'!AK5="","",'POA — Monthly financial forecas'!AK5&lt;=30))),'Model inputs'!AM23+('Model inputs'!AM24-'Model inputs'!AM23)*('POA — Monthly financial forecas'!AK5-24)/6,IF(IF(IF(ISERROR('POA — Monthly financial forecas'!AK5&lt;=36),'POA — Monthly financial forecas'!AK5&lt;=36,IF('POA — Monthly financial forecas'!AK5="","",'POA — Monthly financial forecas'!AK5&lt;=36))="",FALSE,IF(ISERROR('POA — Monthly financial forecas'!AK5&lt;=36),'POA — Monthly financial forecas'!AK5&lt;=36,IF('POA — Monthly financial forecas'!AK5="","",'POA — Monthly financial forecas'!AK5&lt;=36))),'Model inputs'!AM24+('Model inputs'!AM25-'Model inputs'!AM24)*('POA — Monthly financial forecas'!AK5-30)/6,IF('Model inputs'!AM25="","",'Model inputs'!AM25))))))))</f>
      </c>
    </row>
    <row r="759">
      <c r="A759" t="inlineStr" s="25">
        <is>
          <t xml:space="preserve">Calculation</t>
        </is>
      </c>
      <c r="B759">
        <f>(IF(IF(IF(ISERROR('POA — Monthly financial forecas'!B5&lt;=6),'POA — Monthly financial forecas'!B5&lt;=6,IF('POA — Monthly financial forecas'!B5="","",'POA — Monthly financial forecas'!B5&lt;=6))="",FALSE,IF(ISERROR('POA — Monthly financial forecas'!B5&lt;=6),'POA — Monthly financial forecas'!B5&lt;=6,IF('POA — Monthly financial forecas'!B5="","",'POA — Monthly financial forecas'!B5&lt;=6))),'Model inputs'!AM53+('Model inputs'!AM59-'Model inputs'!AM53)*('POA — Monthly financial forecas'!B5-0)/6,IF(IF(IF(ISERROR('POA — Monthly financial forecas'!B5&lt;=12),'POA — Monthly financial forecas'!B5&lt;=12,IF('POA — Monthly financial forecas'!B5="","",'POA — Monthly financial forecas'!B5&lt;=12))="",FALSE,IF(ISERROR('POA — Monthly financial forecas'!B5&lt;=12),'POA — Monthly financial forecas'!B5&lt;=12,IF('POA — Monthly financial forecas'!B5="","",'POA — Monthly financial forecas'!B5&lt;=12))),'Model inputs'!AM59+('Model inputs'!AM54-'Model inputs'!AM59)*('POA — Monthly financial forecas'!B5-6)/6,IF(IF(IF(ISERROR('POA — Monthly financial forecas'!B5&lt;=18),'POA — Monthly financial forecas'!B5&lt;=18,IF('POA — Monthly financial forecas'!B5="","",'POA — Monthly financial forecas'!B5&lt;=18))="",FALSE,IF(ISERROR('POA — Monthly financial forecas'!B5&lt;=18),'POA — Monthly financial forecas'!B5&lt;=18,IF('POA — Monthly financial forecas'!B5="","",'POA — Monthly financial forecas'!B5&lt;=18))),'Model inputs'!AM54+('Model inputs'!AM55-'Model inputs'!AM54)*('POA — Monthly financial forecas'!B5-12)/6,IF(IF(IF(ISERROR('POA — Monthly financial forecas'!B5&lt;=24),'POA — Monthly financial forecas'!B5&lt;=24,IF('POA — Monthly financial forecas'!B5="","",'POA — Monthly financial forecas'!B5&lt;=24))="",FALSE,IF(ISERROR('POA — Monthly financial forecas'!B5&lt;=24),'POA — Monthly financial forecas'!B5&lt;=24,IF('POA — Monthly financial forecas'!B5="","",'POA — Monthly financial forecas'!B5&lt;=24))),'Model inputs'!AM55+('Model inputs'!AM56-'Model inputs'!AM55)*('POA — Monthly financial forecas'!B5-18)/6,IF(IF(IF(ISERROR('POA — Monthly financial forecas'!B5&lt;=30),'POA — Monthly financial forecas'!B5&lt;=30,IF('POA — Monthly financial forecas'!B5="","",'POA — Monthly financial forecas'!B5&lt;=30))="",FALSE,IF(ISERROR('POA — Monthly financial forecas'!B5&lt;=30),'POA — Monthly financial forecas'!B5&lt;=30,IF('POA — Monthly financial forecas'!B5="","",'POA — Monthly financial forecas'!B5&lt;=30))),'Model inputs'!AM56+('Model inputs'!AM57-'Model inputs'!AM56)*('POA — Monthly financial forecas'!B5-24)/6,IF(IF(IF(ISERROR('POA — Monthly financial forecas'!B5&lt;=36),'POA — Monthly financial forecas'!B5&lt;=36,IF('POA — Monthly financial forecas'!B5="","",'POA — Monthly financial forecas'!B5&lt;=36))="",FALSE,IF(ISERROR('POA — Monthly financial forecas'!B5&lt;=36),'POA — Monthly financial forecas'!B5&lt;=36,IF('POA — Monthly financial forecas'!B5="","",'POA — Monthly financial forecas'!B5&lt;=36))),'Model inputs'!AM57+('Model inputs'!AM58-'Model inputs'!AM57)*('POA — Monthly financial forecas'!B5-30)/6,IF('Model inputs'!AM58="","",'Model inputs'!AM58))))))))</f>
      </c>
    </row>
    <row r="760">
      <c r="A760" t="inlineStr" s="25">
        <is>
          <t xml:space="preserve">Calculation</t>
        </is>
      </c>
      <c r="B760">
        <f>(IF(IF(IF(ISERROR('POA — Monthly financial forecas'!C5&lt;=6),'POA — Monthly financial forecas'!C5&lt;=6,IF('POA — Monthly financial forecas'!C5="","",'POA — Monthly financial forecas'!C5&lt;=6))="",FALSE,IF(ISERROR('POA — Monthly financial forecas'!C5&lt;=6),'POA — Monthly financial forecas'!C5&lt;=6,IF('POA — Monthly financial forecas'!C5="","",'POA — Monthly financial forecas'!C5&lt;=6))),'Model inputs'!AM53+('Model inputs'!AM59-'Model inputs'!AM53)*('POA — Monthly financial forecas'!C5-0)/6,IF(IF(IF(ISERROR('POA — Monthly financial forecas'!C5&lt;=12),'POA — Monthly financial forecas'!C5&lt;=12,IF('POA — Monthly financial forecas'!C5="","",'POA — Monthly financial forecas'!C5&lt;=12))="",FALSE,IF(ISERROR('POA — Monthly financial forecas'!C5&lt;=12),'POA — Monthly financial forecas'!C5&lt;=12,IF('POA — Monthly financial forecas'!C5="","",'POA — Monthly financial forecas'!C5&lt;=12))),'Model inputs'!AM59+('Model inputs'!AM54-'Model inputs'!AM59)*('POA — Monthly financial forecas'!C5-6)/6,IF(IF(IF(ISERROR('POA — Monthly financial forecas'!C5&lt;=18),'POA — Monthly financial forecas'!C5&lt;=18,IF('POA — Monthly financial forecas'!C5="","",'POA — Monthly financial forecas'!C5&lt;=18))="",FALSE,IF(ISERROR('POA — Monthly financial forecas'!C5&lt;=18),'POA — Monthly financial forecas'!C5&lt;=18,IF('POA — Monthly financial forecas'!C5="","",'POA — Monthly financial forecas'!C5&lt;=18))),'Model inputs'!AM54+('Model inputs'!AM55-'Model inputs'!AM54)*('POA — Monthly financial forecas'!C5-12)/6,IF(IF(IF(ISERROR('POA — Monthly financial forecas'!C5&lt;=24),'POA — Monthly financial forecas'!C5&lt;=24,IF('POA — Monthly financial forecas'!C5="","",'POA — Monthly financial forecas'!C5&lt;=24))="",FALSE,IF(ISERROR('POA — Monthly financial forecas'!C5&lt;=24),'POA — Monthly financial forecas'!C5&lt;=24,IF('POA — Monthly financial forecas'!C5="","",'POA — Monthly financial forecas'!C5&lt;=24))),'Model inputs'!AM55+('Model inputs'!AM56-'Model inputs'!AM55)*('POA — Monthly financial forecas'!C5-18)/6,IF(IF(IF(ISERROR('POA — Monthly financial forecas'!C5&lt;=30),'POA — Monthly financial forecas'!C5&lt;=30,IF('POA — Monthly financial forecas'!C5="","",'POA — Monthly financial forecas'!C5&lt;=30))="",FALSE,IF(ISERROR('POA — Monthly financial forecas'!C5&lt;=30),'POA — Monthly financial forecas'!C5&lt;=30,IF('POA — Monthly financial forecas'!C5="","",'POA — Monthly financial forecas'!C5&lt;=30))),'Model inputs'!AM56+('Model inputs'!AM57-'Model inputs'!AM56)*('POA — Monthly financial forecas'!C5-24)/6,IF(IF(IF(ISERROR('POA — Monthly financial forecas'!C5&lt;=36),'POA — Monthly financial forecas'!C5&lt;=36,IF('POA — Monthly financial forecas'!C5="","",'POA — Monthly financial forecas'!C5&lt;=36))="",FALSE,IF(ISERROR('POA — Monthly financial forecas'!C5&lt;=36),'POA — Monthly financial forecas'!C5&lt;=36,IF('POA — Monthly financial forecas'!C5="","",'POA — Monthly financial forecas'!C5&lt;=36))),'Model inputs'!AM57+('Model inputs'!AM58-'Model inputs'!AM57)*('POA — Monthly financial forecas'!C5-30)/6,IF('Model inputs'!AM58="","",'Model inputs'!AM58))))))))</f>
      </c>
    </row>
    <row r="761">
      <c r="A761" t="inlineStr" s="25">
        <is>
          <t xml:space="preserve">Calculation</t>
        </is>
      </c>
      <c r="B761">
        <f>(IF(IF(IF(ISERROR('POA — Monthly financial forecas'!D5&lt;=6),'POA — Monthly financial forecas'!D5&lt;=6,IF('POA — Monthly financial forecas'!D5="","",'POA — Monthly financial forecas'!D5&lt;=6))="",FALSE,IF(ISERROR('POA — Monthly financial forecas'!D5&lt;=6),'POA — Monthly financial forecas'!D5&lt;=6,IF('POA — Monthly financial forecas'!D5="","",'POA — Monthly financial forecas'!D5&lt;=6))),'Model inputs'!AM53+('Model inputs'!AM59-'Model inputs'!AM53)*('POA — Monthly financial forecas'!D5-0)/6,IF(IF(IF(ISERROR('POA — Monthly financial forecas'!D5&lt;=12),'POA — Monthly financial forecas'!D5&lt;=12,IF('POA — Monthly financial forecas'!D5="","",'POA — Monthly financial forecas'!D5&lt;=12))="",FALSE,IF(ISERROR('POA — Monthly financial forecas'!D5&lt;=12),'POA — Monthly financial forecas'!D5&lt;=12,IF('POA — Monthly financial forecas'!D5="","",'POA — Monthly financial forecas'!D5&lt;=12))),'Model inputs'!AM59+('Model inputs'!AM54-'Model inputs'!AM59)*('POA — Monthly financial forecas'!D5-6)/6,IF(IF(IF(ISERROR('POA — Monthly financial forecas'!D5&lt;=18),'POA — Monthly financial forecas'!D5&lt;=18,IF('POA — Monthly financial forecas'!D5="","",'POA — Monthly financial forecas'!D5&lt;=18))="",FALSE,IF(ISERROR('POA — Monthly financial forecas'!D5&lt;=18),'POA — Monthly financial forecas'!D5&lt;=18,IF('POA — Monthly financial forecas'!D5="","",'POA — Monthly financial forecas'!D5&lt;=18))),'Model inputs'!AM54+('Model inputs'!AM55-'Model inputs'!AM54)*('POA — Monthly financial forecas'!D5-12)/6,IF(IF(IF(ISERROR('POA — Monthly financial forecas'!D5&lt;=24),'POA — Monthly financial forecas'!D5&lt;=24,IF('POA — Monthly financial forecas'!D5="","",'POA — Monthly financial forecas'!D5&lt;=24))="",FALSE,IF(ISERROR('POA — Monthly financial forecas'!D5&lt;=24),'POA — Monthly financial forecas'!D5&lt;=24,IF('POA — Monthly financial forecas'!D5="","",'POA — Monthly financial forecas'!D5&lt;=24))),'Model inputs'!AM55+('Model inputs'!AM56-'Model inputs'!AM55)*('POA — Monthly financial forecas'!D5-18)/6,IF(IF(IF(ISERROR('POA — Monthly financial forecas'!D5&lt;=30),'POA — Monthly financial forecas'!D5&lt;=30,IF('POA — Monthly financial forecas'!D5="","",'POA — Monthly financial forecas'!D5&lt;=30))="",FALSE,IF(ISERROR('POA — Monthly financial forecas'!D5&lt;=30),'POA — Monthly financial forecas'!D5&lt;=30,IF('POA — Monthly financial forecas'!D5="","",'POA — Monthly financial forecas'!D5&lt;=30))),'Model inputs'!AM56+('Model inputs'!AM57-'Model inputs'!AM56)*('POA — Monthly financial forecas'!D5-24)/6,IF(IF(IF(ISERROR('POA — Monthly financial forecas'!D5&lt;=36),'POA — Monthly financial forecas'!D5&lt;=36,IF('POA — Monthly financial forecas'!D5="","",'POA — Monthly financial forecas'!D5&lt;=36))="",FALSE,IF(ISERROR('POA — Monthly financial forecas'!D5&lt;=36),'POA — Monthly financial forecas'!D5&lt;=36,IF('POA — Monthly financial forecas'!D5="","",'POA — Monthly financial forecas'!D5&lt;=36))),'Model inputs'!AM57+('Model inputs'!AM58-'Model inputs'!AM57)*('POA — Monthly financial forecas'!D5-30)/6,IF('Model inputs'!AM58="","",'Model inputs'!AM58))))))))</f>
      </c>
    </row>
    <row r="762">
      <c r="A762" t="inlineStr" s="25">
        <is>
          <t xml:space="preserve">Calculation</t>
        </is>
      </c>
      <c r="B762">
        <f>(IF(IF(IF(ISERROR('POA — Monthly financial forecas'!E5&lt;=6),'POA — Monthly financial forecas'!E5&lt;=6,IF('POA — Monthly financial forecas'!E5="","",'POA — Monthly financial forecas'!E5&lt;=6))="",FALSE,IF(ISERROR('POA — Monthly financial forecas'!E5&lt;=6),'POA — Monthly financial forecas'!E5&lt;=6,IF('POA — Monthly financial forecas'!E5="","",'POA — Monthly financial forecas'!E5&lt;=6))),'Model inputs'!AM53+('Model inputs'!AM59-'Model inputs'!AM53)*('POA — Monthly financial forecas'!E5-0)/6,IF(IF(IF(ISERROR('POA — Monthly financial forecas'!E5&lt;=12),'POA — Monthly financial forecas'!E5&lt;=12,IF('POA — Monthly financial forecas'!E5="","",'POA — Monthly financial forecas'!E5&lt;=12))="",FALSE,IF(ISERROR('POA — Monthly financial forecas'!E5&lt;=12),'POA — Monthly financial forecas'!E5&lt;=12,IF('POA — Monthly financial forecas'!E5="","",'POA — Monthly financial forecas'!E5&lt;=12))),'Model inputs'!AM59+('Model inputs'!AM54-'Model inputs'!AM59)*('POA — Monthly financial forecas'!E5-6)/6,IF(IF(IF(ISERROR('POA — Monthly financial forecas'!E5&lt;=18),'POA — Monthly financial forecas'!E5&lt;=18,IF('POA — Monthly financial forecas'!E5="","",'POA — Monthly financial forecas'!E5&lt;=18))="",FALSE,IF(ISERROR('POA — Monthly financial forecas'!E5&lt;=18),'POA — Monthly financial forecas'!E5&lt;=18,IF('POA — Monthly financial forecas'!E5="","",'POA — Monthly financial forecas'!E5&lt;=18))),'Model inputs'!AM54+('Model inputs'!AM55-'Model inputs'!AM54)*('POA — Monthly financial forecas'!E5-12)/6,IF(IF(IF(ISERROR('POA — Monthly financial forecas'!E5&lt;=24),'POA — Monthly financial forecas'!E5&lt;=24,IF('POA — Monthly financial forecas'!E5="","",'POA — Monthly financial forecas'!E5&lt;=24))="",FALSE,IF(ISERROR('POA — Monthly financial forecas'!E5&lt;=24),'POA — Monthly financial forecas'!E5&lt;=24,IF('POA — Monthly financial forecas'!E5="","",'POA — Monthly financial forecas'!E5&lt;=24))),'Model inputs'!AM55+('Model inputs'!AM56-'Model inputs'!AM55)*('POA — Monthly financial forecas'!E5-18)/6,IF(IF(IF(ISERROR('POA — Monthly financial forecas'!E5&lt;=30),'POA — Monthly financial forecas'!E5&lt;=30,IF('POA — Monthly financial forecas'!E5="","",'POA — Monthly financial forecas'!E5&lt;=30))="",FALSE,IF(ISERROR('POA — Monthly financial forecas'!E5&lt;=30),'POA — Monthly financial forecas'!E5&lt;=30,IF('POA — Monthly financial forecas'!E5="","",'POA — Monthly financial forecas'!E5&lt;=30))),'Model inputs'!AM56+('Model inputs'!AM57-'Model inputs'!AM56)*('POA — Monthly financial forecas'!E5-24)/6,IF(IF(IF(ISERROR('POA — Monthly financial forecas'!E5&lt;=36),'POA — Monthly financial forecas'!E5&lt;=36,IF('POA — Monthly financial forecas'!E5="","",'POA — Monthly financial forecas'!E5&lt;=36))="",FALSE,IF(ISERROR('POA — Monthly financial forecas'!E5&lt;=36),'POA — Monthly financial forecas'!E5&lt;=36,IF('POA — Monthly financial forecas'!E5="","",'POA — Monthly financial forecas'!E5&lt;=36))),'Model inputs'!AM57+('Model inputs'!AM58-'Model inputs'!AM57)*('POA — Monthly financial forecas'!E5-30)/6,IF('Model inputs'!AM58="","",'Model inputs'!AM58))))))))</f>
      </c>
    </row>
    <row r="763">
      <c r="A763" t="inlineStr" s="25">
        <is>
          <t xml:space="preserve">Calculation</t>
        </is>
      </c>
      <c r="B763">
        <f>(IF(IF(IF(ISERROR('POA — Monthly financial forecas'!F5&lt;=6),'POA — Monthly financial forecas'!F5&lt;=6,IF('POA — Monthly financial forecas'!F5="","",'POA — Monthly financial forecas'!F5&lt;=6))="",FALSE,IF(ISERROR('POA — Monthly financial forecas'!F5&lt;=6),'POA — Monthly financial forecas'!F5&lt;=6,IF('POA — Monthly financial forecas'!F5="","",'POA — Monthly financial forecas'!F5&lt;=6))),'Model inputs'!AM53+('Model inputs'!AM59-'Model inputs'!AM53)*('POA — Monthly financial forecas'!F5-0)/6,IF(IF(IF(ISERROR('POA — Monthly financial forecas'!F5&lt;=12),'POA — Monthly financial forecas'!F5&lt;=12,IF('POA — Monthly financial forecas'!F5="","",'POA — Monthly financial forecas'!F5&lt;=12))="",FALSE,IF(ISERROR('POA — Monthly financial forecas'!F5&lt;=12),'POA — Monthly financial forecas'!F5&lt;=12,IF('POA — Monthly financial forecas'!F5="","",'POA — Monthly financial forecas'!F5&lt;=12))),'Model inputs'!AM59+('Model inputs'!AM54-'Model inputs'!AM59)*('POA — Monthly financial forecas'!F5-6)/6,IF(IF(IF(ISERROR('POA — Monthly financial forecas'!F5&lt;=18),'POA — Monthly financial forecas'!F5&lt;=18,IF('POA — Monthly financial forecas'!F5="","",'POA — Monthly financial forecas'!F5&lt;=18))="",FALSE,IF(ISERROR('POA — Monthly financial forecas'!F5&lt;=18),'POA — Monthly financial forecas'!F5&lt;=18,IF('POA — Monthly financial forecas'!F5="","",'POA — Monthly financial forecas'!F5&lt;=18))),'Model inputs'!AM54+('Model inputs'!AM55-'Model inputs'!AM54)*('POA — Monthly financial forecas'!F5-12)/6,IF(IF(IF(ISERROR('POA — Monthly financial forecas'!F5&lt;=24),'POA — Monthly financial forecas'!F5&lt;=24,IF('POA — Monthly financial forecas'!F5="","",'POA — Monthly financial forecas'!F5&lt;=24))="",FALSE,IF(ISERROR('POA — Monthly financial forecas'!F5&lt;=24),'POA — Monthly financial forecas'!F5&lt;=24,IF('POA — Monthly financial forecas'!F5="","",'POA — Monthly financial forecas'!F5&lt;=24))),'Model inputs'!AM55+('Model inputs'!AM56-'Model inputs'!AM55)*('POA — Monthly financial forecas'!F5-18)/6,IF(IF(IF(ISERROR('POA — Monthly financial forecas'!F5&lt;=30),'POA — Monthly financial forecas'!F5&lt;=30,IF('POA — Monthly financial forecas'!F5="","",'POA — Monthly financial forecas'!F5&lt;=30))="",FALSE,IF(ISERROR('POA — Monthly financial forecas'!F5&lt;=30),'POA — Monthly financial forecas'!F5&lt;=30,IF('POA — Monthly financial forecas'!F5="","",'POA — Monthly financial forecas'!F5&lt;=30))),'Model inputs'!AM56+('Model inputs'!AM57-'Model inputs'!AM56)*('POA — Monthly financial forecas'!F5-24)/6,IF(IF(IF(ISERROR('POA — Monthly financial forecas'!F5&lt;=36),'POA — Monthly financial forecas'!F5&lt;=36,IF('POA — Monthly financial forecas'!F5="","",'POA — Monthly financial forecas'!F5&lt;=36))="",FALSE,IF(ISERROR('POA — Monthly financial forecas'!F5&lt;=36),'POA — Monthly financial forecas'!F5&lt;=36,IF('POA — Monthly financial forecas'!F5="","",'POA — Monthly financial forecas'!F5&lt;=36))),'Model inputs'!AM57+('Model inputs'!AM58-'Model inputs'!AM57)*('POA — Monthly financial forecas'!F5-30)/6,IF('Model inputs'!AM58="","",'Model inputs'!AM58))))))))</f>
      </c>
    </row>
    <row r="764">
      <c r="A764" t="inlineStr" s="25">
        <is>
          <t xml:space="preserve">Calculation</t>
        </is>
      </c>
      <c r="B764">
        <f>(IF(IF(IF(ISERROR('POA — Monthly financial forecas'!G5&lt;=6),'POA — Monthly financial forecas'!G5&lt;=6,IF('POA — Monthly financial forecas'!G5="","",'POA — Monthly financial forecas'!G5&lt;=6))="",FALSE,IF(ISERROR('POA — Monthly financial forecas'!G5&lt;=6),'POA — Monthly financial forecas'!G5&lt;=6,IF('POA — Monthly financial forecas'!G5="","",'POA — Monthly financial forecas'!G5&lt;=6))),'Model inputs'!AM53+('Model inputs'!AM59-'Model inputs'!AM53)*('POA — Monthly financial forecas'!G5-0)/6,IF(IF(IF(ISERROR('POA — Monthly financial forecas'!G5&lt;=12),'POA — Monthly financial forecas'!G5&lt;=12,IF('POA — Monthly financial forecas'!G5="","",'POA — Monthly financial forecas'!G5&lt;=12))="",FALSE,IF(ISERROR('POA — Monthly financial forecas'!G5&lt;=12),'POA — Monthly financial forecas'!G5&lt;=12,IF('POA — Monthly financial forecas'!G5="","",'POA — Monthly financial forecas'!G5&lt;=12))),'Model inputs'!AM59+('Model inputs'!AM54-'Model inputs'!AM59)*('POA — Monthly financial forecas'!G5-6)/6,IF(IF(IF(ISERROR('POA — Monthly financial forecas'!G5&lt;=18),'POA — Monthly financial forecas'!G5&lt;=18,IF('POA — Monthly financial forecas'!G5="","",'POA — Monthly financial forecas'!G5&lt;=18))="",FALSE,IF(ISERROR('POA — Monthly financial forecas'!G5&lt;=18),'POA — Monthly financial forecas'!G5&lt;=18,IF('POA — Monthly financial forecas'!G5="","",'POA — Monthly financial forecas'!G5&lt;=18))),'Model inputs'!AM54+('Model inputs'!AM55-'Model inputs'!AM54)*('POA — Monthly financial forecas'!G5-12)/6,IF(IF(IF(ISERROR('POA — Monthly financial forecas'!G5&lt;=24),'POA — Monthly financial forecas'!G5&lt;=24,IF('POA — Monthly financial forecas'!G5="","",'POA — Monthly financial forecas'!G5&lt;=24))="",FALSE,IF(ISERROR('POA — Monthly financial forecas'!G5&lt;=24),'POA — Monthly financial forecas'!G5&lt;=24,IF('POA — Monthly financial forecas'!G5="","",'POA — Monthly financial forecas'!G5&lt;=24))),'Model inputs'!AM55+('Model inputs'!AM56-'Model inputs'!AM55)*('POA — Monthly financial forecas'!G5-18)/6,IF(IF(IF(ISERROR('POA — Monthly financial forecas'!G5&lt;=30),'POA — Monthly financial forecas'!G5&lt;=30,IF('POA — Monthly financial forecas'!G5="","",'POA — Monthly financial forecas'!G5&lt;=30))="",FALSE,IF(ISERROR('POA — Monthly financial forecas'!G5&lt;=30),'POA — Monthly financial forecas'!G5&lt;=30,IF('POA — Monthly financial forecas'!G5="","",'POA — Monthly financial forecas'!G5&lt;=30))),'Model inputs'!AM56+('Model inputs'!AM57-'Model inputs'!AM56)*('POA — Monthly financial forecas'!G5-24)/6,IF(IF(IF(ISERROR('POA — Monthly financial forecas'!G5&lt;=36),'POA — Monthly financial forecas'!G5&lt;=36,IF('POA — Monthly financial forecas'!G5="","",'POA — Monthly financial forecas'!G5&lt;=36))="",FALSE,IF(ISERROR('POA — Monthly financial forecas'!G5&lt;=36),'POA — Monthly financial forecas'!G5&lt;=36,IF('POA — Monthly financial forecas'!G5="","",'POA — Monthly financial forecas'!G5&lt;=36))),'Model inputs'!AM57+('Model inputs'!AM58-'Model inputs'!AM57)*('POA — Monthly financial forecas'!G5-30)/6,IF('Model inputs'!AM58="","",'Model inputs'!AM58))))))))</f>
      </c>
    </row>
    <row r="765">
      <c r="A765" t="inlineStr" s="25">
        <is>
          <t xml:space="preserve">Calculation</t>
        </is>
      </c>
      <c r="B765">
        <f>(IF(IF(IF(ISERROR('POA — Monthly financial forecas'!H5&lt;=6),'POA — Monthly financial forecas'!H5&lt;=6,IF('POA — Monthly financial forecas'!H5="","",'POA — Monthly financial forecas'!H5&lt;=6))="",FALSE,IF(ISERROR('POA — Monthly financial forecas'!H5&lt;=6),'POA — Monthly financial forecas'!H5&lt;=6,IF('POA — Monthly financial forecas'!H5="","",'POA — Monthly financial forecas'!H5&lt;=6))),'Model inputs'!AM53+('Model inputs'!AM59-'Model inputs'!AM53)*('POA — Monthly financial forecas'!H5-0)/6,IF(IF(IF(ISERROR('POA — Monthly financial forecas'!H5&lt;=12),'POA — Monthly financial forecas'!H5&lt;=12,IF('POA — Monthly financial forecas'!H5="","",'POA — Monthly financial forecas'!H5&lt;=12))="",FALSE,IF(ISERROR('POA — Monthly financial forecas'!H5&lt;=12),'POA — Monthly financial forecas'!H5&lt;=12,IF('POA — Monthly financial forecas'!H5="","",'POA — Monthly financial forecas'!H5&lt;=12))),'Model inputs'!AM59+('Model inputs'!AM54-'Model inputs'!AM59)*('POA — Monthly financial forecas'!H5-6)/6,IF(IF(IF(ISERROR('POA — Monthly financial forecas'!H5&lt;=18),'POA — Monthly financial forecas'!H5&lt;=18,IF('POA — Monthly financial forecas'!H5="","",'POA — Monthly financial forecas'!H5&lt;=18))="",FALSE,IF(ISERROR('POA — Monthly financial forecas'!H5&lt;=18),'POA — Monthly financial forecas'!H5&lt;=18,IF('POA — Monthly financial forecas'!H5="","",'POA — Monthly financial forecas'!H5&lt;=18))),'Model inputs'!AM54+('Model inputs'!AM55-'Model inputs'!AM54)*('POA — Monthly financial forecas'!H5-12)/6,IF(IF(IF(ISERROR('POA — Monthly financial forecas'!H5&lt;=24),'POA — Monthly financial forecas'!H5&lt;=24,IF('POA — Monthly financial forecas'!H5="","",'POA — Monthly financial forecas'!H5&lt;=24))="",FALSE,IF(ISERROR('POA — Monthly financial forecas'!H5&lt;=24),'POA — Monthly financial forecas'!H5&lt;=24,IF('POA — Monthly financial forecas'!H5="","",'POA — Monthly financial forecas'!H5&lt;=24))),'Model inputs'!AM55+('Model inputs'!AM56-'Model inputs'!AM55)*('POA — Monthly financial forecas'!H5-18)/6,IF(IF(IF(ISERROR('POA — Monthly financial forecas'!H5&lt;=30),'POA — Monthly financial forecas'!H5&lt;=30,IF('POA — Monthly financial forecas'!H5="","",'POA — Monthly financial forecas'!H5&lt;=30))="",FALSE,IF(ISERROR('POA — Monthly financial forecas'!H5&lt;=30),'POA — Monthly financial forecas'!H5&lt;=30,IF('POA — Monthly financial forecas'!H5="","",'POA — Monthly financial forecas'!H5&lt;=30))),'Model inputs'!AM56+('Model inputs'!AM57-'Model inputs'!AM56)*('POA — Monthly financial forecas'!H5-24)/6,IF(IF(IF(ISERROR('POA — Monthly financial forecas'!H5&lt;=36),'POA — Monthly financial forecas'!H5&lt;=36,IF('POA — Monthly financial forecas'!H5="","",'POA — Monthly financial forecas'!H5&lt;=36))="",FALSE,IF(ISERROR('POA — Monthly financial forecas'!H5&lt;=36),'POA — Monthly financial forecas'!H5&lt;=36,IF('POA — Monthly financial forecas'!H5="","",'POA — Monthly financial forecas'!H5&lt;=36))),'Model inputs'!AM57+('Model inputs'!AM58-'Model inputs'!AM57)*('POA — Monthly financial forecas'!H5-30)/6,IF('Model inputs'!AM58="","",'Model inputs'!AM58))))))))</f>
      </c>
    </row>
    <row r="766">
      <c r="A766" t="inlineStr" s="25">
        <is>
          <t xml:space="preserve">Calculation</t>
        </is>
      </c>
      <c r="B766">
        <f>(IF(IF(IF(ISERROR('POA — Monthly financial forecas'!I5&lt;=6),'POA — Monthly financial forecas'!I5&lt;=6,IF('POA — Monthly financial forecas'!I5="","",'POA — Monthly financial forecas'!I5&lt;=6))="",FALSE,IF(ISERROR('POA — Monthly financial forecas'!I5&lt;=6),'POA — Monthly financial forecas'!I5&lt;=6,IF('POA — Monthly financial forecas'!I5="","",'POA — Monthly financial forecas'!I5&lt;=6))),'Model inputs'!AM53+('Model inputs'!AM59-'Model inputs'!AM53)*('POA — Monthly financial forecas'!I5-0)/6,IF(IF(IF(ISERROR('POA — Monthly financial forecas'!I5&lt;=12),'POA — Monthly financial forecas'!I5&lt;=12,IF('POA — Monthly financial forecas'!I5="","",'POA — Monthly financial forecas'!I5&lt;=12))="",FALSE,IF(ISERROR('POA — Monthly financial forecas'!I5&lt;=12),'POA — Monthly financial forecas'!I5&lt;=12,IF('POA — Monthly financial forecas'!I5="","",'POA — Monthly financial forecas'!I5&lt;=12))),'Model inputs'!AM59+('Model inputs'!AM54-'Model inputs'!AM59)*('POA — Monthly financial forecas'!I5-6)/6,IF(IF(IF(ISERROR('POA — Monthly financial forecas'!I5&lt;=18),'POA — Monthly financial forecas'!I5&lt;=18,IF('POA — Monthly financial forecas'!I5="","",'POA — Monthly financial forecas'!I5&lt;=18))="",FALSE,IF(ISERROR('POA — Monthly financial forecas'!I5&lt;=18),'POA — Monthly financial forecas'!I5&lt;=18,IF('POA — Monthly financial forecas'!I5="","",'POA — Monthly financial forecas'!I5&lt;=18))),'Model inputs'!AM54+('Model inputs'!AM55-'Model inputs'!AM54)*('POA — Monthly financial forecas'!I5-12)/6,IF(IF(IF(ISERROR('POA — Monthly financial forecas'!I5&lt;=24),'POA — Monthly financial forecas'!I5&lt;=24,IF('POA — Monthly financial forecas'!I5="","",'POA — Monthly financial forecas'!I5&lt;=24))="",FALSE,IF(ISERROR('POA — Monthly financial forecas'!I5&lt;=24),'POA — Monthly financial forecas'!I5&lt;=24,IF('POA — Monthly financial forecas'!I5="","",'POA — Monthly financial forecas'!I5&lt;=24))),'Model inputs'!AM55+('Model inputs'!AM56-'Model inputs'!AM55)*('POA — Monthly financial forecas'!I5-18)/6,IF(IF(IF(ISERROR('POA — Monthly financial forecas'!I5&lt;=30),'POA — Monthly financial forecas'!I5&lt;=30,IF('POA — Monthly financial forecas'!I5="","",'POA — Monthly financial forecas'!I5&lt;=30))="",FALSE,IF(ISERROR('POA — Monthly financial forecas'!I5&lt;=30),'POA — Monthly financial forecas'!I5&lt;=30,IF('POA — Monthly financial forecas'!I5="","",'POA — Monthly financial forecas'!I5&lt;=30))),'Model inputs'!AM56+('Model inputs'!AM57-'Model inputs'!AM56)*('POA — Monthly financial forecas'!I5-24)/6,IF(IF(IF(ISERROR('POA — Monthly financial forecas'!I5&lt;=36),'POA — Monthly financial forecas'!I5&lt;=36,IF('POA — Monthly financial forecas'!I5="","",'POA — Monthly financial forecas'!I5&lt;=36))="",FALSE,IF(ISERROR('POA — Monthly financial forecas'!I5&lt;=36),'POA — Monthly financial forecas'!I5&lt;=36,IF('POA — Monthly financial forecas'!I5="","",'POA — Monthly financial forecas'!I5&lt;=36))),'Model inputs'!AM57+('Model inputs'!AM58-'Model inputs'!AM57)*('POA — Monthly financial forecas'!I5-30)/6,IF('Model inputs'!AM58="","",'Model inputs'!AM58))))))))</f>
      </c>
    </row>
    <row r="767">
      <c r="A767" t="inlineStr" s="25">
        <is>
          <t xml:space="preserve">Calculation</t>
        </is>
      </c>
      <c r="B767">
        <f>(IF(IF(IF(ISERROR('POA — Monthly financial forecas'!J5&lt;=6),'POA — Monthly financial forecas'!J5&lt;=6,IF('POA — Monthly financial forecas'!J5="","",'POA — Monthly financial forecas'!J5&lt;=6))="",FALSE,IF(ISERROR('POA — Monthly financial forecas'!J5&lt;=6),'POA — Monthly financial forecas'!J5&lt;=6,IF('POA — Monthly financial forecas'!J5="","",'POA — Monthly financial forecas'!J5&lt;=6))),'Model inputs'!AM53+('Model inputs'!AM59-'Model inputs'!AM53)*('POA — Monthly financial forecas'!J5-0)/6,IF(IF(IF(ISERROR('POA — Monthly financial forecas'!J5&lt;=12),'POA — Monthly financial forecas'!J5&lt;=12,IF('POA — Monthly financial forecas'!J5="","",'POA — Monthly financial forecas'!J5&lt;=12))="",FALSE,IF(ISERROR('POA — Monthly financial forecas'!J5&lt;=12),'POA — Monthly financial forecas'!J5&lt;=12,IF('POA — Monthly financial forecas'!J5="","",'POA — Monthly financial forecas'!J5&lt;=12))),'Model inputs'!AM59+('Model inputs'!AM54-'Model inputs'!AM59)*('POA — Monthly financial forecas'!J5-6)/6,IF(IF(IF(ISERROR('POA — Monthly financial forecas'!J5&lt;=18),'POA — Monthly financial forecas'!J5&lt;=18,IF('POA — Monthly financial forecas'!J5="","",'POA — Monthly financial forecas'!J5&lt;=18))="",FALSE,IF(ISERROR('POA — Monthly financial forecas'!J5&lt;=18),'POA — Monthly financial forecas'!J5&lt;=18,IF('POA — Monthly financial forecas'!J5="","",'POA — Monthly financial forecas'!J5&lt;=18))),'Model inputs'!AM54+('Model inputs'!AM55-'Model inputs'!AM54)*('POA — Monthly financial forecas'!J5-12)/6,IF(IF(IF(ISERROR('POA — Monthly financial forecas'!J5&lt;=24),'POA — Monthly financial forecas'!J5&lt;=24,IF('POA — Monthly financial forecas'!J5="","",'POA — Monthly financial forecas'!J5&lt;=24))="",FALSE,IF(ISERROR('POA — Monthly financial forecas'!J5&lt;=24),'POA — Monthly financial forecas'!J5&lt;=24,IF('POA — Monthly financial forecas'!J5="","",'POA — Monthly financial forecas'!J5&lt;=24))),'Model inputs'!AM55+('Model inputs'!AM56-'Model inputs'!AM55)*('POA — Monthly financial forecas'!J5-18)/6,IF(IF(IF(ISERROR('POA — Monthly financial forecas'!J5&lt;=30),'POA — Monthly financial forecas'!J5&lt;=30,IF('POA — Monthly financial forecas'!J5="","",'POA — Monthly financial forecas'!J5&lt;=30))="",FALSE,IF(ISERROR('POA — Monthly financial forecas'!J5&lt;=30),'POA — Monthly financial forecas'!J5&lt;=30,IF('POA — Monthly financial forecas'!J5="","",'POA — Monthly financial forecas'!J5&lt;=30))),'Model inputs'!AM56+('Model inputs'!AM57-'Model inputs'!AM56)*('POA — Monthly financial forecas'!J5-24)/6,IF(IF(IF(ISERROR('POA — Monthly financial forecas'!J5&lt;=36),'POA — Monthly financial forecas'!J5&lt;=36,IF('POA — Monthly financial forecas'!J5="","",'POA — Monthly financial forecas'!J5&lt;=36))="",FALSE,IF(ISERROR('POA — Monthly financial forecas'!J5&lt;=36),'POA — Monthly financial forecas'!J5&lt;=36,IF('POA — Monthly financial forecas'!J5="","",'POA — Monthly financial forecas'!J5&lt;=36))),'Model inputs'!AM57+('Model inputs'!AM58-'Model inputs'!AM57)*('POA — Monthly financial forecas'!J5-30)/6,IF('Model inputs'!AM58="","",'Model inputs'!AM58))))))))</f>
      </c>
    </row>
    <row r="768">
      <c r="A768" t="inlineStr" s="25">
        <is>
          <t xml:space="preserve">Calculation</t>
        </is>
      </c>
      <c r="B768">
        <f>(IF(IF(IF(ISERROR('POA — Monthly financial forecas'!K5&lt;=6),'POA — Monthly financial forecas'!K5&lt;=6,IF('POA — Monthly financial forecas'!K5="","",'POA — Monthly financial forecas'!K5&lt;=6))="",FALSE,IF(ISERROR('POA — Monthly financial forecas'!K5&lt;=6),'POA — Monthly financial forecas'!K5&lt;=6,IF('POA — Monthly financial forecas'!K5="","",'POA — Monthly financial forecas'!K5&lt;=6))),'Model inputs'!AM53+('Model inputs'!AM59-'Model inputs'!AM53)*('POA — Monthly financial forecas'!K5-0)/6,IF(IF(IF(ISERROR('POA — Monthly financial forecas'!K5&lt;=12),'POA — Monthly financial forecas'!K5&lt;=12,IF('POA — Monthly financial forecas'!K5="","",'POA — Monthly financial forecas'!K5&lt;=12))="",FALSE,IF(ISERROR('POA — Monthly financial forecas'!K5&lt;=12),'POA — Monthly financial forecas'!K5&lt;=12,IF('POA — Monthly financial forecas'!K5="","",'POA — Monthly financial forecas'!K5&lt;=12))),'Model inputs'!AM59+('Model inputs'!AM54-'Model inputs'!AM59)*('POA — Monthly financial forecas'!K5-6)/6,IF(IF(IF(ISERROR('POA — Monthly financial forecas'!K5&lt;=18),'POA — Monthly financial forecas'!K5&lt;=18,IF('POA — Monthly financial forecas'!K5="","",'POA — Monthly financial forecas'!K5&lt;=18))="",FALSE,IF(ISERROR('POA — Monthly financial forecas'!K5&lt;=18),'POA — Monthly financial forecas'!K5&lt;=18,IF('POA — Monthly financial forecas'!K5="","",'POA — Monthly financial forecas'!K5&lt;=18))),'Model inputs'!AM54+('Model inputs'!AM55-'Model inputs'!AM54)*('POA — Monthly financial forecas'!K5-12)/6,IF(IF(IF(ISERROR('POA — Monthly financial forecas'!K5&lt;=24),'POA — Monthly financial forecas'!K5&lt;=24,IF('POA — Monthly financial forecas'!K5="","",'POA — Monthly financial forecas'!K5&lt;=24))="",FALSE,IF(ISERROR('POA — Monthly financial forecas'!K5&lt;=24),'POA — Monthly financial forecas'!K5&lt;=24,IF('POA — Monthly financial forecas'!K5="","",'POA — Monthly financial forecas'!K5&lt;=24))),'Model inputs'!AM55+('Model inputs'!AM56-'Model inputs'!AM55)*('POA — Monthly financial forecas'!K5-18)/6,IF(IF(IF(ISERROR('POA — Monthly financial forecas'!K5&lt;=30),'POA — Monthly financial forecas'!K5&lt;=30,IF('POA — Monthly financial forecas'!K5="","",'POA — Monthly financial forecas'!K5&lt;=30))="",FALSE,IF(ISERROR('POA — Monthly financial forecas'!K5&lt;=30),'POA — Monthly financial forecas'!K5&lt;=30,IF('POA — Monthly financial forecas'!K5="","",'POA — Monthly financial forecas'!K5&lt;=30))),'Model inputs'!AM56+('Model inputs'!AM57-'Model inputs'!AM56)*('POA — Monthly financial forecas'!K5-24)/6,IF(IF(IF(ISERROR('POA — Monthly financial forecas'!K5&lt;=36),'POA — Monthly financial forecas'!K5&lt;=36,IF('POA — Monthly financial forecas'!K5="","",'POA — Monthly financial forecas'!K5&lt;=36))="",FALSE,IF(ISERROR('POA — Monthly financial forecas'!K5&lt;=36),'POA — Monthly financial forecas'!K5&lt;=36,IF('POA — Monthly financial forecas'!K5="","",'POA — Monthly financial forecas'!K5&lt;=36))),'Model inputs'!AM57+('Model inputs'!AM58-'Model inputs'!AM57)*('POA — Monthly financial forecas'!K5-30)/6,IF('Model inputs'!AM58="","",'Model inputs'!AM58))))))))</f>
      </c>
    </row>
    <row r="769">
      <c r="A769" t="inlineStr" s="25">
        <is>
          <t xml:space="preserve">Calculation</t>
        </is>
      </c>
      <c r="B769">
        <f>(IF(IF(IF(ISERROR('POA — Monthly financial forecas'!L5&lt;=6),'POA — Monthly financial forecas'!L5&lt;=6,IF('POA — Monthly financial forecas'!L5="","",'POA — Monthly financial forecas'!L5&lt;=6))="",FALSE,IF(ISERROR('POA — Monthly financial forecas'!L5&lt;=6),'POA — Monthly financial forecas'!L5&lt;=6,IF('POA — Monthly financial forecas'!L5="","",'POA — Monthly financial forecas'!L5&lt;=6))),'Model inputs'!AM53+('Model inputs'!AM59-'Model inputs'!AM53)*('POA — Monthly financial forecas'!L5-0)/6,IF(IF(IF(ISERROR('POA — Monthly financial forecas'!L5&lt;=12),'POA — Monthly financial forecas'!L5&lt;=12,IF('POA — Monthly financial forecas'!L5="","",'POA — Monthly financial forecas'!L5&lt;=12))="",FALSE,IF(ISERROR('POA — Monthly financial forecas'!L5&lt;=12),'POA — Monthly financial forecas'!L5&lt;=12,IF('POA — Monthly financial forecas'!L5="","",'POA — Monthly financial forecas'!L5&lt;=12))),'Model inputs'!AM59+('Model inputs'!AM54-'Model inputs'!AM59)*('POA — Monthly financial forecas'!L5-6)/6,IF(IF(IF(ISERROR('POA — Monthly financial forecas'!L5&lt;=18),'POA — Monthly financial forecas'!L5&lt;=18,IF('POA — Monthly financial forecas'!L5="","",'POA — Monthly financial forecas'!L5&lt;=18))="",FALSE,IF(ISERROR('POA — Monthly financial forecas'!L5&lt;=18),'POA — Monthly financial forecas'!L5&lt;=18,IF('POA — Monthly financial forecas'!L5="","",'POA — Monthly financial forecas'!L5&lt;=18))),'Model inputs'!AM54+('Model inputs'!AM55-'Model inputs'!AM54)*('POA — Monthly financial forecas'!L5-12)/6,IF(IF(IF(ISERROR('POA — Monthly financial forecas'!L5&lt;=24),'POA — Monthly financial forecas'!L5&lt;=24,IF('POA — Monthly financial forecas'!L5="","",'POA — Monthly financial forecas'!L5&lt;=24))="",FALSE,IF(ISERROR('POA — Monthly financial forecas'!L5&lt;=24),'POA — Monthly financial forecas'!L5&lt;=24,IF('POA — Monthly financial forecas'!L5="","",'POA — Monthly financial forecas'!L5&lt;=24))),'Model inputs'!AM55+('Model inputs'!AM56-'Model inputs'!AM55)*('POA — Monthly financial forecas'!L5-18)/6,IF(IF(IF(ISERROR('POA — Monthly financial forecas'!L5&lt;=30),'POA — Monthly financial forecas'!L5&lt;=30,IF('POA — Monthly financial forecas'!L5="","",'POA — Monthly financial forecas'!L5&lt;=30))="",FALSE,IF(ISERROR('POA — Monthly financial forecas'!L5&lt;=30),'POA — Monthly financial forecas'!L5&lt;=30,IF('POA — Monthly financial forecas'!L5="","",'POA — Monthly financial forecas'!L5&lt;=30))),'Model inputs'!AM56+('Model inputs'!AM57-'Model inputs'!AM56)*('POA — Monthly financial forecas'!L5-24)/6,IF(IF(IF(ISERROR('POA — Monthly financial forecas'!L5&lt;=36),'POA — Monthly financial forecas'!L5&lt;=36,IF('POA — Monthly financial forecas'!L5="","",'POA — Monthly financial forecas'!L5&lt;=36))="",FALSE,IF(ISERROR('POA — Monthly financial forecas'!L5&lt;=36),'POA — Monthly financial forecas'!L5&lt;=36,IF('POA — Monthly financial forecas'!L5="","",'POA — Monthly financial forecas'!L5&lt;=36))),'Model inputs'!AM57+('Model inputs'!AM58-'Model inputs'!AM57)*('POA — Monthly financial forecas'!L5-30)/6,IF('Model inputs'!AM58="","",'Model inputs'!AM58))))))))</f>
      </c>
    </row>
    <row r="770">
      <c r="A770" t="inlineStr" s="25">
        <is>
          <t xml:space="preserve">Calculation</t>
        </is>
      </c>
      <c r="B770">
        <f>(IF(IF(IF(ISERROR('POA — Monthly financial forecas'!M5&lt;=6),'POA — Monthly financial forecas'!M5&lt;=6,IF('POA — Monthly financial forecas'!M5="","",'POA — Monthly financial forecas'!M5&lt;=6))="",FALSE,IF(ISERROR('POA — Monthly financial forecas'!M5&lt;=6),'POA — Monthly financial forecas'!M5&lt;=6,IF('POA — Monthly financial forecas'!M5="","",'POA — Monthly financial forecas'!M5&lt;=6))),'Model inputs'!AM53+('Model inputs'!AM59-'Model inputs'!AM53)*('POA — Monthly financial forecas'!M5-0)/6,IF(IF(IF(ISERROR('POA — Monthly financial forecas'!M5&lt;=12),'POA — Monthly financial forecas'!M5&lt;=12,IF('POA — Monthly financial forecas'!M5="","",'POA — Monthly financial forecas'!M5&lt;=12))="",FALSE,IF(ISERROR('POA — Monthly financial forecas'!M5&lt;=12),'POA — Monthly financial forecas'!M5&lt;=12,IF('POA — Monthly financial forecas'!M5="","",'POA — Monthly financial forecas'!M5&lt;=12))),'Model inputs'!AM59+('Model inputs'!AM54-'Model inputs'!AM59)*('POA — Monthly financial forecas'!M5-6)/6,IF(IF(IF(ISERROR('POA — Monthly financial forecas'!M5&lt;=18),'POA — Monthly financial forecas'!M5&lt;=18,IF('POA — Monthly financial forecas'!M5="","",'POA — Monthly financial forecas'!M5&lt;=18))="",FALSE,IF(ISERROR('POA — Monthly financial forecas'!M5&lt;=18),'POA — Monthly financial forecas'!M5&lt;=18,IF('POA — Monthly financial forecas'!M5="","",'POA — Monthly financial forecas'!M5&lt;=18))),'Model inputs'!AM54+('Model inputs'!AM55-'Model inputs'!AM54)*('POA — Monthly financial forecas'!M5-12)/6,IF(IF(IF(ISERROR('POA — Monthly financial forecas'!M5&lt;=24),'POA — Monthly financial forecas'!M5&lt;=24,IF('POA — Monthly financial forecas'!M5="","",'POA — Monthly financial forecas'!M5&lt;=24))="",FALSE,IF(ISERROR('POA — Monthly financial forecas'!M5&lt;=24),'POA — Monthly financial forecas'!M5&lt;=24,IF('POA — Monthly financial forecas'!M5="","",'POA — Monthly financial forecas'!M5&lt;=24))),'Model inputs'!AM55+('Model inputs'!AM56-'Model inputs'!AM55)*('POA — Monthly financial forecas'!M5-18)/6,IF(IF(IF(ISERROR('POA — Monthly financial forecas'!M5&lt;=30),'POA — Monthly financial forecas'!M5&lt;=30,IF('POA — Monthly financial forecas'!M5="","",'POA — Monthly financial forecas'!M5&lt;=30))="",FALSE,IF(ISERROR('POA — Monthly financial forecas'!M5&lt;=30),'POA — Monthly financial forecas'!M5&lt;=30,IF('POA — Monthly financial forecas'!M5="","",'POA — Monthly financial forecas'!M5&lt;=30))),'Model inputs'!AM56+('Model inputs'!AM57-'Model inputs'!AM56)*('POA — Monthly financial forecas'!M5-24)/6,IF(IF(IF(ISERROR('POA — Monthly financial forecas'!M5&lt;=36),'POA — Monthly financial forecas'!M5&lt;=36,IF('POA — Monthly financial forecas'!M5="","",'POA — Monthly financial forecas'!M5&lt;=36))="",FALSE,IF(ISERROR('POA — Monthly financial forecas'!M5&lt;=36),'POA — Monthly financial forecas'!M5&lt;=36,IF('POA — Monthly financial forecas'!M5="","",'POA — Monthly financial forecas'!M5&lt;=36))),'Model inputs'!AM57+('Model inputs'!AM58-'Model inputs'!AM57)*('POA — Monthly financial forecas'!M5-30)/6,IF('Model inputs'!AM58="","",'Model inputs'!AM58))))))))</f>
      </c>
    </row>
    <row r="771">
      <c r="A771" t="inlineStr" s="25">
        <is>
          <t xml:space="preserve">Calculation</t>
        </is>
      </c>
      <c r="B771">
        <f>(IF(IF(IF(ISERROR('POA — Monthly financial forecas'!N5&lt;=6),'POA — Monthly financial forecas'!N5&lt;=6,IF('POA — Monthly financial forecas'!N5="","",'POA — Monthly financial forecas'!N5&lt;=6))="",FALSE,IF(ISERROR('POA — Monthly financial forecas'!N5&lt;=6),'POA — Monthly financial forecas'!N5&lt;=6,IF('POA — Monthly financial forecas'!N5="","",'POA — Monthly financial forecas'!N5&lt;=6))),'Model inputs'!AM53+('Model inputs'!AM59-'Model inputs'!AM53)*('POA — Monthly financial forecas'!N5-0)/6,IF(IF(IF(ISERROR('POA — Monthly financial forecas'!N5&lt;=12),'POA — Monthly financial forecas'!N5&lt;=12,IF('POA — Monthly financial forecas'!N5="","",'POA — Monthly financial forecas'!N5&lt;=12))="",FALSE,IF(ISERROR('POA — Monthly financial forecas'!N5&lt;=12),'POA — Monthly financial forecas'!N5&lt;=12,IF('POA — Monthly financial forecas'!N5="","",'POA — Monthly financial forecas'!N5&lt;=12))),'Model inputs'!AM59+('Model inputs'!AM54-'Model inputs'!AM59)*('POA — Monthly financial forecas'!N5-6)/6,IF(IF(IF(ISERROR('POA — Monthly financial forecas'!N5&lt;=18),'POA — Monthly financial forecas'!N5&lt;=18,IF('POA — Monthly financial forecas'!N5="","",'POA — Monthly financial forecas'!N5&lt;=18))="",FALSE,IF(ISERROR('POA — Monthly financial forecas'!N5&lt;=18),'POA — Monthly financial forecas'!N5&lt;=18,IF('POA — Monthly financial forecas'!N5="","",'POA — Monthly financial forecas'!N5&lt;=18))),'Model inputs'!AM54+('Model inputs'!AM55-'Model inputs'!AM54)*('POA — Monthly financial forecas'!N5-12)/6,IF(IF(IF(ISERROR('POA — Monthly financial forecas'!N5&lt;=24),'POA — Monthly financial forecas'!N5&lt;=24,IF('POA — Monthly financial forecas'!N5="","",'POA — Monthly financial forecas'!N5&lt;=24))="",FALSE,IF(ISERROR('POA — Monthly financial forecas'!N5&lt;=24),'POA — Monthly financial forecas'!N5&lt;=24,IF('POA — Monthly financial forecas'!N5="","",'POA — Monthly financial forecas'!N5&lt;=24))),'Model inputs'!AM55+('Model inputs'!AM56-'Model inputs'!AM55)*('POA — Monthly financial forecas'!N5-18)/6,IF(IF(IF(ISERROR('POA — Monthly financial forecas'!N5&lt;=30),'POA — Monthly financial forecas'!N5&lt;=30,IF('POA — Monthly financial forecas'!N5="","",'POA — Monthly financial forecas'!N5&lt;=30))="",FALSE,IF(ISERROR('POA — Monthly financial forecas'!N5&lt;=30),'POA — Monthly financial forecas'!N5&lt;=30,IF('POA — Monthly financial forecas'!N5="","",'POA — Monthly financial forecas'!N5&lt;=30))),'Model inputs'!AM56+('Model inputs'!AM57-'Model inputs'!AM56)*('POA — Monthly financial forecas'!N5-24)/6,IF(IF(IF(ISERROR('POA — Monthly financial forecas'!N5&lt;=36),'POA — Monthly financial forecas'!N5&lt;=36,IF('POA — Monthly financial forecas'!N5="","",'POA — Monthly financial forecas'!N5&lt;=36))="",FALSE,IF(ISERROR('POA — Monthly financial forecas'!N5&lt;=36),'POA — Monthly financial forecas'!N5&lt;=36,IF('POA — Monthly financial forecas'!N5="","",'POA — Monthly financial forecas'!N5&lt;=36))),'Model inputs'!AM57+('Model inputs'!AM58-'Model inputs'!AM57)*('POA — Monthly financial forecas'!N5-30)/6,IF('Model inputs'!AM58="","",'Model inputs'!AM58))))))))</f>
      </c>
    </row>
    <row r="772">
      <c r="A772" t="inlineStr" s="25">
        <is>
          <t xml:space="preserve">Calculation</t>
        </is>
      </c>
      <c r="B772">
        <f>(IF(IF(IF(ISERROR('POA — Monthly financial forecas'!O5&lt;=6),'POA — Monthly financial forecas'!O5&lt;=6,IF('POA — Monthly financial forecas'!O5="","",'POA — Monthly financial forecas'!O5&lt;=6))="",FALSE,IF(ISERROR('POA — Monthly financial forecas'!O5&lt;=6),'POA — Monthly financial forecas'!O5&lt;=6,IF('POA — Monthly financial forecas'!O5="","",'POA — Monthly financial forecas'!O5&lt;=6))),'Model inputs'!AM53+('Model inputs'!AM59-'Model inputs'!AM53)*('POA — Monthly financial forecas'!O5-0)/6,IF(IF(IF(ISERROR('POA — Monthly financial forecas'!O5&lt;=12),'POA — Monthly financial forecas'!O5&lt;=12,IF('POA — Monthly financial forecas'!O5="","",'POA — Monthly financial forecas'!O5&lt;=12))="",FALSE,IF(ISERROR('POA — Monthly financial forecas'!O5&lt;=12),'POA — Monthly financial forecas'!O5&lt;=12,IF('POA — Monthly financial forecas'!O5="","",'POA — Monthly financial forecas'!O5&lt;=12))),'Model inputs'!AM59+('Model inputs'!AM54-'Model inputs'!AM59)*('POA — Monthly financial forecas'!O5-6)/6,IF(IF(IF(ISERROR('POA — Monthly financial forecas'!O5&lt;=18),'POA — Monthly financial forecas'!O5&lt;=18,IF('POA — Monthly financial forecas'!O5="","",'POA — Monthly financial forecas'!O5&lt;=18))="",FALSE,IF(ISERROR('POA — Monthly financial forecas'!O5&lt;=18),'POA — Monthly financial forecas'!O5&lt;=18,IF('POA — Monthly financial forecas'!O5="","",'POA — Monthly financial forecas'!O5&lt;=18))),'Model inputs'!AM54+('Model inputs'!AM55-'Model inputs'!AM54)*('POA — Monthly financial forecas'!O5-12)/6,IF(IF(IF(ISERROR('POA — Monthly financial forecas'!O5&lt;=24),'POA — Monthly financial forecas'!O5&lt;=24,IF('POA — Monthly financial forecas'!O5="","",'POA — Monthly financial forecas'!O5&lt;=24))="",FALSE,IF(ISERROR('POA — Monthly financial forecas'!O5&lt;=24),'POA — Monthly financial forecas'!O5&lt;=24,IF('POA — Monthly financial forecas'!O5="","",'POA — Monthly financial forecas'!O5&lt;=24))),'Model inputs'!AM55+('Model inputs'!AM56-'Model inputs'!AM55)*('POA — Monthly financial forecas'!O5-18)/6,IF(IF(IF(ISERROR('POA — Monthly financial forecas'!O5&lt;=30),'POA — Monthly financial forecas'!O5&lt;=30,IF('POA — Monthly financial forecas'!O5="","",'POA — Monthly financial forecas'!O5&lt;=30))="",FALSE,IF(ISERROR('POA — Monthly financial forecas'!O5&lt;=30),'POA — Monthly financial forecas'!O5&lt;=30,IF('POA — Monthly financial forecas'!O5="","",'POA — Monthly financial forecas'!O5&lt;=30))),'Model inputs'!AM56+('Model inputs'!AM57-'Model inputs'!AM56)*('POA — Monthly financial forecas'!O5-24)/6,IF(IF(IF(ISERROR('POA — Monthly financial forecas'!O5&lt;=36),'POA — Monthly financial forecas'!O5&lt;=36,IF('POA — Monthly financial forecas'!O5="","",'POA — Monthly financial forecas'!O5&lt;=36))="",FALSE,IF(ISERROR('POA — Monthly financial forecas'!O5&lt;=36),'POA — Monthly financial forecas'!O5&lt;=36,IF('POA — Monthly financial forecas'!O5="","",'POA — Monthly financial forecas'!O5&lt;=36))),'Model inputs'!AM57+('Model inputs'!AM58-'Model inputs'!AM57)*('POA — Monthly financial forecas'!O5-30)/6,IF('Model inputs'!AM58="","",'Model inputs'!AM58))))))))</f>
      </c>
    </row>
    <row r="773">
      <c r="A773" t="inlineStr" s="25">
        <is>
          <t xml:space="preserve">Calculation</t>
        </is>
      </c>
      <c r="B773">
        <f>(IF(IF(IF(ISERROR('POA — Monthly financial forecas'!P5&lt;=6),'POA — Monthly financial forecas'!P5&lt;=6,IF('POA — Monthly financial forecas'!P5="","",'POA — Monthly financial forecas'!P5&lt;=6))="",FALSE,IF(ISERROR('POA — Monthly financial forecas'!P5&lt;=6),'POA — Monthly financial forecas'!P5&lt;=6,IF('POA — Monthly financial forecas'!P5="","",'POA — Monthly financial forecas'!P5&lt;=6))),'Model inputs'!AM53+('Model inputs'!AM59-'Model inputs'!AM53)*('POA — Monthly financial forecas'!P5-0)/6,IF(IF(IF(ISERROR('POA — Monthly financial forecas'!P5&lt;=12),'POA — Monthly financial forecas'!P5&lt;=12,IF('POA — Monthly financial forecas'!P5="","",'POA — Monthly financial forecas'!P5&lt;=12))="",FALSE,IF(ISERROR('POA — Monthly financial forecas'!P5&lt;=12),'POA — Monthly financial forecas'!P5&lt;=12,IF('POA — Monthly financial forecas'!P5="","",'POA — Monthly financial forecas'!P5&lt;=12))),'Model inputs'!AM59+('Model inputs'!AM54-'Model inputs'!AM59)*('POA — Monthly financial forecas'!P5-6)/6,IF(IF(IF(ISERROR('POA — Monthly financial forecas'!P5&lt;=18),'POA — Monthly financial forecas'!P5&lt;=18,IF('POA — Monthly financial forecas'!P5="","",'POA — Monthly financial forecas'!P5&lt;=18))="",FALSE,IF(ISERROR('POA — Monthly financial forecas'!P5&lt;=18),'POA — Monthly financial forecas'!P5&lt;=18,IF('POA — Monthly financial forecas'!P5="","",'POA — Monthly financial forecas'!P5&lt;=18))),'Model inputs'!AM54+('Model inputs'!AM55-'Model inputs'!AM54)*('POA — Monthly financial forecas'!P5-12)/6,IF(IF(IF(ISERROR('POA — Monthly financial forecas'!P5&lt;=24),'POA — Monthly financial forecas'!P5&lt;=24,IF('POA — Monthly financial forecas'!P5="","",'POA — Monthly financial forecas'!P5&lt;=24))="",FALSE,IF(ISERROR('POA — Monthly financial forecas'!P5&lt;=24),'POA — Monthly financial forecas'!P5&lt;=24,IF('POA — Monthly financial forecas'!P5="","",'POA — Monthly financial forecas'!P5&lt;=24))),'Model inputs'!AM55+('Model inputs'!AM56-'Model inputs'!AM55)*('POA — Monthly financial forecas'!P5-18)/6,IF(IF(IF(ISERROR('POA — Monthly financial forecas'!P5&lt;=30),'POA — Monthly financial forecas'!P5&lt;=30,IF('POA — Monthly financial forecas'!P5="","",'POA — Monthly financial forecas'!P5&lt;=30))="",FALSE,IF(ISERROR('POA — Monthly financial forecas'!P5&lt;=30),'POA — Monthly financial forecas'!P5&lt;=30,IF('POA — Monthly financial forecas'!P5="","",'POA — Monthly financial forecas'!P5&lt;=30))),'Model inputs'!AM56+('Model inputs'!AM57-'Model inputs'!AM56)*('POA — Monthly financial forecas'!P5-24)/6,IF(IF(IF(ISERROR('POA — Monthly financial forecas'!P5&lt;=36),'POA — Monthly financial forecas'!P5&lt;=36,IF('POA — Monthly financial forecas'!P5="","",'POA — Monthly financial forecas'!P5&lt;=36))="",FALSE,IF(ISERROR('POA — Monthly financial forecas'!P5&lt;=36),'POA — Monthly financial forecas'!P5&lt;=36,IF('POA — Monthly financial forecas'!P5="","",'POA — Monthly financial forecas'!P5&lt;=36))),'Model inputs'!AM57+('Model inputs'!AM58-'Model inputs'!AM57)*('POA — Monthly financial forecas'!P5-30)/6,IF('Model inputs'!AM58="","",'Model inputs'!AM58))))))))</f>
      </c>
    </row>
    <row r="774">
      <c r="A774" t="inlineStr" s="25">
        <is>
          <t xml:space="preserve">Calculation</t>
        </is>
      </c>
      <c r="B774">
        <f>(IF(IF(IF(ISERROR('POA — Monthly financial forecas'!Q5&lt;=6),'POA — Monthly financial forecas'!Q5&lt;=6,IF('POA — Monthly financial forecas'!Q5="","",'POA — Monthly financial forecas'!Q5&lt;=6))="",FALSE,IF(ISERROR('POA — Monthly financial forecas'!Q5&lt;=6),'POA — Monthly financial forecas'!Q5&lt;=6,IF('POA — Monthly financial forecas'!Q5="","",'POA — Monthly financial forecas'!Q5&lt;=6))),'Model inputs'!AM53+('Model inputs'!AM59-'Model inputs'!AM53)*('POA — Monthly financial forecas'!Q5-0)/6,IF(IF(IF(ISERROR('POA — Monthly financial forecas'!Q5&lt;=12),'POA — Monthly financial forecas'!Q5&lt;=12,IF('POA — Monthly financial forecas'!Q5="","",'POA — Monthly financial forecas'!Q5&lt;=12))="",FALSE,IF(ISERROR('POA — Monthly financial forecas'!Q5&lt;=12),'POA — Monthly financial forecas'!Q5&lt;=12,IF('POA — Monthly financial forecas'!Q5="","",'POA — Monthly financial forecas'!Q5&lt;=12))),'Model inputs'!AM59+('Model inputs'!AM54-'Model inputs'!AM59)*('POA — Monthly financial forecas'!Q5-6)/6,IF(IF(IF(ISERROR('POA — Monthly financial forecas'!Q5&lt;=18),'POA — Monthly financial forecas'!Q5&lt;=18,IF('POA — Monthly financial forecas'!Q5="","",'POA — Monthly financial forecas'!Q5&lt;=18))="",FALSE,IF(ISERROR('POA — Monthly financial forecas'!Q5&lt;=18),'POA — Monthly financial forecas'!Q5&lt;=18,IF('POA — Monthly financial forecas'!Q5="","",'POA — Monthly financial forecas'!Q5&lt;=18))),'Model inputs'!AM54+('Model inputs'!AM55-'Model inputs'!AM54)*('POA — Monthly financial forecas'!Q5-12)/6,IF(IF(IF(ISERROR('POA — Monthly financial forecas'!Q5&lt;=24),'POA — Monthly financial forecas'!Q5&lt;=24,IF('POA — Monthly financial forecas'!Q5="","",'POA — Monthly financial forecas'!Q5&lt;=24))="",FALSE,IF(ISERROR('POA — Monthly financial forecas'!Q5&lt;=24),'POA — Monthly financial forecas'!Q5&lt;=24,IF('POA — Monthly financial forecas'!Q5="","",'POA — Monthly financial forecas'!Q5&lt;=24))),'Model inputs'!AM55+('Model inputs'!AM56-'Model inputs'!AM55)*('POA — Monthly financial forecas'!Q5-18)/6,IF(IF(IF(ISERROR('POA — Monthly financial forecas'!Q5&lt;=30),'POA — Monthly financial forecas'!Q5&lt;=30,IF('POA — Monthly financial forecas'!Q5="","",'POA — Monthly financial forecas'!Q5&lt;=30))="",FALSE,IF(ISERROR('POA — Monthly financial forecas'!Q5&lt;=30),'POA — Monthly financial forecas'!Q5&lt;=30,IF('POA — Monthly financial forecas'!Q5="","",'POA — Monthly financial forecas'!Q5&lt;=30))),'Model inputs'!AM56+('Model inputs'!AM57-'Model inputs'!AM56)*('POA — Monthly financial forecas'!Q5-24)/6,IF(IF(IF(ISERROR('POA — Monthly financial forecas'!Q5&lt;=36),'POA — Monthly financial forecas'!Q5&lt;=36,IF('POA — Monthly financial forecas'!Q5="","",'POA — Monthly financial forecas'!Q5&lt;=36))="",FALSE,IF(ISERROR('POA — Monthly financial forecas'!Q5&lt;=36),'POA — Monthly financial forecas'!Q5&lt;=36,IF('POA — Monthly financial forecas'!Q5="","",'POA — Monthly financial forecas'!Q5&lt;=36))),'Model inputs'!AM57+('Model inputs'!AM58-'Model inputs'!AM57)*('POA — Monthly financial forecas'!Q5-30)/6,IF('Model inputs'!AM58="","",'Model inputs'!AM58))))))))</f>
      </c>
    </row>
    <row r="775">
      <c r="A775" t="inlineStr" s="25">
        <is>
          <t xml:space="preserve">Calculation</t>
        </is>
      </c>
      <c r="B775">
        <f>(IF(IF(IF(ISERROR('POA — Monthly financial forecas'!R5&lt;=6),'POA — Monthly financial forecas'!R5&lt;=6,IF('POA — Monthly financial forecas'!R5="","",'POA — Monthly financial forecas'!R5&lt;=6))="",FALSE,IF(ISERROR('POA — Monthly financial forecas'!R5&lt;=6),'POA — Monthly financial forecas'!R5&lt;=6,IF('POA — Monthly financial forecas'!R5="","",'POA — Monthly financial forecas'!R5&lt;=6))),'Model inputs'!AM53+('Model inputs'!AM59-'Model inputs'!AM53)*('POA — Monthly financial forecas'!R5-0)/6,IF(IF(IF(ISERROR('POA — Monthly financial forecas'!R5&lt;=12),'POA — Monthly financial forecas'!R5&lt;=12,IF('POA — Monthly financial forecas'!R5="","",'POA — Monthly financial forecas'!R5&lt;=12))="",FALSE,IF(ISERROR('POA — Monthly financial forecas'!R5&lt;=12),'POA — Monthly financial forecas'!R5&lt;=12,IF('POA — Monthly financial forecas'!R5="","",'POA — Monthly financial forecas'!R5&lt;=12))),'Model inputs'!AM59+('Model inputs'!AM54-'Model inputs'!AM59)*('POA — Monthly financial forecas'!R5-6)/6,IF(IF(IF(ISERROR('POA — Monthly financial forecas'!R5&lt;=18),'POA — Monthly financial forecas'!R5&lt;=18,IF('POA — Monthly financial forecas'!R5="","",'POA — Monthly financial forecas'!R5&lt;=18))="",FALSE,IF(ISERROR('POA — Monthly financial forecas'!R5&lt;=18),'POA — Monthly financial forecas'!R5&lt;=18,IF('POA — Monthly financial forecas'!R5="","",'POA — Monthly financial forecas'!R5&lt;=18))),'Model inputs'!AM54+('Model inputs'!AM55-'Model inputs'!AM54)*('POA — Monthly financial forecas'!R5-12)/6,IF(IF(IF(ISERROR('POA — Monthly financial forecas'!R5&lt;=24),'POA — Monthly financial forecas'!R5&lt;=24,IF('POA — Monthly financial forecas'!R5="","",'POA — Monthly financial forecas'!R5&lt;=24))="",FALSE,IF(ISERROR('POA — Monthly financial forecas'!R5&lt;=24),'POA — Monthly financial forecas'!R5&lt;=24,IF('POA — Monthly financial forecas'!R5="","",'POA — Monthly financial forecas'!R5&lt;=24))),'Model inputs'!AM55+('Model inputs'!AM56-'Model inputs'!AM55)*('POA — Monthly financial forecas'!R5-18)/6,IF(IF(IF(ISERROR('POA — Monthly financial forecas'!R5&lt;=30),'POA — Monthly financial forecas'!R5&lt;=30,IF('POA — Monthly financial forecas'!R5="","",'POA — Monthly financial forecas'!R5&lt;=30))="",FALSE,IF(ISERROR('POA — Monthly financial forecas'!R5&lt;=30),'POA — Monthly financial forecas'!R5&lt;=30,IF('POA — Monthly financial forecas'!R5="","",'POA — Monthly financial forecas'!R5&lt;=30))),'Model inputs'!AM56+('Model inputs'!AM57-'Model inputs'!AM56)*('POA — Monthly financial forecas'!R5-24)/6,IF(IF(IF(ISERROR('POA — Monthly financial forecas'!R5&lt;=36),'POA — Monthly financial forecas'!R5&lt;=36,IF('POA — Monthly financial forecas'!R5="","",'POA — Monthly financial forecas'!R5&lt;=36))="",FALSE,IF(ISERROR('POA — Monthly financial forecas'!R5&lt;=36),'POA — Monthly financial forecas'!R5&lt;=36,IF('POA — Monthly financial forecas'!R5="","",'POA — Monthly financial forecas'!R5&lt;=36))),'Model inputs'!AM57+('Model inputs'!AM58-'Model inputs'!AM57)*('POA — Monthly financial forecas'!R5-30)/6,IF('Model inputs'!AM58="","",'Model inputs'!AM58))))))))</f>
      </c>
    </row>
    <row r="776">
      <c r="A776" t="inlineStr" s="25">
        <is>
          <t xml:space="preserve">Calculation</t>
        </is>
      </c>
      <c r="B776">
        <f>(IF(IF(IF(ISERROR('POA — Monthly financial forecas'!S5&lt;=6),'POA — Monthly financial forecas'!S5&lt;=6,IF('POA — Monthly financial forecas'!S5="","",'POA — Monthly financial forecas'!S5&lt;=6))="",FALSE,IF(ISERROR('POA — Monthly financial forecas'!S5&lt;=6),'POA — Monthly financial forecas'!S5&lt;=6,IF('POA — Monthly financial forecas'!S5="","",'POA — Monthly financial forecas'!S5&lt;=6))),'Model inputs'!AM53+('Model inputs'!AM59-'Model inputs'!AM53)*('POA — Monthly financial forecas'!S5-0)/6,IF(IF(IF(ISERROR('POA — Monthly financial forecas'!S5&lt;=12),'POA — Monthly financial forecas'!S5&lt;=12,IF('POA — Monthly financial forecas'!S5="","",'POA — Monthly financial forecas'!S5&lt;=12))="",FALSE,IF(ISERROR('POA — Monthly financial forecas'!S5&lt;=12),'POA — Monthly financial forecas'!S5&lt;=12,IF('POA — Monthly financial forecas'!S5="","",'POA — Monthly financial forecas'!S5&lt;=12))),'Model inputs'!AM59+('Model inputs'!AM54-'Model inputs'!AM59)*('POA — Monthly financial forecas'!S5-6)/6,IF(IF(IF(ISERROR('POA — Monthly financial forecas'!S5&lt;=18),'POA — Monthly financial forecas'!S5&lt;=18,IF('POA — Monthly financial forecas'!S5="","",'POA — Monthly financial forecas'!S5&lt;=18))="",FALSE,IF(ISERROR('POA — Monthly financial forecas'!S5&lt;=18),'POA — Monthly financial forecas'!S5&lt;=18,IF('POA — Monthly financial forecas'!S5="","",'POA — Monthly financial forecas'!S5&lt;=18))),'Model inputs'!AM54+('Model inputs'!AM55-'Model inputs'!AM54)*('POA — Monthly financial forecas'!S5-12)/6,IF(IF(IF(ISERROR('POA — Monthly financial forecas'!S5&lt;=24),'POA — Monthly financial forecas'!S5&lt;=24,IF('POA — Monthly financial forecas'!S5="","",'POA — Monthly financial forecas'!S5&lt;=24))="",FALSE,IF(ISERROR('POA — Monthly financial forecas'!S5&lt;=24),'POA — Monthly financial forecas'!S5&lt;=24,IF('POA — Monthly financial forecas'!S5="","",'POA — Monthly financial forecas'!S5&lt;=24))),'Model inputs'!AM55+('Model inputs'!AM56-'Model inputs'!AM55)*('POA — Monthly financial forecas'!S5-18)/6,IF(IF(IF(ISERROR('POA — Monthly financial forecas'!S5&lt;=30),'POA — Monthly financial forecas'!S5&lt;=30,IF('POA — Monthly financial forecas'!S5="","",'POA — Monthly financial forecas'!S5&lt;=30))="",FALSE,IF(ISERROR('POA — Monthly financial forecas'!S5&lt;=30),'POA — Monthly financial forecas'!S5&lt;=30,IF('POA — Monthly financial forecas'!S5="","",'POA — Monthly financial forecas'!S5&lt;=30))),'Model inputs'!AM56+('Model inputs'!AM57-'Model inputs'!AM56)*('POA — Monthly financial forecas'!S5-24)/6,IF(IF(IF(ISERROR('POA — Monthly financial forecas'!S5&lt;=36),'POA — Monthly financial forecas'!S5&lt;=36,IF('POA — Monthly financial forecas'!S5="","",'POA — Monthly financial forecas'!S5&lt;=36))="",FALSE,IF(ISERROR('POA — Monthly financial forecas'!S5&lt;=36),'POA — Monthly financial forecas'!S5&lt;=36,IF('POA — Monthly financial forecas'!S5="","",'POA — Monthly financial forecas'!S5&lt;=36))),'Model inputs'!AM57+('Model inputs'!AM58-'Model inputs'!AM57)*('POA — Monthly financial forecas'!S5-30)/6,IF('Model inputs'!AM58="","",'Model inputs'!AM58))))))))</f>
      </c>
    </row>
    <row r="777">
      <c r="A777" t="inlineStr" s="25">
        <is>
          <t xml:space="preserve">Calculation</t>
        </is>
      </c>
      <c r="B777">
        <f>(IF(IF(IF(ISERROR('POA — Monthly financial forecas'!T5&lt;=6),'POA — Monthly financial forecas'!T5&lt;=6,IF('POA — Monthly financial forecas'!T5="","",'POA — Monthly financial forecas'!T5&lt;=6))="",FALSE,IF(ISERROR('POA — Monthly financial forecas'!T5&lt;=6),'POA — Monthly financial forecas'!T5&lt;=6,IF('POA — Monthly financial forecas'!T5="","",'POA — Monthly financial forecas'!T5&lt;=6))),'Model inputs'!AM53+('Model inputs'!AM59-'Model inputs'!AM53)*('POA — Monthly financial forecas'!T5-0)/6,IF(IF(IF(ISERROR('POA — Monthly financial forecas'!T5&lt;=12),'POA — Monthly financial forecas'!T5&lt;=12,IF('POA — Monthly financial forecas'!T5="","",'POA — Monthly financial forecas'!T5&lt;=12))="",FALSE,IF(ISERROR('POA — Monthly financial forecas'!T5&lt;=12),'POA — Monthly financial forecas'!T5&lt;=12,IF('POA — Monthly financial forecas'!T5="","",'POA — Monthly financial forecas'!T5&lt;=12))),'Model inputs'!AM59+('Model inputs'!AM54-'Model inputs'!AM59)*('POA — Monthly financial forecas'!T5-6)/6,IF(IF(IF(ISERROR('POA — Monthly financial forecas'!T5&lt;=18),'POA — Monthly financial forecas'!T5&lt;=18,IF('POA — Monthly financial forecas'!T5="","",'POA — Monthly financial forecas'!T5&lt;=18))="",FALSE,IF(ISERROR('POA — Monthly financial forecas'!T5&lt;=18),'POA — Monthly financial forecas'!T5&lt;=18,IF('POA — Monthly financial forecas'!T5="","",'POA — Monthly financial forecas'!T5&lt;=18))),'Model inputs'!AM54+('Model inputs'!AM55-'Model inputs'!AM54)*('POA — Monthly financial forecas'!T5-12)/6,IF(IF(IF(ISERROR('POA — Monthly financial forecas'!T5&lt;=24),'POA — Monthly financial forecas'!T5&lt;=24,IF('POA — Monthly financial forecas'!T5="","",'POA — Monthly financial forecas'!T5&lt;=24))="",FALSE,IF(ISERROR('POA — Monthly financial forecas'!T5&lt;=24),'POA — Monthly financial forecas'!T5&lt;=24,IF('POA — Monthly financial forecas'!T5="","",'POA — Monthly financial forecas'!T5&lt;=24))),'Model inputs'!AM55+('Model inputs'!AM56-'Model inputs'!AM55)*('POA — Monthly financial forecas'!T5-18)/6,IF(IF(IF(ISERROR('POA — Monthly financial forecas'!T5&lt;=30),'POA — Monthly financial forecas'!T5&lt;=30,IF('POA — Monthly financial forecas'!T5="","",'POA — Monthly financial forecas'!T5&lt;=30))="",FALSE,IF(ISERROR('POA — Monthly financial forecas'!T5&lt;=30),'POA — Monthly financial forecas'!T5&lt;=30,IF('POA — Monthly financial forecas'!T5="","",'POA — Monthly financial forecas'!T5&lt;=30))),'Model inputs'!AM56+('Model inputs'!AM57-'Model inputs'!AM56)*('POA — Monthly financial forecas'!T5-24)/6,IF(IF(IF(ISERROR('POA — Monthly financial forecas'!T5&lt;=36),'POA — Monthly financial forecas'!T5&lt;=36,IF('POA — Monthly financial forecas'!T5="","",'POA — Monthly financial forecas'!T5&lt;=36))="",FALSE,IF(ISERROR('POA — Monthly financial forecas'!T5&lt;=36),'POA — Monthly financial forecas'!T5&lt;=36,IF('POA — Monthly financial forecas'!T5="","",'POA — Monthly financial forecas'!T5&lt;=36))),'Model inputs'!AM57+('Model inputs'!AM58-'Model inputs'!AM57)*('POA — Monthly financial forecas'!T5-30)/6,IF('Model inputs'!AM58="","",'Model inputs'!AM58))))))))</f>
      </c>
    </row>
    <row r="778">
      <c r="A778" t="inlineStr" s="25">
        <is>
          <t xml:space="preserve">Calculation</t>
        </is>
      </c>
      <c r="B778">
        <f>(IF(IF(IF(ISERROR('POA — Monthly financial forecas'!U5&lt;=6),'POA — Monthly financial forecas'!U5&lt;=6,IF('POA — Monthly financial forecas'!U5="","",'POA — Monthly financial forecas'!U5&lt;=6))="",FALSE,IF(ISERROR('POA — Monthly financial forecas'!U5&lt;=6),'POA — Monthly financial forecas'!U5&lt;=6,IF('POA — Monthly financial forecas'!U5="","",'POA — Monthly financial forecas'!U5&lt;=6))),'Model inputs'!AM53+('Model inputs'!AM59-'Model inputs'!AM53)*('POA — Monthly financial forecas'!U5-0)/6,IF(IF(IF(ISERROR('POA — Monthly financial forecas'!U5&lt;=12),'POA — Monthly financial forecas'!U5&lt;=12,IF('POA — Monthly financial forecas'!U5="","",'POA — Monthly financial forecas'!U5&lt;=12))="",FALSE,IF(ISERROR('POA — Monthly financial forecas'!U5&lt;=12),'POA — Monthly financial forecas'!U5&lt;=12,IF('POA — Monthly financial forecas'!U5="","",'POA — Monthly financial forecas'!U5&lt;=12))),'Model inputs'!AM59+('Model inputs'!AM54-'Model inputs'!AM59)*('POA — Monthly financial forecas'!U5-6)/6,IF(IF(IF(ISERROR('POA — Monthly financial forecas'!U5&lt;=18),'POA — Monthly financial forecas'!U5&lt;=18,IF('POA — Monthly financial forecas'!U5="","",'POA — Monthly financial forecas'!U5&lt;=18))="",FALSE,IF(ISERROR('POA — Monthly financial forecas'!U5&lt;=18),'POA — Monthly financial forecas'!U5&lt;=18,IF('POA — Monthly financial forecas'!U5="","",'POA — Monthly financial forecas'!U5&lt;=18))),'Model inputs'!AM54+('Model inputs'!AM55-'Model inputs'!AM54)*('POA — Monthly financial forecas'!U5-12)/6,IF(IF(IF(ISERROR('POA — Monthly financial forecas'!U5&lt;=24),'POA — Monthly financial forecas'!U5&lt;=24,IF('POA — Monthly financial forecas'!U5="","",'POA — Monthly financial forecas'!U5&lt;=24))="",FALSE,IF(ISERROR('POA — Monthly financial forecas'!U5&lt;=24),'POA — Monthly financial forecas'!U5&lt;=24,IF('POA — Monthly financial forecas'!U5="","",'POA — Monthly financial forecas'!U5&lt;=24))),'Model inputs'!AM55+('Model inputs'!AM56-'Model inputs'!AM55)*('POA — Monthly financial forecas'!U5-18)/6,IF(IF(IF(ISERROR('POA — Monthly financial forecas'!U5&lt;=30),'POA — Monthly financial forecas'!U5&lt;=30,IF('POA — Monthly financial forecas'!U5="","",'POA — Monthly financial forecas'!U5&lt;=30))="",FALSE,IF(ISERROR('POA — Monthly financial forecas'!U5&lt;=30),'POA — Monthly financial forecas'!U5&lt;=30,IF('POA — Monthly financial forecas'!U5="","",'POA — Monthly financial forecas'!U5&lt;=30))),'Model inputs'!AM56+('Model inputs'!AM57-'Model inputs'!AM56)*('POA — Monthly financial forecas'!U5-24)/6,IF(IF(IF(ISERROR('POA — Monthly financial forecas'!U5&lt;=36),'POA — Monthly financial forecas'!U5&lt;=36,IF('POA — Monthly financial forecas'!U5="","",'POA — Monthly financial forecas'!U5&lt;=36))="",FALSE,IF(ISERROR('POA — Monthly financial forecas'!U5&lt;=36),'POA — Monthly financial forecas'!U5&lt;=36,IF('POA — Monthly financial forecas'!U5="","",'POA — Monthly financial forecas'!U5&lt;=36))),'Model inputs'!AM57+('Model inputs'!AM58-'Model inputs'!AM57)*('POA — Monthly financial forecas'!U5-30)/6,IF('Model inputs'!AM58="","",'Model inputs'!AM58))))))))</f>
      </c>
    </row>
    <row r="779">
      <c r="A779" t="inlineStr" s="25">
        <is>
          <t xml:space="preserve">Calculation</t>
        </is>
      </c>
      <c r="B779">
        <f>(IF(IF(IF(ISERROR('POA — Monthly financial forecas'!V5&lt;=6),'POA — Monthly financial forecas'!V5&lt;=6,IF('POA — Monthly financial forecas'!V5="","",'POA — Monthly financial forecas'!V5&lt;=6))="",FALSE,IF(ISERROR('POA — Monthly financial forecas'!V5&lt;=6),'POA — Monthly financial forecas'!V5&lt;=6,IF('POA — Monthly financial forecas'!V5="","",'POA — Monthly financial forecas'!V5&lt;=6))),'Model inputs'!AM53+('Model inputs'!AM59-'Model inputs'!AM53)*('POA — Monthly financial forecas'!V5-0)/6,IF(IF(IF(ISERROR('POA — Monthly financial forecas'!V5&lt;=12),'POA — Monthly financial forecas'!V5&lt;=12,IF('POA — Monthly financial forecas'!V5="","",'POA — Monthly financial forecas'!V5&lt;=12))="",FALSE,IF(ISERROR('POA — Monthly financial forecas'!V5&lt;=12),'POA — Monthly financial forecas'!V5&lt;=12,IF('POA — Monthly financial forecas'!V5="","",'POA — Monthly financial forecas'!V5&lt;=12))),'Model inputs'!AM59+('Model inputs'!AM54-'Model inputs'!AM59)*('POA — Monthly financial forecas'!V5-6)/6,IF(IF(IF(ISERROR('POA — Monthly financial forecas'!V5&lt;=18),'POA — Monthly financial forecas'!V5&lt;=18,IF('POA — Monthly financial forecas'!V5="","",'POA — Monthly financial forecas'!V5&lt;=18))="",FALSE,IF(ISERROR('POA — Monthly financial forecas'!V5&lt;=18),'POA — Monthly financial forecas'!V5&lt;=18,IF('POA — Monthly financial forecas'!V5="","",'POA — Monthly financial forecas'!V5&lt;=18))),'Model inputs'!AM54+('Model inputs'!AM55-'Model inputs'!AM54)*('POA — Monthly financial forecas'!V5-12)/6,IF(IF(IF(ISERROR('POA — Monthly financial forecas'!V5&lt;=24),'POA — Monthly financial forecas'!V5&lt;=24,IF('POA — Monthly financial forecas'!V5="","",'POA — Monthly financial forecas'!V5&lt;=24))="",FALSE,IF(ISERROR('POA — Monthly financial forecas'!V5&lt;=24),'POA — Monthly financial forecas'!V5&lt;=24,IF('POA — Monthly financial forecas'!V5="","",'POA — Monthly financial forecas'!V5&lt;=24))),'Model inputs'!AM55+('Model inputs'!AM56-'Model inputs'!AM55)*('POA — Monthly financial forecas'!V5-18)/6,IF(IF(IF(ISERROR('POA — Monthly financial forecas'!V5&lt;=30),'POA — Monthly financial forecas'!V5&lt;=30,IF('POA — Monthly financial forecas'!V5="","",'POA — Monthly financial forecas'!V5&lt;=30))="",FALSE,IF(ISERROR('POA — Monthly financial forecas'!V5&lt;=30),'POA — Monthly financial forecas'!V5&lt;=30,IF('POA — Monthly financial forecas'!V5="","",'POA — Monthly financial forecas'!V5&lt;=30))),'Model inputs'!AM56+('Model inputs'!AM57-'Model inputs'!AM56)*('POA — Monthly financial forecas'!V5-24)/6,IF(IF(IF(ISERROR('POA — Monthly financial forecas'!V5&lt;=36),'POA — Monthly financial forecas'!V5&lt;=36,IF('POA — Monthly financial forecas'!V5="","",'POA — Monthly financial forecas'!V5&lt;=36))="",FALSE,IF(ISERROR('POA — Monthly financial forecas'!V5&lt;=36),'POA — Monthly financial forecas'!V5&lt;=36,IF('POA — Monthly financial forecas'!V5="","",'POA — Monthly financial forecas'!V5&lt;=36))),'Model inputs'!AM57+('Model inputs'!AM58-'Model inputs'!AM57)*('POA — Monthly financial forecas'!V5-30)/6,IF('Model inputs'!AM58="","",'Model inputs'!AM58))))))))</f>
      </c>
    </row>
    <row r="780">
      <c r="A780" t="inlineStr" s="25">
        <is>
          <t xml:space="preserve">Calculation</t>
        </is>
      </c>
      <c r="B780">
        <f>(IF(IF(IF(ISERROR('POA — Monthly financial forecas'!W5&lt;=6),'POA — Monthly financial forecas'!W5&lt;=6,IF('POA — Monthly financial forecas'!W5="","",'POA — Monthly financial forecas'!W5&lt;=6))="",FALSE,IF(ISERROR('POA — Monthly financial forecas'!W5&lt;=6),'POA — Monthly financial forecas'!W5&lt;=6,IF('POA — Monthly financial forecas'!W5="","",'POA — Monthly financial forecas'!W5&lt;=6))),'Model inputs'!AM53+('Model inputs'!AM59-'Model inputs'!AM53)*('POA — Monthly financial forecas'!W5-0)/6,IF(IF(IF(ISERROR('POA — Monthly financial forecas'!W5&lt;=12),'POA — Monthly financial forecas'!W5&lt;=12,IF('POA — Monthly financial forecas'!W5="","",'POA — Monthly financial forecas'!W5&lt;=12))="",FALSE,IF(ISERROR('POA — Monthly financial forecas'!W5&lt;=12),'POA — Monthly financial forecas'!W5&lt;=12,IF('POA — Monthly financial forecas'!W5="","",'POA — Monthly financial forecas'!W5&lt;=12))),'Model inputs'!AM59+('Model inputs'!AM54-'Model inputs'!AM59)*('POA — Monthly financial forecas'!W5-6)/6,IF(IF(IF(ISERROR('POA — Monthly financial forecas'!W5&lt;=18),'POA — Monthly financial forecas'!W5&lt;=18,IF('POA — Monthly financial forecas'!W5="","",'POA — Monthly financial forecas'!W5&lt;=18))="",FALSE,IF(ISERROR('POA — Monthly financial forecas'!W5&lt;=18),'POA — Monthly financial forecas'!W5&lt;=18,IF('POA — Monthly financial forecas'!W5="","",'POA — Monthly financial forecas'!W5&lt;=18))),'Model inputs'!AM54+('Model inputs'!AM55-'Model inputs'!AM54)*('POA — Monthly financial forecas'!W5-12)/6,IF(IF(IF(ISERROR('POA — Monthly financial forecas'!W5&lt;=24),'POA — Monthly financial forecas'!W5&lt;=24,IF('POA — Monthly financial forecas'!W5="","",'POA — Monthly financial forecas'!W5&lt;=24))="",FALSE,IF(ISERROR('POA — Monthly financial forecas'!W5&lt;=24),'POA — Monthly financial forecas'!W5&lt;=24,IF('POA — Monthly financial forecas'!W5="","",'POA — Monthly financial forecas'!W5&lt;=24))),'Model inputs'!AM55+('Model inputs'!AM56-'Model inputs'!AM55)*('POA — Monthly financial forecas'!W5-18)/6,IF(IF(IF(ISERROR('POA — Monthly financial forecas'!W5&lt;=30),'POA — Monthly financial forecas'!W5&lt;=30,IF('POA — Monthly financial forecas'!W5="","",'POA — Monthly financial forecas'!W5&lt;=30))="",FALSE,IF(ISERROR('POA — Monthly financial forecas'!W5&lt;=30),'POA — Monthly financial forecas'!W5&lt;=30,IF('POA — Monthly financial forecas'!W5="","",'POA — Monthly financial forecas'!W5&lt;=30))),'Model inputs'!AM56+('Model inputs'!AM57-'Model inputs'!AM56)*('POA — Monthly financial forecas'!W5-24)/6,IF(IF(IF(ISERROR('POA — Monthly financial forecas'!W5&lt;=36),'POA — Monthly financial forecas'!W5&lt;=36,IF('POA — Monthly financial forecas'!W5="","",'POA — Monthly financial forecas'!W5&lt;=36))="",FALSE,IF(ISERROR('POA — Monthly financial forecas'!W5&lt;=36),'POA — Monthly financial forecas'!W5&lt;=36,IF('POA — Monthly financial forecas'!W5="","",'POA — Monthly financial forecas'!W5&lt;=36))),'Model inputs'!AM57+('Model inputs'!AM58-'Model inputs'!AM57)*('POA — Monthly financial forecas'!W5-30)/6,IF('Model inputs'!AM58="","",'Model inputs'!AM58))))))))</f>
      </c>
    </row>
    <row r="781">
      <c r="A781" t="inlineStr" s="25">
        <is>
          <t xml:space="preserve">Calculation</t>
        </is>
      </c>
      <c r="B781">
        <f>(IF(IF(IF(ISERROR('POA — Monthly financial forecas'!X5&lt;=6),'POA — Monthly financial forecas'!X5&lt;=6,IF('POA — Monthly financial forecas'!X5="","",'POA — Monthly financial forecas'!X5&lt;=6))="",FALSE,IF(ISERROR('POA — Monthly financial forecas'!X5&lt;=6),'POA — Monthly financial forecas'!X5&lt;=6,IF('POA — Monthly financial forecas'!X5="","",'POA — Monthly financial forecas'!X5&lt;=6))),'Model inputs'!AM53+('Model inputs'!AM59-'Model inputs'!AM53)*('POA — Monthly financial forecas'!X5-0)/6,IF(IF(IF(ISERROR('POA — Monthly financial forecas'!X5&lt;=12),'POA — Monthly financial forecas'!X5&lt;=12,IF('POA — Monthly financial forecas'!X5="","",'POA — Monthly financial forecas'!X5&lt;=12))="",FALSE,IF(ISERROR('POA — Monthly financial forecas'!X5&lt;=12),'POA — Monthly financial forecas'!X5&lt;=12,IF('POA — Monthly financial forecas'!X5="","",'POA — Monthly financial forecas'!X5&lt;=12))),'Model inputs'!AM59+('Model inputs'!AM54-'Model inputs'!AM59)*('POA — Monthly financial forecas'!X5-6)/6,IF(IF(IF(ISERROR('POA — Monthly financial forecas'!X5&lt;=18),'POA — Monthly financial forecas'!X5&lt;=18,IF('POA — Monthly financial forecas'!X5="","",'POA — Monthly financial forecas'!X5&lt;=18))="",FALSE,IF(ISERROR('POA — Monthly financial forecas'!X5&lt;=18),'POA — Monthly financial forecas'!X5&lt;=18,IF('POA — Monthly financial forecas'!X5="","",'POA — Monthly financial forecas'!X5&lt;=18))),'Model inputs'!AM54+('Model inputs'!AM55-'Model inputs'!AM54)*('POA — Monthly financial forecas'!X5-12)/6,IF(IF(IF(ISERROR('POA — Monthly financial forecas'!X5&lt;=24),'POA — Monthly financial forecas'!X5&lt;=24,IF('POA — Monthly financial forecas'!X5="","",'POA — Monthly financial forecas'!X5&lt;=24))="",FALSE,IF(ISERROR('POA — Monthly financial forecas'!X5&lt;=24),'POA — Monthly financial forecas'!X5&lt;=24,IF('POA — Monthly financial forecas'!X5="","",'POA — Monthly financial forecas'!X5&lt;=24))),'Model inputs'!AM55+('Model inputs'!AM56-'Model inputs'!AM55)*('POA — Monthly financial forecas'!X5-18)/6,IF(IF(IF(ISERROR('POA — Monthly financial forecas'!X5&lt;=30),'POA — Monthly financial forecas'!X5&lt;=30,IF('POA — Monthly financial forecas'!X5="","",'POA — Monthly financial forecas'!X5&lt;=30))="",FALSE,IF(ISERROR('POA — Monthly financial forecas'!X5&lt;=30),'POA — Monthly financial forecas'!X5&lt;=30,IF('POA — Monthly financial forecas'!X5="","",'POA — Monthly financial forecas'!X5&lt;=30))),'Model inputs'!AM56+('Model inputs'!AM57-'Model inputs'!AM56)*('POA — Monthly financial forecas'!X5-24)/6,IF(IF(IF(ISERROR('POA — Monthly financial forecas'!X5&lt;=36),'POA — Monthly financial forecas'!X5&lt;=36,IF('POA — Monthly financial forecas'!X5="","",'POA — Monthly financial forecas'!X5&lt;=36))="",FALSE,IF(ISERROR('POA — Monthly financial forecas'!X5&lt;=36),'POA — Monthly financial forecas'!X5&lt;=36,IF('POA — Monthly financial forecas'!X5="","",'POA — Monthly financial forecas'!X5&lt;=36))),'Model inputs'!AM57+('Model inputs'!AM58-'Model inputs'!AM57)*('POA — Monthly financial forecas'!X5-30)/6,IF('Model inputs'!AM58="","",'Model inputs'!AM58))))))))</f>
      </c>
    </row>
    <row r="782">
      <c r="A782" t="inlineStr" s="25">
        <is>
          <t xml:space="preserve">Calculation</t>
        </is>
      </c>
      <c r="B782">
        <f>(IF(IF(IF(ISERROR('POA — Monthly financial forecas'!Y5&lt;=6),'POA — Monthly financial forecas'!Y5&lt;=6,IF('POA — Monthly financial forecas'!Y5="","",'POA — Monthly financial forecas'!Y5&lt;=6))="",FALSE,IF(ISERROR('POA — Monthly financial forecas'!Y5&lt;=6),'POA — Monthly financial forecas'!Y5&lt;=6,IF('POA — Monthly financial forecas'!Y5="","",'POA — Monthly financial forecas'!Y5&lt;=6))),'Model inputs'!AM53+('Model inputs'!AM59-'Model inputs'!AM53)*('POA — Monthly financial forecas'!Y5-0)/6,IF(IF(IF(ISERROR('POA — Monthly financial forecas'!Y5&lt;=12),'POA — Monthly financial forecas'!Y5&lt;=12,IF('POA — Monthly financial forecas'!Y5="","",'POA — Monthly financial forecas'!Y5&lt;=12))="",FALSE,IF(ISERROR('POA — Monthly financial forecas'!Y5&lt;=12),'POA — Monthly financial forecas'!Y5&lt;=12,IF('POA — Monthly financial forecas'!Y5="","",'POA — Monthly financial forecas'!Y5&lt;=12))),'Model inputs'!AM59+('Model inputs'!AM54-'Model inputs'!AM59)*('POA — Monthly financial forecas'!Y5-6)/6,IF(IF(IF(ISERROR('POA — Monthly financial forecas'!Y5&lt;=18),'POA — Monthly financial forecas'!Y5&lt;=18,IF('POA — Monthly financial forecas'!Y5="","",'POA — Monthly financial forecas'!Y5&lt;=18))="",FALSE,IF(ISERROR('POA — Monthly financial forecas'!Y5&lt;=18),'POA — Monthly financial forecas'!Y5&lt;=18,IF('POA — Monthly financial forecas'!Y5="","",'POA — Monthly financial forecas'!Y5&lt;=18))),'Model inputs'!AM54+('Model inputs'!AM55-'Model inputs'!AM54)*('POA — Monthly financial forecas'!Y5-12)/6,IF(IF(IF(ISERROR('POA — Monthly financial forecas'!Y5&lt;=24),'POA — Monthly financial forecas'!Y5&lt;=24,IF('POA — Monthly financial forecas'!Y5="","",'POA — Monthly financial forecas'!Y5&lt;=24))="",FALSE,IF(ISERROR('POA — Monthly financial forecas'!Y5&lt;=24),'POA — Monthly financial forecas'!Y5&lt;=24,IF('POA — Monthly financial forecas'!Y5="","",'POA — Monthly financial forecas'!Y5&lt;=24))),'Model inputs'!AM55+('Model inputs'!AM56-'Model inputs'!AM55)*('POA — Monthly financial forecas'!Y5-18)/6,IF(IF(IF(ISERROR('POA — Monthly financial forecas'!Y5&lt;=30),'POA — Monthly financial forecas'!Y5&lt;=30,IF('POA — Monthly financial forecas'!Y5="","",'POA — Monthly financial forecas'!Y5&lt;=30))="",FALSE,IF(ISERROR('POA — Monthly financial forecas'!Y5&lt;=30),'POA — Monthly financial forecas'!Y5&lt;=30,IF('POA — Monthly financial forecas'!Y5="","",'POA — Monthly financial forecas'!Y5&lt;=30))),'Model inputs'!AM56+('Model inputs'!AM57-'Model inputs'!AM56)*('POA — Monthly financial forecas'!Y5-24)/6,IF(IF(IF(ISERROR('POA — Monthly financial forecas'!Y5&lt;=36),'POA — Monthly financial forecas'!Y5&lt;=36,IF('POA — Monthly financial forecas'!Y5="","",'POA — Monthly financial forecas'!Y5&lt;=36))="",FALSE,IF(ISERROR('POA — Monthly financial forecas'!Y5&lt;=36),'POA — Monthly financial forecas'!Y5&lt;=36,IF('POA — Monthly financial forecas'!Y5="","",'POA — Monthly financial forecas'!Y5&lt;=36))),'Model inputs'!AM57+('Model inputs'!AM58-'Model inputs'!AM57)*('POA — Monthly financial forecas'!Y5-30)/6,IF('Model inputs'!AM58="","",'Model inputs'!AM58))))))))</f>
      </c>
    </row>
    <row r="783">
      <c r="A783" t="inlineStr" s="25">
        <is>
          <t xml:space="preserve">Calculation</t>
        </is>
      </c>
      <c r="B783">
        <f>(IF(IF(IF(ISERROR('POA — Monthly financial forecas'!Z5&lt;=6),'POA — Monthly financial forecas'!Z5&lt;=6,IF('POA — Monthly financial forecas'!Z5="","",'POA — Monthly financial forecas'!Z5&lt;=6))="",FALSE,IF(ISERROR('POA — Monthly financial forecas'!Z5&lt;=6),'POA — Monthly financial forecas'!Z5&lt;=6,IF('POA — Monthly financial forecas'!Z5="","",'POA — Monthly financial forecas'!Z5&lt;=6))),'Model inputs'!AM53+('Model inputs'!AM59-'Model inputs'!AM53)*('POA — Monthly financial forecas'!Z5-0)/6,IF(IF(IF(ISERROR('POA — Monthly financial forecas'!Z5&lt;=12),'POA — Monthly financial forecas'!Z5&lt;=12,IF('POA — Monthly financial forecas'!Z5="","",'POA — Monthly financial forecas'!Z5&lt;=12))="",FALSE,IF(ISERROR('POA — Monthly financial forecas'!Z5&lt;=12),'POA — Monthly financial forecas'!Z5&lt;=12,IF('POA — Monthly financial forecas'!Z5="","",'POA — Monthly financial forecas'!Z5&lt;=12))),'Model inputs'!AM59+('Model inputs'!AM54-'Model inputs'!AM59)*('POA — Monthly financial forecas'!Z5-6)/6,IF(IF(IF(ISERROR('POA — Monthly financial forecas'!Z5&lt;=18),'POA — Monthly financial forecas'!Z5&lt;=18,IF('POA — Monthly financial forecas'!Z5="","",'POA — Monthly financial forecas'!Z5&lt;=18))="",FALSE,IF(ISERROR('POA — Monthly financial forecas'!Z5&lt;=18),'POA — Monthly financial forecas'!Z5&lt;=18,IF('POA — Monthly financial forecas'!Z5="","",'POA — Monthly financial forecas'!Z5&lt;=18))),'Model inputs'!AM54+('Model inputs'!AM55-'Model inputs'!AM54)*('POA — Monthly financial forecas'!Z5-12)/6,IF(IF(IF(ISERROR('POA — Monthly financial forecas'!Z5&lt;=24),'POA — Monthly financial forecas'!Z5&lt;=24,IF('POA — Monthly financial forecas'!Z5="","",'POA — Monthly financial forecas'!Z5&lt;=24))="",FALSE,IF(ISERROR('POA — Monthly financial forecas'!Z5&lt;=24),'POA — Monthly financial forecas'!Z5&lt;=24,IF('POA — Monthly financial forecas'!Z5="","",'POA — Monthly financial forecas'!Z5&lt;=24))),'Model inputs'!AM55+('Model inputs'!AM56-'Model inputs'!AM55)*('POA — Monthly financial forecas'!Z5-18)/6,IF(IF(IF(ISERROR('POA — Monthly financial forecas'!Z5&lt;=30),'POA — Monthly financial forecas'!Z5&lt;=30,IF('POA — Monthly financial forecas'!Z5="","",'POA — Monthly financial forecas'!Z5&lt;=30))="",FALSE,IF(ISERROR('POA — Monthly financial forecas'!Z5&lt;=30),'POA — Monthly financial forecas'!Z5&lt;=30,IF('POA — Monthly financial forecas'!Z5="","",'POA — Monthly financial forecas'!Z5&lt;=30))),'Model inputs'!AM56+('Model inputs'!AM57-'Model inputs'!AM56)*('POA — Monthly financial forecas'!Z5-24)/6,IF(IF(IF(ISERROR('POA — Monthly financial forecas'!Z5&lt;=36),'POA — Monthly financial forecas'!Z5&lt;=36,IF('POA — Monthly financial forecas'!Z5="","",'POA — Monthly financial forecas'!Z5&lt;=36))="",FALSE,IF(ISERROR('POA — Monthly financial forecas'!Z5&lt;=36),'POA — Monthly financial forecas'!Z5&lt;=36,IF('POA — Monthly financial forecas'!Z5="","",'POA — Monthly financial forecas'!Z5&lt;=36))),'Model inputs'!AM57+('Model inputs'!AM58-'Model inputs'!AM57)*('POA — Monthly financial forecas'!Z5-30)/6,IF('Model inputs'!AM58="","",'Model inputs'!AM58))))))))</f>
      </c>
    </row>
    <row r="784">
      <c r="A784" t="inlineStr" s="25">
        <is>
          <t xml:space="preserve">Calculation</t>
        </is>
      </c>
      <c r="B784">
        <f>(IF(IF(IF(ISERROR('POA — Monthly financial forecas'!AA5&lt;=6),'POA — Monthly financial forecas'!AA5&lt;=6,IF('POA — Monthly financial forecas'!AA5="","",'POA — Monthly financial forecas'!AA5&lt;=6))="",FALSE,IF(ISERROR('POA — Monthly financial forecas'!AA5&lt;=6),'POA — Monthly financial forecas'!AA5&lt;=6,IF('POA — Monthly financial forecas'!AA5="","",'POA — Monthly financial forecas'!AA5&lt;=6))),'Model inputs'!AM53+('Model inputs'!AM59-'Model inputs'!AM53)*('POA — Monthly financial forecas'!AA5-0)/6,IF(IF(IF(ISERROR('POA — Monthly financial forecas'!AA5&lt;=12),'POA — Monthly financial forecas'!AA5&lt;=12,IF('POA — Monthly financial forecas'!AA5="","",'POA — Monthly financial forecas'!AA5&lt;=12))="",FALSE,IF(ISERROR('POA — Monthly financial forecas'!AA5&lt;=12),'POA — Monthly financial forecas'!AA5&lt;=12,IF('POA — Monthly financial forecas'!AA5="","",'POA — Monthly financial forecas'!AA5&lt;=12))),'Model inputs'!AM59+('Model inputs'!AM54-'Model inputs'!AM59)*('POA — Monthly financial forecas'!AA5-6)/6,IF(IF(IF(ISERROR('POA — Monthly financial forecas'!AA5&lt;=18),'POA — Monthly financial forecas'!AA5&lt;=18,IF('POA — Monthly financial forecas'!AA5="","",'POA — Monthly financial forecas'!AA5&lt;=18))="",FALSE,IF(ISERROR('POA — Monthly financial forecas'!AA5&lt;=18),'POA — Monthly financial forecas'!AA5&lt;=18,IF('POA — Monthly financial forecas'!AA5="","",'POA — Monthly financial forecas'!AA5&lt;=18))),'Model inputs'!AM54+('Model inputs'!AM55-'Model inputs'!AM54)*('POA — Monthly financial forecas'!AA5-12)/6,IF(IF(IF(ISERROR('POA — Monthly financial forecas'!AA5&lt;=24),'POA — Monthly financial forecas'!AA5&lt;=24,IF('POA — Monthly financial forecas'!AA5="","",'POA — Monthly financial forecas'!AA5&lt;=24))="",FALSE,IF(ISERROR('POA — Monthly financial forecas'!AA5&lt;=24),'POA — Monthly financial forecas'!AA5&lt;=24,IF('POA — Monthly financial forecas'!AA5="","",'POA — Monthly financial forecas'!AA5&lt;=24))),'Model inputs'!AM55+('Model inputs'!AM56-'Model inputs'!AM55)*('POA — Monthly financial forecas'!AA5-18)/6,IF(IF(IF(ISERROR('POA — Monthly financial forecas'!AA5&lt;=30),'POA — Monthly financial forecas'!AA5&lt;=30,IF('POA — Monthly financial forecas'!AA5="","",'POA — Monthly financial forecas'!AA5&lt;=30))="",FALSE,IF(ISERROR('POA — Monthly financial forecas'!AA5&lt;=30),'POA — Monthly financial forecas'!AA5&lt;=30,IF('POA — Monthly financial forecas'!AA5="","",'POA — Monthly financial forecas'!AA5&lt;=30))),'Model inputs'!AM56+('Model inputs'!AM57-'Model inputs'!AM56)*('POA — Monthly financial forecas'!AA5-24)/6,IF(IF(IF(ISERROR('POA — Monthly financial forecas'!AA5&lt;=36),'POA — Monthly financial forecas'!AA5&lt;=36,IF('POA — Monthly financial forecas'!AA5="","",'POA — Monthly financial forecas'!AA5&lt;=36))="",FALSE,IF(ISERROR('POA — Monthly financial forecas'!AA5&lt;=36),'POA — Monthly financial forecas'!AA5&lt;=36,IF('POA — Monthly financial forecas'!AA5="","",'POA — Monthly financial forecas'!AA5&lt;=36))),'Model inputs'!AM57+('Model inputs'!AM58-'Model inputs'!AM57)*('POA — Monthly financial forecas'!AA5-30)/6,IF('Model inputs'!AM58="","",'Model inputs'!AM58))))))))</f>
      </c>
    </row>
    <row r="785">
      <c r="A785" t="inlineStr" s="25">
        <is>
          <t xml:space="preserve">Calculation</t>
        </is>
      </c>
      <c r="B785">
        <f>(IF(IF(IF(ISERROR('POA — Monthly financial forecas'!AB5&lt;=6),'POA — Monthly financial forecas'!AB5&lt;=6,IF('POA — Monthly financial forecas'!AB5="","",'POA — Monthly financial forecas'!AB5&lt;=6))="",FALSE,IF(ISERROR('POA — Monthly financial forecas'!AB5&lt;=6),'POA — Monthly financial forecas'!AB5&lt;=6,IF('POA — Monthly financial forecas'!AB5="","",'POA — Monthly financial forecas'!AB5&lt;=6))),'Model inputs'!AM53+('Model inputs'!AM59-'Model inputs'!AM53)*('POA — Monthly financial forecas'!AB5-0)/6,IF(IF(IF(ISERROR('POA — Monthly financial forecas'!AB5&lt;=12),'POA — Monthly financial forecas'!AB5&lt;=12,IF('POA — Monthly financial forecas'!AB5="","",'POA — Monthly financial forecas'!AB5&lt;=12))="",FALSE,IF(ISERROR('POA — Monthly financial forecas'!AB5&lt;=12),'POA — Monthly financial forecas'!AB5&lt;=12,IF('POA — Monthly financial forecas'!AB5="","",'POA — Monthly financial forecas'!AB5&lt;=12))),'Model inputs'!AM59+('Model inputs'!AM54-'Model inputs'!AM59)*('POA — Monthly financial forecas'!AB5-6)/6,IF(IF(IF(ISERROR('POA — Monthly financial forecas'!AB5&lt;=18),'POA — Monthly financial forecas'!AB5&lt;=18,IF('POA — Monthly financial forecas'!AB5="","",'POA — Monthly financial forecas'!AB5&lt;=18))="",FALSE,IF(ISERROR('POA — Monthly financial forecas'!AB5&lt;=18),'POA — Monthly financial forecas'!AB5&lt;=18,IF('POA — Monthly financial forecas'!AB5="","",'POA — Monthly financial forecas'!AB5&lt;=18))),'Model inputs'!AM54+('Model inputs'!AM55-'Model inputs'!AM54)*('POA — Monthly financial forecas'!AB5-12)/6,IF(IF(IF(ISERROR('POA — Monthly financial forecas'!AB5&lt;=24),'POA — Monthly financial forecas'!AB5&lt;=24,IF('POA — Monthly financial forecas'!AB5="","",'POA — Monthly financial forecas'!AB5&lt;=24))="",FALSE,IF(ISERROR('POA — Monthly financial forecas'!AB5&lt;=24),'POA — Monthly financial forecas'!AB5&lt;=24,IF('POA — Monthly financial forecas'!AB5="","",'POA — Monthly financial forecas'!AB5&lt;=24))),'Model inputs'!AM55+('Model inputs'!AM56-'Model inputs'!AM55)*('POA — Monthly financial forecas'!AB5-18)/6,IF(IF(IF(ISERROR('POA — Monthly financial forecas'!AB5&lt;=30),'POA — Monthly financial forecas'!AB5&lt;=30,IF('POA — Monthly financial forecas'!AB5="","",'POA — Monthly financial forecas'!AB5&lt;=30))="",FALSE,IF(ISERROR('POA — Monthly financial forecas'!AB5&lt;=30),'POA — Monthly financial forecas'!AB5&lt;=30,IF('POA — Monthly financial forecas'!AB5="","",'POA — Monthly financial forecas'!AB5&lt;=30))),'Model inputs'!AM56+('Model inputs'!AM57-'Model inputs'!AM56)*('POA — Monthly financial forecas'!AB5-24)/6,IF(IF(IF(ISERROR('POA — Monthly financial forecas'!AB5&lt;=36),'POA — Monthly financial forecas'!AB5&lt;=36,IF('POA — Monthly financial forecas'!AB5="","",'POA — Monthly financial forecas'!AB5&lt;=36))="",FALSE,IF(ISERROR('POA — Monthly financial forecas'!AB5&lt;=36),'POA — Monthly financial forecas'!AB5&lt;=36,IF('POA — Monthly financial forecas'!AB5="","",'POA — Monthly financial forecas'!AB5&lt;=36))),'Model inputs'!AM57+('Model inputs'!AM58-'Model inputs'!AM57)*('POA — Monthly financial forecas'!AB5-30)/6,IF('Model inputs'!AM58="","",'Model inputs'!AM58))))))))</f>
      </c>
    </row>
    <row r="786">
      <c r="A786" t="inlineStr" s="25">
        <is>
          <t xml:space="preserve">Calculation</t>
        </is>
      </c>
      <c r="B786">
        <f>(IF(IF(IF(ISERROR('POA — Monthly financial forecas'!AC5&lt;=6),'POA — Monthly financial forecas'!AC5&lt;=6,IF('POA — Monthly financial forecas'!AC5="","",'POA — Monthly financial forecas'!AC5&lt;=6))="",FALSE,IF(ISERROR('POA — Monthly financial forecas'!AC5&lt;=6),'POA — Monthly financial forecas'!AC5&lt;=6,IF('POA — Monthly financial forecas'!AC5="","",'POA — Monthly financial forecas'!AC5&lt;=6))),'Model inputs'!AM53+('Model inputs'!AM59-'Model inputs'!AM53)*('POA — Monthly financial forecas'!AC5-0)/6,IF(IF(IF(ISERROR('POA — Monthly financial forecas'!AC5&lt;=12),'POA — Monthly financial forecas'!AC5&lt;=12,IF('POA — Monthly financial forecas'!AC5="","",'POA — Monthly financial forecas'!AC5&lt;=12))="",FALSE,IF(ISERROR('POA — Monthly financial forecas'!AC5&lt;=12),'POA — Monthly financial forecas'!AC5&lt;=12,IF('POA — Monthly financial forecas'!AC5="","",'POA — Monthly financial forecas'!AC5&lt;=12))),'Model inputs'!AM59+('Model inputs'!AM54-'Model inputs'!AM59)*('POA — Monthly financial forecas'!AC5-6)/6,IF(IF(IF(ISERROR('POA — Monthly financial forecas'!AC5&lt;=18),'POA — Monthly financial forecas'!AC5&lt;=18,IF('POA — Monthly financial forecas'!AC5="","",'POA — Monthly financial forecas'!AC5&lt;=18))="",FALSE,IF(ISERROR('POA — Monthly financial forecas'!AC5&lt;=18),'POA — Monthly financial forecas'!AC5&lt;=18,IF('POA — Monthly financial forecas'!AC5="","",'POA — Monthly financial forecas'!AC5&lt;=18))),'Model inputs'!AM54+('Model inputs'!AM55-'Model inputs'!AM54)*('POA — Monthly financial forecas'!AC5-12)/6,IF(IF(IF(ISERROR('POA — Monthly financial forecas'!AC5&lt;=24),'POA — Monthly financial forecas'!AC5&lt;=24,IF('POA — Monthly financial forecas'!AC5="","",'POA — Monthly financial forecas'!AC5&lt;=24))="",FALSE,IF(ISERROR('POA — Monthly financial forecas'!AC5&lt;=24),'POA — Monthly financial forecas'!AC5&lt;=24,IF('POA — Monthly financial forecas'!AC5="","",'POA — Monthly financial forecas'!AC5&lt;=24))),'Model inputs'!AM55+('Model inputs'!AM56-'Model inputs'!AM55)*('POA — Monthly financial forecas'!AC5-18)/6,IF(IF(IF(ISERROR('POA — Monthly financial forecas'!AC5&lt;=30),'POA — Monthly financial forecas'!AC5&lt;=30,IF('POA — Monthly financial forecas'!AC5="","",'POA — Monthly financial forecas'!AC5&lt;=30))="",FALSE,IF(ISERROR('POA — Monthly financial forecas'!AC5&lt;=30),'POA — Monthly financial forecas'!AC5&lt;=30,IF('POA — Monthly financial forecas'!AC5="","",'POA — Monthly financial forecas'!AC5&lt;=30))),'Model inputs'!AM56+('Model inputs'!AM57-'Model inputs'!AM56)*('POA — Monthly financial forecas'!AC5-24)/6,IF(IF(IF(ISERROR('POA — Monthly financial forecas'!AC5&lt;=36),'POA — Monthly financial forecas'!AC5&lt;=36,IF('POA — Monthly financial forecas'!AC5="","",'POA — Monthly financial forecas'!AC5&lt;=36))="",FALSE,IF(ISERROR('POA — Monthly financial forecas'!AC5&lt;=36),'POA — Monthly financial forecas'!AC5&lt;=36,IF('POA — Monthly financial forecas'!AC5="","",'POA — Monthly financial forecas'!AC5&lt;=36))),'Model inputs'!AM57+('Model inputs'!AM58-'Model inputs'!AM57)*('POA — Monthly financial forecas'!AC5-30)/6,IF('Model inputs'!AM58="","",'Model inputs'!AM58))))))))</f>
      </c>
    </row>
    <row r="787">
      <c r="A787" t="inlineStr" s="25">
        <is>
          <t xml:space="preserve">Calculation</t>
        </is>
      </c>
      <c r="B787">
        <f>(IF(IF(IF(ISERROR('POA — Monthly financial forecas'!AD5&lt;=6),'POA — Monthly financial forecas'!AD5&lt;=6,IF('POA — Monthly financial forecas'!AD5="","",'POA — Monthly financial forecas'!AD5&lt;=6))="",FALSE,IF(ISERROR('POA — Monthly financial forecas'!AD5&lt;=6),'POA — Monthly financial forecas'!AD5&lt;=6,IF('POA — Monthly financial forecas'!AD5="","",'POA — Monthly financial forecas'!AD5&lt;=6))),'Model inputs'!AM53+('Model inputs'!AM59-'Model inputs'!AM53)*('POA — Monthly financial forecas'!AD5-0)/6,IF(IF(IF(ISERROR('POA — Monthly financial forecas'!AD5&lt;=12),'POA — Monthly financial forecas'!AD5&lt;=12,IF('POA — Monthly financial forecas'!AD5="","",'POA — Monthly financial forecas'!AD5&lt;=12))="",FALSE,IF(ISERROR('POA — Monthly financial forecas'!AD5&lt;=12),'POA — Monthly financial forecas'!AD5&lt;=12,IF('POA — Monthly financial forecas'!AD5="","",'POA — Monthly financial forecas'!AD5&lt;=12))),'Model inputs'!AM59+('Model inputs'!AM54-'Model inputs'!AM59)*('POA — Monthly financial forecas'!AD5-6)/6,IF(IF(IF(ISERROR('POA — Monthly financial forecas'!AD5&lt;=18),'POA — Monthly financial forecas'!AD5&lt;=18,IF('POA — Monthly financial forecas'!AD5="","",'POA — Monthly financial forecas'!AD5&lt;=18))="",FALSE,IF(ISERROR('POA — Monthly financial forecas'!AD5&lt;=18),'POA — Monthly financial forecas'!AD5&lt;=18,IF('POA — Monthly financial forecas'!AD5="","",'POA — Monthly financial forecas'!AD5&lt;=18))),'Model inputs'!AM54+('Model inputs'!AM55-'Model inputs'!AM54)*('POA — Monthly financial forecas'!AD5-12)/6,IF(IF(IF(ISERROR('POA — Monthly financial forecas'!AD5&lt;=24),'POA — Monthly financial forecas'!AD5&lt;=24,IF('POA — Monthly financial forecas'!AD5="","",'POA — Monthly financial forecas'!AD5&lt;=24))="",FALSE,IF(ISERROR('POA — Monthly financial forecas'!AD5&lt;=24),'POA — Monthly financial forecas'!AD5&lt;=24,IF('POA — Monthly financial forecas'!AD5="","",'POA — Monthly financial forecas'!AD5&lt;=24))),'Model inputs'!AM55+('Model inputs'!AM56-'Model inputs'!AM55)*('POA — Monthly financial forecas'!AD5-18)/6,IF(IF(IF(ISERROR('POA — Monthly financial forecas'!AD5&lt;=30),'POA — Monthly financial forecas'!AD5&lt;=30,IF('POA — Monthly financial forecas'!AD5="","",'POA — Monthly financial forecas'!AD5&lt;=30))="",FALSE,IF(ISERROR('POA — Monthly financial forecas'!AD5&lt;=30),'POA — Monthly financial forecas'!AD5&lt;=30,IF('POA — Monthly financial forecas'!AD5="","",'POA — Monthly financial forecas'!AD5&lt;=30))),'Model inputs'!AM56+('Model inputs'!AM57-'Model inputs'!AM56)*('POA — Monthly financial forecas'!AD5-24)/6,IF(IF(IF(ISERROR('POA — Monthly financial forecas'!AD5&lt;=36),'POA — Monthly financial forecas'!AD5&lt;=36,IF('POA — Monthly financial forecas'!AD5="","",'POA — Monthly financial forecas'!AD5&lt;=36))="",FALSE,IF(ISERROR('POA — Monthly financial forecas'!AD5&lt;=36),'POA — Monthly financial forecas'!AD5&lt;=36,IF('POA — Monthly financial forecas'!AD5="","",'POA — Monthly financial forecas'!AD5&lt;=36))),'Model inputs'!AM57+('Model inputs'!AM58-'Model inputs'!AM57)*('POA — Monthly financial forecas'!AD5-30)/6,IF('Model inputs'!AM58="","",'Model inputs'!AM58))))))))</f>
      </c>
    </row>
    <row r="788">
      <c r="A788" t="inlineStr" s="25">
        <is>
          <t xml:space="preserve">Calculation</t>
        </is>
      </c>
      <c r="B788">
        <f>(IF(IF(IF(ISERROR('POA — Monthly financial forecas'!AE5&lt;=6),'POA — Monthly financial forecas'!AE5&lt;=6,IF('POA — Monthly financial forecas'!AE5="","",'POA — Monthly financial forecas'!AE5&lt;=6))="",FALSE,IF(ISERROR('POA — Monthly financial forecas'!AE5&lt;=6),'POA — Monthly financial forecas'!AE5&lt;=6,IF('POA — Monthly financial forecas'!AE5="","",'POA — Monthly financial forecas'!AE5&lt;=6))),'Model inputs'!AM53+('Model inputs'!AM59-'Model inputs'!AM53)*('POA — Monthly financial forecas'!AE5-0)/6,IF(IF(IF(ISERROR('POA — Monthly financial forecas'!AE5&lt;=12),'POA — Monthly financial forecas'!AE5&lt;=12,IF('POA — Monthly financial forecas'!AE5="","",'POA — Monthly financial forecas'!AE5&lt;=12))="",FALSE,IF(ISERROR('POA — Monthly financial forecas'!AE5&lt;=12),'POA — Monthly financial forecas'!AE5&lt;=12,IF('POA — Monthly financial forecas'!AE5="","",'POA — Monthly financial forecas'!AE5&lt;=12))),'Model inputs'!AM59+('Model inputs'!AM54-'Model inputs'!AM59)*('POA — Monthly financial forecas'!AE5-6)/6,IF(IF(IF(ISERROR('POA — Monthly financial forecas'!AE5&lt;=18),'POA — Monthly financial forecas'!AE5&lt;=18,IF('POA — Monthly financial forecas'!AE5="","",'POA — Monthly financial forecas'!AE5&lt;=18))="",FALSE,IF(ISERROR('POA — Monthly financial forecas'!AE5&lt;=18),'POA — Monthly financial forecas'!AE5&lt;=18,IF('POA — Monthly financial forecas'!AE5="","",'POA — Monthly financial forecas'!AE5&lt;=18))),'Model inputs'!AM54+('Model inputs'!AM55-'Model inputs'!AM54)*('POA — Monthly financial forecas'!AE5-12)/6,IF(IF(IF(ISERROR('POA — Monthly financial forecas'!AE5&lt;=24),'POA — Monthly financial forecas'!AE5&lt;=24,IF('POA — Monthly financial forecas'!AE5="","",'POA — Monthly financial forecas'!AE5&lt;=24))="",FALSE,IF(ISERROR('POA — Monthly financial forecas'!AE5&lt;=24),'POA — Monthly financial forecas'!AE5&lt;=24,IF('POA — Monthly financial forecas'!AE5="","",'POA — Monthly financial forecas'!AE5&lt;=24))),'Model inputs'!AM55+('Model inputs'!AM56-'Model inputs'!AM55)*('POA — Monthly financial forecas'!AE5-18)/6,IF(IF(IF(ISERROR('POA — Monthly financial forecas'!AE5&lt;=30),'POA — Monthly financial forecas'!AE5&lt;=30,IF('POA — Monthly financial forecas'!AE5="","",'POA — Monthly financial forecas'!AE5&lt;=30))="",FALSE,IF(ISERROR('POA — Monthly financial forecas'!AE5&lt;=30),'POA — Monthly financial forecas'!AE5&lt;=30,IF('POA — Monthly financial forecas'!AE5="","",'POA — Monthly financial forecas'!AE5&lt;=30))),'Model inputs'!AM56+('Model inputs'!AM57-'Model inputs'!AM56)*('POA — Monthly financial forecas'!AE5-24)/6,IF(IF(IF(ISERROR('POA — Monthly financial forecas'!AE5&lt;=36),'POA — Monthly financial forecas'!AE5&lt;=36,IF('POA — Monthly financial forecas'!AE5="","",'POA — Monthly financial forecas'!AE5&lt;=36))="",FALSE,IF(ISERROR('POA — Monthly financial forecas'!AE5&lt;=36),'POA — Monthly financial forecas'!AE5&lt;=36,IF('POA — Monthly financial forecas'!AE5="","",'POA — Monthly financial forecas'!AE5&lt;=36))),'Model inputs'!AM57+('Model inputs'!AM58-'Model inputs'!AM57)*('POA — Monthly financial forecas'!AE5-30)/6,IF('Model inputs'!AM58="","",'Model inputs'!AM58))))))))</f>
      </c>
    </row>
    <row r="789">
      <c r="A789" t="inlineStr" s="25">
        <is>
          <t xml:space="preserve">Calculation</t>
        </is>
      </c>
      <c r="B789">
        <f>(IF(IF(IF(ISERROR('POA — Monthly financial forecas'!AF5&lt;=6),'POA — Monthly financial forecas'!AF5&lt;=6,IF('POA — Monthly financial forecas'!AF5="","",'POA — Monthly financial forecas'!AF5&lt;=6))="",FALSE,IF(ISERROR('POA — Monthly financial forecas'!AF5&lt;=6),'POA — Monthly financial forecas'!AF5&lt;=6,IF('POA — Monthly financial forecas'!AF5="","",'POA — Monthly financial forecas'!AF5&lt;=6))),'Model inputs'!AM53+('Model inputs'!AM59-'Model inputs'!AM53)*('POA — Monthly financial forecas'!AF5-0)/6,IF(IF(IF(ISERROR('POA — Monthly financial forecas'!AF5&lt;=12),'POA — Monthly financial forecas'!AF5&lt;=12,IF('POA — Monthly financial forecas'!AF5="","",'POA — Monthly financial forecas'!AF5&lt;=12))="",FALSE,IF(ISERROR('POA — Monthly financial forecas'!AF5&lt;=12),'POA — Monthly financial forecas'!AF5&lt;=12,IF('POA — Monthly financial forecas'!AF5="","",'POA — Monthly financial forecas'!AF5&lt;=12))),'Model inputs'!AM59+('Model inputs'!AM54-'Model inputs'!AM59)*('POA — Monthly financial forecas'!AF5-6)/6,IF(IF(IF(ISERROR('POA — Monthly financial forecas'!AF5&lt;=18),'POA — Monthly financial forecas'!AF5&lt;=18,IF('POA — Monthly financial forecas'!AF5="","",'POA — Monthly financial forecas'!AF5&lt;=18))="",FALSE,IF(ISERROR('POA — Monthly financial forecas'!AF5&lt;=18),'POA — Monthly financial forecas'!AF5&lt;=18,IF('POA — Monthly financial forecas'!AF5="","",'POA — Monthly financial forecas'!AF5&lt;=18))),'Model inputs'!AM54+('Model inputs'!AM55-'Model inputs'!AM54)*('POA — Monthly financial forecas'!AF5-12)/6,IF(IF(IF(ISERROR('POA — Monthly financial forecas'!AF5&lt;=24),'POA — Monthly financial forecas'!AF5&lt;=24,IF('POA — Monthly financial forecas'!AF5="","",'POA — Monthly financial forecas'!AF5&lt;=24))="",FALSE,IF(ISERROR('POA — Monthly financial forecas'!AF5&lt;=24),'POA — Monthly financial forecas'!AF5&lt;=24,IF('POA — Monthly financial forecas'!AF5="","",'POA — Monthly financial forecas'!AF5&lt;=24))),'Model inputs'!AM55+('Model inputs'!AM56-'Model inputs'!AM55)*('POA — Monthly financial forecas'!AF5-18)/6,IF(IF(IF(ISERROR('POA — Monthly financial forecas'!AF5&lt;=30),'POA — Monthly financial forecas'!AF5&lt;=30,IF('POA — Monthly financial forecas'!AF5="","",'POA — Monthly financial forecas'!AF5&lt;=30))="",FALSE,IF(ISERROR('POA — Monthly financial forecas'!AF5&lt;=30),'POA — Monthly financial forecas'!AF5&lt;=30,IF('POA — Monthly financial forecas'!AF5="","",'POA — Monthly financial forecas'!AF5&lt;=30))),'Model inputs'!AM56+('Model inputs'!AM57-'Model inputs'!AM56)*('POA — Monthly financial forecas'!AF5-24)/6,IF(IF(IF(ISERROR('POA — Monthly financial forecas'!AF5&lt;=36),'POA — Monthly financial forecas'!AF5&lt;=36,IF('POA — Monthly financial forecas'!AF5="","",'POA — Monthly financial forecas'!AF5&lt;=36))="",FALSE,IF(ISERROR('POA — Monthly financial forecas'!AF5&lt;=36),'POA — Monthly financial forecas'!AF5&lt;=36,IF('POA — Monthly financial forecas'!AF5="","",'POA — Monthly financial forecas'!AF5&lt;=36))),'Model inputs'!AM57+('Model inputs'!AM58-'Model inputs'!AM57)*('POA — Monthly financial forecas'!AF5-30)/6,IF('Model inputs'!AM58="","",'Model inputs'!AM58))))))))</f>
      </c>
    </row>
    <row r="790">
      <c r="A790" t="inlineStr" s="25">
        <is>
          <t xml:space="preserve">Calculation</t>
        </is>
      </c>
      <c r="B790">
        <f>(IF(IF(IF(ISERROR('POA — Monthly financial forecas'!AG5&lt;=6),'POA — Monthly financial forecas'!AG5&lt;=6,IF('POA — Monthly financial forecas'!AG5="","",'POA — Monthly financial forecas'!AG5&lt;=6))="",FALSE,IF(ISERROR('POA — Monthly financial forecas'!AG5&lt;=6),'POA — Monthly financial forecas'!AG5&lt;=6,IF('POA — Monthly financial forecas'!AG5="","",'POA — Monthly financial forecas'!AG5&lt;=6))),'Model inputs'!AM53+('Model inputs'!AM59-'Model inputs'!AM53)*('POA — Monthly financial forecas'!AG5-0)/6,IF(IF(IF(ISERROR('POA — Monthly financial forecas'!AG5&lt;=12),'POA — Monthly financial forecas'!AG5&lt;=12,IF('POA — Monthly financial forecas'!AG5="","",'POA — Monthly financial forecas'!AG5&lt;=12))="",FALSE,IF(ISERROR('POA — Monthly financial forecas'!AG5&lt;=12),'POA — Monthly financial forecas'!AG5&lt;=12,IF('POA — Monthly financial forecas'!AG5="","",'POA — Monthly financial forecas'!AG5&lt;=12))),'Model inputs'!AM59+('Model inputs'!AM54-'Model inputs'!AM59)*('POA — Monthly financial forecas'!AG5-6)/6,IF(IF(IF(ISERROR('POA — Monthly financial forecas'!AG5&lt;=18),'POA — Monthly financial forecas'!AG5&lt;=18,IF('POA — Monthly financial forecas'!AG5="","",'POA — Monthly financial forecas'!AG5&lt;=18))="",FALSE,IF(ISERROR('POA — Monthly financial forecas'!AG5&lt;=18),'POA — Monthly financial forecas'!AG5&lt;=18,IF('POA — Monthly financial forecas'!AG5="","",'POA — Monthly financial forecas'!AG5&lt;=18))),'Model inputs'!AM54+('Model inputs'!AM55-'Model inputs'!AM54)*('POA — Monthly financial forecas'!AG5-12)/6,IF(IF(IF(ISERROR('POA — Monthly financial forecas'!AG5&lt;=24),'POA — Monthly financial forecas'!AG5&lt;=24,IF('POA — Monthly financial forecas'!AG5="","",'POA — Monthly financial forecas'!AG5&lt;=24))="",FALSE,IF(ISERROR('POA — Monthly financial forecas'!AG5&lt;=24),'POA — Monthly financial forecas'!AG5&lt;=24,IF('POA — Monthly financial forecas'!AG5="","",'POA — Monthly financial forecas'!AG5&lt;=24))),'Model inputs'!AM55+('Model inputs'!AM56-'Model inputs'!AM55)*('POA — Monthly financial forecas'!AG5-18)/6,IF(IF(IF(ISERROR('POA — Monthly financial forecas'!AG5&lt;=30),'POA — Monthly financial forecas'!AG5&lt;=30,IF('POA — Monthly financial forecas'!AG5="","",'POA — Monthly financial forecas'!AG5&lt;=30))="",FALSE,IF(ISERROR('POA — Monthly financial forecas'!AG5&lt;=30),'POA — Monthly financial forecas'!AG5&lt;=30,IF('POA — Monthly financial forecas'!AG5="","",'POA — Monthly financial forecas'!AG5&lt;=30))),'Model inputs'!AM56+('Model inputs'!AM57-'Model inputs'!AM56)*('POA — Monthly financial forecas'!AG5-24)/6,IF(IF(IF(ISERROR('POA — Monthly financial forecas'!AG5&lt;=36),'POA — Monthly financial forecas'!AG5&lt;=36,IF('POA — Monthly financial forecas'!AG5="","",'POA — Monthly financial forecas'!AG5&lt;=36))="",FALSE,IF(ISERROR('POA — Monthly financial forecas'!AG5&lt;=36),'POA — Monthly financial forecas'!AG5&lt;=36,IF('POA — Monthly financial forecas'!AG5="","",'POA — Monthly financial forecas'!AG5&lt;=36))),'Model inputs'!AM57+('Model inputs'!AM58-'Model inputs'!AM57)*('POA — Monthly financial forecas'!AG5-30)/6,IF('Model inputs'!AM58="","",'Model inputs'!AM58))))))))</f>
      </c>
    </row>
    <row r="791">
      <c r="A791" t="inlineStr" s="25">
        <is>
          <t xml:space="preserve">Calculation</t>
        </is>
      </c>
      <c r="B791">
        <f>(IF(IF(IF(ISERROR('POA — Monthly financial forecas'!AH5&lt;=6),'POA — Monthly financial forecas'!AH5&lt;=6,IF('POA — Monthly financial forecas'!AH5="","",'POA — Monthly financial forecas'!AH5&lt;=6))="",FALSE,IF(ISERROR('POA — Monthly financial forecas'!AH5&lt;=6),'POA — Monthly financial forecas'!AH5&lt;=6,IF('POA — Monthly financial forecas'!AH5="","",'POA — Monthly financial forecas'!AH5&lt;=6))),'Model inputs'!AM53+('Model inputs'!AM59-'Model inputs'!AM53)*('POA — Monthly financial forecas'!AH5-0)/6,IF(IF(IF(ISERROR('POA — Monthly financial forecas'!AH5&lt;=12),'POA — Monthly financial forecas'!AH5&lt;=12,IF('POA — Monthly financial forecas'!AH5="","",'POA — Monthly financial forecas'!AH5&lt;=12))="",FALSE,IF(ISERROR('POA — Monthly financial forecas'!AH5&lt;=12),'POA — Monthly financial forecas'!AH5&lt;=12,IF('POA — Monthly financial forecas'!AH5="","",'POA — Monthly financial forecas'!AH5&lt;=12))),'Model inputs'!AM59+('Model inputs'!AM54-'Model inputs'!AM59)*('POA — Monthly financial forecas'!AH5-6)/6,IF(IF(IF(ISERROR('POA — Monthly financial forecas'!AH5&lt;=18),'POA — Monthly financial forecas'!AH5&lt;=18,IF('POA — Monthly financial forecas'!AH5="","",'POA — Monthly financial forecas'!AH5&lt;=18))="",FALSE,IF(ISERROR('POA — Monthly financial forecas'!AH5&lt;=18),'POA — Monthly financial forecas'!AH5&lt;=18,IF('POA — Monthly financial forecas'!AH5="","",'POA — Monthly financial forecas'!AH5&lt;=18))),'Model inputs'!AM54+('Model inputs'!AM55-'Model inputs'!AM54)*('POA — Monthly financial forecas'!AH5-12)/6,IF(IF(IF(ISERROR('POA — Monthly financial forecas'!AH5&lt;=24),'POA — Monthly financial forecas'!AH5&lt;=24,IF('POA — Monthly financial forecas'!AH5="","",'POA — Monthly financial forecas'!AH5&lt;=24))="",FALSE,IF(ISERROR('POA — Monthly financial forecas'!AH5&lt;=24),'POA — Monthly financial forecas'!AH5&lt;=24,IF('POA — Monthly financial forecas'!AH5="","",'POA — Monthly financial forecas'!AH5&lt;=24))),'Model inputs'!AM55+('Model inputs'!AM56-'Model inputs'!AM55)*('POA — Monthly financial forecas'!AH5-18)/6,IF(IF(IF(ISERROR('POA — Monthly financial forecas'!AH5&lt;=30),'POA — Monthly financial forecas'!AH5&lt;=30,IF('POA — Monthly financial forecas'!AH5="","",'POA — Monthly financial forecas'!AH5&lt;=30))="",FALSE,IF(ISERROR('POA — Monthly financial forecas'!AH5&lt;=30),'POA — Monthly financial forecas'!AH5&lt;=30,IF('POA — Monthly financial forecas'!AH5="","",'POA — Monthly financial forecas'!AH5&lt;=30))),'Model inputs'!AM56+('Model inputs'!AM57-'Model inputs'!AM56)*('POA — Monthly financial forecas'!AH5-24)/6,IF(IF(IF(ISERROR('POA — Monthly financial forecas'!AH5&lt;=36),'POA — Monthly financial forecas'!AH5&lt;=36,IF('POA — Monthly financial forecas'!AH5="","",'POA — Monthly financial forecas'!AH5&lt;=36))="",FALSE,IF(ISERROR('POA — Monthly financial forecas'!AH5&lt;=36),'POA — Monthly financial forecas'!AH5&lt;=36,IF('POA — Monthly financial forecas'!AH5="","",'POA — Monthly financial forecas'!AH5&lt;=36))),'Model inputs'!AM57+('Model inputs'!AM58-'Model inputs'!AM57)*('POA — Monthly financial forecas'!AH5-30)/6,IF('Model inputs'!AM58="","",'Model inputs'!AM58))))))))</f>
      </c>
    </row>
    <row r="792">
      <c r="A792" t="inlineStr" s="25">
        <is>
          <t xml:space="preserve">Calculation</t>
        </is>
      </c>
      <c r="B792">
        <f>(IF(IF(IF(ISERROR('POA — Monthly financial forecas'!AI5&lt;=6),'POA — Monthly financial forecas'!AI5&lt;=6,IF('POA — Monthly financial forecas'!AI5="","",'POA — Monthly financial forecas'!AI5&lt;=6))="",FALSE,IF(ISERROR('POA — Monthly financial forecas'!AI5&lt;=6),'POA — Monthly financial forecas'!AI5&lt;=6,IF('POA — Monthly financial forecas'!AI5="","",'POA — Monthly financial forecas'!AI5&lt;=6))),'Model inputs'!AM53+('Model inputs'!AM59-'Model inputs'!AM53)*('POA — Monthly financial forecas'!AI5-0)/6,IF(IF(IF(ISERROR('POA — Monthly financial forecas'!AI5&lt;=12),'POA — Monthly financial forecas'!AI5&lt;=12,IF('POA — Monthly financial forecas'!AI5="","",'POA — Monthly financial forecas'!AI5&lt;=12))="",FALSE,IF(ISERROR('POA — Monthly financial forecas'!AI5&lt;=12),'POA — Monthly financial forecas'!AI5&lt;=12,IF('POA — Monthly financial forecas'!AI5="","",'POA — Monthly financial forecas'!AI5&lt;=12))),'Model inputs'!AM59+('Model inputs'!AM54-'Model inputs'!AM59)*('POA — Monthly financial forecas'!AI5-6)/6,IF(IF(IF(ISERROR('POA — Monthly financial forecas'!AI5&lt;=18),'POA — Monthly financial forecas'!AI5&lt;=18,IF('POA — Monthly financial forecas'!AI5="","",'POA — Monthly financial forecas'!AI5&lt;=18))="",FALSE,IF(ISERROR('POA — Monthly financial forecas'!AI5&lt;=18),'POA — Monthly financial forecas'!AI5&lt;=18,IF('POA — Monthly financial forecas'!AI5="","",'POA — Monthly financial forecas'!AI5&lt;=18))),'Model inputs'!AM54+('Model inputs'!AM55-'Model inputs'!AM54)*('POA — Monthly financial forecas'!AI5-12)/6,IF(IF(IF(ISERROR('POA — Monthly financial forecas'!AI5&lt;=24),'POA — Monthly financial forecas'!AI5&lt;=24,IF('POA — Monthly financial forecas'!AI5="","",'POA — Monthly financial forecas'!AI5&lt;=24))="",FALSE,IF(ISERROR('POA — Monthly financial forecas'!AI5&lt;=24),'POA — Monthly financial forecas'!AI5&lt;=24,IF('POA — Monthly financial forecas'!AI5="","",'POA — Monthly financial forecas'!AI5&lt;=24))),'Model inputs'!AM55+('Model inputs'!AM56-'Model inputs'!AM55)*('POA — Monthly financial forecas'!AI5-18)/6,IF(IF(IF(ISERROR('POA — Monthly financial forecas'!AI5&lt;=30),'POA — Monthly financial forecas'!AI5&lt;=30,IF('POA — Monthly financial forecas'!AI5="","",'POA — Monthly financial forecas'!AI5&lt;=30))="",FALSE,IF(ISERROR('POA — Monthly financial forecas'!AI5&lt;=30),'POA — Monthly financial forecas'!AI5&lt;=30,IF('POA — Monthly financial forecas'!AI5="","",'POA — Monthly financial forecas'!AI5&lt;=30))),'Model inputs'!AM56+('Model inputs'!AM57-'Model inputs'!AM56)*('POA — Monthly financial forecas'!AI5-24)/6,IF(IF(IF(ISERROR('POA — Monthly financial forecas'!AI5&lt;=36),'POA — Monthly financial forecas'!AI5&lt;=36,IF('POA — Monthly financial forecas'!AI5="","",'POA — Monthly financial forecas'!AI5&lt;=36))="",FALSE,IF(ISERROR('POA — Monthly financial forecas'!AI5&lt;=36),'POA — Monthly financial forecas'!AI5&lt;=36,IF('POA — Monthly financial forecas'!AI5="","",'POA — Monthly financial forecas'!AI5&lt;=36))),'Model inputs'!AM57+('Model inputs'!AM58-'Model inputs'!AM57)*('POA — Monthly financial forecas'!AI5-30)/6,IF('Model inputs'!AM58="","",'Model inputs'!AM58))))))))</f>
      </c>
    </row>
    <row r="793">
      <c r="A793" t="inlineStr" s="25">
        <is>
          <t xml:space="preserve">Calculation</t>
        </is>
      </c>
      <c r="B793">
        <f>(IF(IF(IF(ISERROR('POA — Monthly financial forecas'!AJ5&lt;=6),'POA — Monthly financial forecas'!AJ5&lt;=6,IF('POA — Monthly financial forecas'!AJ5="","",'POA — Monthly financial forecas'!AJ5&lt;=6))="",FALSE,IF(ISERROR('POA — Monthly financial forecas'!AJ5&lt;=6),'POA — Monthly financial forecas'!AJ5&lt;=6,IF('POA — Monthly financial forecas'!AJ5="","",'POA — Monthly financial forecas'!AJ5&lt;=6))),'Model inputs'!AM53+('Model inputs'!AM59-'Model inputs'!AM53)*('POA — Monthly financial forecas'!AJ5-0)/6,IF(IF(IF(ISERROR('POA — Monthly financial forecas'!AJ5&lt;=12),'POA — Monthly financial forecas'!AJ5&lt;=12,IF('POA — Monthly financial forecas'!AJ5="","",'POA — Monthly financial forecas'!AJ5&lt;=12))="",FALSE,IF(ISERROR('POA — Monthly financial forecas'!AJ5&lt;=12),'POA — Monthly financial forecas'!AJ5&lt;=12,IF('POA — Monthly financial forecas'!AJ5="","",'POA — Monthly financial forecas'!AJ5&lt;=12))),'Model inputs'!AM59+('Model inputs'!AM54-'Model inputs'!AM59)*('POA — Monthly financial forecas'!AJ5-6)/6,IF(IF(IF(ISERROR('POA — Monthly financial forecas'!AJ5&lt;=18),'POA — Monthly financial forecas'!AJ5&lt;=18,IF('POA — Monthly financial forecas'!AJ5="","",'POA — Monthly financial forecas'!AJ5&lt;=18))="",FALSE,IF(ISERROR('POA — Monthly financial forecas'!AJ5&lt;=18),'POA — Monthly financial forecas'!AJ5&lt;=18,IF('POA — Monthly financial forecas'!AJ5="","",'POA — Monthly financial forecas'!AJ5&lt;=18))),'Model inputs'!AM54+('Model inputs'!AM55-'Model inputs'!AM54)*('POA — Monthly financial forecas'!AJ5-12)/6,IF(IF(IF(ISERROR('POA — Monthly financial forecas'!AJ5&lt;=24),'POA — Monthly financial forecas'!AJ5&lt;=24,IF('POA — Monthly financial forecas'!AJ5="","",'POA — Monthly financial forecas'!AJ5&lt;=24))="",FALSE,IF(ISERROR('POA — Monthly financial forecas'!AJ5&lt;=24),'POA — Monthly financial forecas'!AJ5&lt;=24,IF('POA — Monthly financial forecas'!AJ5="","",'POA — Monthly financial forecas'!AJ5&lt;=24))),'Model inputs'!AM55+('Model inputs'!AM56-'Model inputs'!AM55)*('POA — Monthly financial forecas'!AJ5-18)/6,IF(IF(IF(ISERROR('POA — Monthly financial forecas'!AJ5&lt;=30),'POA — Monthly financial forecas'!AJ5&lt;=30,IF('POA — Monthly financial forecas'!AJ5="","",'POA — Monthly financial forecas'!AJ5&lt;=30))="",FALSE,IF(ISERROR('POA — Monthly financial forecas'!AJ5&lt;=30),'POA — Monthly financial forecas'!AJ5&lt;=30,IF('POA — Monthly financial forecas'!AJ5="","",'POA — Monthly financial forecas'!AJ5&lt;=30))),'Model inputs'!AM56+('Model inputs'!AM57-'Model inputs'!AM56)*('POA — Monthly financial forecas'!AJ5-24)/6,IF(IF(IF(ISERROR('POA — Monthly financial forecas'!AJ5&lt;=36),'POA — Monthly financial forecas'!AJ5&lt;=36,IF('POA — Monthly financial forecas'!AJ5="","",'POA — Monthly financial forecas'!AJ5&lt;=36))="",FALSE,IF(ISERROR('POA — Monthly financial forecas'!AJ5&lt;=36),'POA — Monthly financial forecas'!AJ5&lt;=36,IF('POA — Monthly financial forecas'!AJ5="","",'POA — Monthly financial forecas'!AJ5&lt;=36))),'Model inputs'!AM57+('Model inputs'!AM58-'Model inputs'!AM57)*('POA — Monthly financial forecas'!AJ5-30)/6,IF('Model inputs'!AM58="","",'Model inputs'!AM58))))))))</f>
      </c>
    </row>
    <row r="794">
      <c r="A794" t="inlineStr" s="25">
        <is>
          <t xml:space="preserve">Calculation</t>
        </is>
      </c>
      <c r="B794">
        <f>(IF(IF(IF(ISERROR('POA — Monthly financial forecas'!AK5&lt;=6),'POA — Monthly financial forecas'!AK5&lt;=6,IF('POA — Monthly financial forecas'!AK5="","",'POA — Monthly financial forecas'!AK5&lt;=6))="",FALSE,IF(ISERROR('POA — Monthly financial forecas'!AK5&lt;=6),'POA — Monthly financial forecas'!AK5&lt;=6,IF('POA — Monthly financial forecas'!AK5="","",'POA — Monthly financial forecas'!AK5&lt;=6))),'Model inputs'!AM53+('Model inputs'!AM59-'Model inputs'!AM53)*('POA — Monthly financial forecas'!AK5-0)/6,IF(IF(IF(ISERROR('POA — Monthly financial forecas'!AK5&lt;=12),'POA — Monthly financial forecas'!AK5&lt;=12,IF('POA — Monthly financial forecas'!AK5="","",'POA — Monthly financial forecas'!AK5&lt;=12))="",FALSE,IF(ISERROR('POA — Monthly financial forecas'!AK5&lt;=12),'POA — Monthly financial forecas'!AK5&lt;=12,IF('POA — Monthly financial forecas'!AK5="","",'POA — Monthly financial forecas'!AK5&lt;=12))),'Model inputs'!AM59+('Model inputs'!AM54-'Model inputs'!AM59)*('POA — Monthly financial forecas'!AK5-6)/6,IF(IF(IF(ISERROR('POA — Monthly financial forecas'!AK5&lt;=18),'POA — Monthly financial forecas'!AK5&lt;=18,IF('POA — Monthly financial forecas'!AK5="","",'POA — Monthly financial forecas'!AK5&lt;=18))="",FALSE,IF(ISERROR('POA — Monthly financial forecas'!AK5&lt;=18),'POA — Monthly financial forecas'!AK5&lt;=18,IF('POA — Monthly financial forecas'!AK5="","",'POA — Monthly financial forecas'!AK5&lt;=18))),'Model inputs'!AM54+('Model inputs'!AM55-'Model inputs'!AM54)*('POA — Monthly financial forecas'!AK5-12)/6,IF(IF(IF(ISERROR('POA — Monthly financial forecas'!AK5&lt;=24),'POA — Monthly financial forecas'!AK5&lt;=24,IF('POA — Monthly financial forecas'!AK5="","",'POA — Monthly financial forecas'!AK5&lt;=24))="",FALSE,IF(ISERROR('POA — Monthly financial forecas'!AK5&lt;=24),'POA — Monthly financial forecas'!AK5&lt;=24,IF('POA — Monthly financial forecas'!AK5="","",'POA — Monthly financial forecas'!AK5&lt;=24))),'Model inputs'!AM55+('Model inputs'!AM56-'Model inputs'!AM55)*('POA — Monthly financial forecas'!AK5-18)/6,IF(IF(IF(ISERROR('POA — Monthly financial forecas'!AK5&lt;=30),'POA — Monthly financial forecas'!AK5&lt;=30,IF('POA — Monthly financial forecas'!AK5="","",'POA — Monthly financial forecas'!AK5&lt;=30))="",FALSE,IF(ISERROR('POA — Monthly financial forecas'!AK5&lt;=30),'POA — Monthly financial forecas'!AK5&lt;=30,IF('POA — Monthly financial forecas'!AK5="","",'POA — Monthly financial forecas'!AK5&lt;=30))),'Model inputs'!AM56+('Model inputs'!AM57-'Model inputs'!AM56)*('POA — Monthly financial forecas'!AK5-24)/6,IF(IF(IF(ISERROR('POA — Monthly financial forecas'!AK5&lt;=36),'POA — Monthly financial forecas'!AK5&lt;=36,IF('POA — Monthly financial forecas'!AK5="","",'POA — Monthly financial forecas'!AK5&lt;=36))="",FALSE,IF(ISERROR('POA — Monthly financial forecas'!AK5&lt;=36),'POA — Monthly financial forecas'!AK5&lt;=36,IF('POA — Monthly financial forecas'!AK5="","",'POA — Monthly financial forecas'!AK5&lt;=36))),'Model inputs'!AM57+('Model inputs'!AM58-'Model inputs'!AM57)*('POA — Monthly financial forecas'!AK5-30)/6,IF('Model inputs'!AM58="","",'Model inputs'!AM58))))))))</f>
      </c>
    </row>
    <row r="795">
      <c r="A795" t="inlineStr" s="25">
        <is>
          <t xml:space="preserve">Calculation</t>
        </is>
      </c>
      <c r="B795">
        <f>IF(IF(DATE(2026,10,1)=EDATE(DATE(2026,10,1),-'Model inputs'!AM13*1)="",FALSE,DATE(2026,10,1)=EDATE(DATE(2026,10,1),-'Model inputs'!AM13*1)),IF('POA — Monthly financial forecas'!B27="","",'POA — Monthly financial forecas'!B27),"")</f>
      </c>
    </row>
    <row r="796">
      <c r="A796" t="inlineStr" s="25">
        <is>
          <t xml:space="preserve">Calculation</t>
        </is>
      </c>
      <c r="B796">
        <f>IF(IF(DATE(2026,11,1)=EDATE(DATE(2026,10,1),-'Model inputs'!AM13*1)="",FALSE,DATE(2026,11,1)=EDATE(DATE(2026,10,1),-'Model inputs'!AM13*1)),IF('POA — Monthly financial forecas'!C27="","",'POA — Monthly financial forecas'!C27),"")</f>
      </c>
    </row>
    <row r="797">
      <c r="A797" t="inlineStr" s="25">
        <is>
          <t xml:space="preserve">Calculation</t>
        </is>
      </c>
      <c r="B797">
        <f>IF(IF(DATE(2026,12,1)=EDATE(DATE(2026,10,1),-'Model inputs'!AM13*1)="",FALSE,DATE(2026,12,1)=EDATE(DATE(2026,10,1),-'Model inputs'!AM13*1)),IF('POA — Monthly financial forecas'!D27="","",'POA — Monthly financial forecas'!D27),"")</f>
      </c>
    </row>
    <row r="798">
      <c r="A798" t="inlineStr" s="25">
        <is>
          <t xml:space="preserve">Calculation</t>
        </is>
      </c>
      <c r="B798">
        <f>IF(IF(DATE(2027,1,1)=EDATE(DATE(2026,10,1),-'Model inputs'!AM13*1)="",FALSE,DATE(2027,1,1)=EDATE(DATE(2026,10,1),-'Model inputs'!AM13*1)),IF('POA — Monthly financial forecas'!E27="","",'POA — Monthly financial forecas'!E27),"")</f>
      </c>
    </row>
    <row r="799">
      <c r="A799" t="inlineStr" s="25">
        <is>
          <t xml:space="preserve">Calculation</t>
        </is>
      </c>
      <c r="B799">
        <f>IF(IF(DATE(2027,2,1)=EDATE(DATE(2026,10,1),-'Model inputs'!AM13*1)="",FALSE,DATE(2027,2,1)=EDATE(DATE(2026,10,1),-'Model inputs'!AM13*1)),IF('POA — Monthly financial forecas'!F27="","",'POA — Monthly financial forecas'!F27),"")</f>
      </c>
    </row>
    <row r="800">
      <c r="A800" t="inlineStr" s="25">
        <is>
          <t xml:space="preserve">Calculation</t>
        </is>
      </c>
      <c r="B800">
        <f>IF(IF(DATE(2027,3,1)=EDATE(DATE(2026,10,1),-'Model inputs'!AM13*1)="",FALSE,DATE(2027,3,1)=EDATE(DATE(2026,10,1),-'Model inputs'!AM13*1)),IF('POA — Monthly financial forecas'!G27="","",'POA — Monthly financial forecas'!G27),"")</f>
      </c>
    </row>
    <row r="801">
      <c r="A801" t="inlineStr" s="25">
        <is>
          <t xml:space="preserve">Calculation</t>
        </is>
      </c>
      <c r="B801">
        <f>IF(IF(DATE(2027,4,1)=EDATE(DATE(2026,10,1),-'Model inputs'!AM13*1)="",FALSE,DATE(2027,4,1)=EDATE(DATE(2026,10,1),-'Model inputs'!AM13*1)),IF('POA — Monthly financial forecas'!H27="","",'POA — Monthly financial forecas'!H27),"")</f>
      </c>
    </row>
    <row r="802">
      <c r="A802" t="inlineStr" s="25">
        <is>
          <t xml:space="preserve">Calculation</t>
        </is>
      </c>
      <c r="B802">
        <f>IF(IF(DATE(2027,5,1)=EDATE(DATE(2026,10,1),-'Model inputs'!AM13*1)="",FALSE,DATE(2027,5,1)=EDATE(DATE(2026,10,1),-'Model inputs'!AM13*1)),IF('POA — Monthly financial forecas'!I27="","",'POA — Monthly financial forecas'!I27),"")</f>
      </c>
    </row>
    <row r="803">
      <c r="A803" t="inlineStr" s="25">
        <is>
          <t xml:space="preserve">Calculation</t>
        </is>
      </c>
      <c r="B803">
        <f>IF(IF(DATE(2027,6,1)=EDATE(DATE(2026,10,1),-'Model inputs'!AM13*1)="",FALSE,DATE(2027,6,1)=EDATE(DATE(2026,10,1),-'Model inputs'!AM13*1)),IF('POA — Monthly financial forecas'!J27="","",'POA — Monthly financial forecas'!J27),"")</f>
      </c>
    </row>
    <row r="804">
      <c r="A804" t="inlineStr" s="25">
        <is>
          <t xml:space="preserve">Calculation</t>
        </is>
      </c>
      <c r="B804">
        <f>IF(IF(DATE(2027,7,1)=EDATE(DATE(2026,10,1),-'Model inputs'!AM13*1)="",FALSE,DATE(2027,7,1)=EDATE(DATE(2026,10,1),-'Model inputs'!AM13*1)),IF('POA — Monthly financial forecas'!K27="","",'POA — Monthly financial forecas'!K27),"")</f>
      </c>
    </row>
    <row r="805">
      <c r="A805" t="inlineStr" s="25">
        <is>
          <t xml:space="preserve">Calculation</t>
        </is>
      </c>
      <c r="B805">
        <f>IF(IF(DATE(2027,8,1)=EDATE(DATE(2026,10,1),-'Model inputs'!AM13*1)="",FALSE,DATE(2027,8,1)=EDATE(DATE(2026,10,1),-'Model inputs'!AM13*1)),IF('POA — Monthly financial forecas'!L27="","",'POA — Monthly financial forecas'!L27),"")</f>
      </c>
    </row>
    <row r="806">
      <c r="A806" t="inlineStr" s="25">
        <is>
          <t xml:space="preserve">Calculation</t>
        </is>
      </c>
      <c r="B806">
        <f>IF(IF(DATE(2027,9,1)=EDATE(DATE(2026,10,1),-'Model inputs'!AM13*1)="",FALSE,DATE(2027,9,1)=EDATE(DATE(2026,10,1),-'Model inputs'!AM13*1)),IF('POA — Monthly financial forecas'!M27="","",'POA — Monthly financial forecas'!M27),"")</f>
      </c>
    </row>
    <row r="807">
      <c r="A807" t="inlineStr" s="25">
        <is>
          <t xml:space="preserve">Calculation</t>
        </is>
      </c>
      <c r="B807">
        <f>IF(IF(DATE(2027,10,1)=EDATE(DATE(2026,10,1),-'Model inputs'!AM13*1)="",FALSE,DATE(2027,10,1)=EDATE(DATE(2026,10,1),-'Model inputs'!AM13*1)),IF('POA — Monthly financial forecas'!N27="","",'POA — Monthly financial forecas'!N27),"")</f>
      </c>
    </row>
    <row r="808">
      <c r="A808" t="inlineStr" s="25">
        <is>
          <t xml:space="preserve">Calculation</t>
        </is>
      </c>
      <c r="B808">
        <f>IF(IF(DATE(2027,11,1)=EDATE(DATE(2026,10,1),-'Model inputs'!AM13*1)="",FALSE,DATE(2027,11,1)=EDATE(DATE(2026,10,1),-'Model inputs'!AM13*1)),IF('POA — Monthly financial forecas'!O27="","",'POA — Monthly financial forecas'!O27),"")</f>
      </c>
    </row>
    <row r="809">
      <c r="A809" t="inlineStr" s="25">
        <is>
          <t xml:space="preserve">Calculation</t>
        </is>
      </c>
      <c r="B809">
        <f>IF(IF(DATE(2027,12,1)=EDATE(DATE(2026,10,1),-'Model inputs'!AM13*1)="",FALSE,DATE(2027,12,1)=EDATE(DATE(2026,10,1),-'Model inputs'!AM13*1)),IF('POA — Monthly financial forecas'!P27="","",'POA — Monthly financial forecas'!P27),"")</f>
      </c>
    </row>
    <row r="810">
      <c r="A810" t="inlineStr" s="25">
        <is>
          <t xml:space="preserve">Calculation</t>
        </is>
      </c>
      <c r="B810">
        <f>IF(IF(DATE(2028,1,1)=EDATE(DATE(2026,10,1),-'Model inputs'!AM13*1)="",FALSE,DATE(2028,1,1)=EDATE(DATE(2026,10,1),-'Model inputs'!AM13*1)),IF('POA — Monthly financial forecas'!Q27="","",'POA — Monthly financial forecas'!Q27),"")</f>
      </c>
    </row>
    <row r="811">
      <c r="A811" t="inlineStr" s="25">
        <is>
          <t xml:space="preserve">Calculation</t>
        </is>
      </c>
      <c r="B811">
        <f>IF(IF(DATE(2028,2,1)=EDATE(DATE(2026,10,1),-'Model inputs'!AM13*1)="",FALSE,DATE(2028,2,1)=EDATE(DATE(2026,10,1),-'Model inputs'!AM13*1)),IF('POA — Monthly financial forecas'!R27="","",'POA — Monthly financial forecas'!R27),"")</f>
      </c>
    </row>
    <row r="812">
      <c r="A812" t="inlineStr" s="25">
        <is>
          <t xml:space="preserve">Calculation</t>
        </is>
      </c>
      <c r="B812">
        <f>IF(IF(DATE(2028,3,1)=EDATE(DATE(2026,10,1),-'Model inputs'!AM13*1)="",FALSE,DATE(2028,3,1)=EDATE(DATE(2026,10,1),-'Model inputs'!AM13*1)),IF('POA — Monthly financial forecas'!S27="","",'POA — Monthly financial forecas'!S27),"")</f>
      </c>
    </row>
    <row r="813">
      <c r="A813" t="inlineStr" s="25">
        <is>
          <t xml:space="preserve">Calculation</t>
        </is>
      </c>
      <c r="B813">
        <f>IF(IF(DATE(2028,4,1)=EDATE(DATE(2026,10,1),-'Model inputs'!AM13*1)="",FALSE,DATE(2028,4,1)=EDATE(DATE(2026,10,1),-'Model inputs'!AM13*1)),IF('POA — Monthly financial forecas'!T27="","",'POA — Monthly financial forecas'!T27),"")</f>
      </c>
    </row>
    <row r="814">
      <c r="A814" t="inlineStr" s="25">
        <is>
          <t xml:space="preserve">Calculation</t>
        </is>
      </c>
      <c r="B814">
        <f>IF(IF(DATE(2028,5,1)=EDATE(DATE(2026,10,1),-'Model inputs'!AM13*1)="",FALSE,DATE(2028,5,1)=EDATE(DATE(2026,10,1),-'Model inputs'!AM13*1)),IF('POA — Monthly financial forecas'!U27="","",'POA — Monthly financial forecas'!U27),"")</f>
      </c>
    </row>
    <row r="815">
      <c r="A815" t="inlineStr" s="25">
        <is>
          <t xml:space="preserve">Calculation</t>
        </is>
      </c>
      <c r="B815">
        <f>IF(IF(DATE(2028,6,1)=EDATE(DATE(2026,10,1),-'Model inputs'!AM13*1)="",FALSE,DATE(2028,6,1)=EDATE(DATE(2026,10,1),-'Model inputs'!AM13*1)),IF('POA — Monthly financial forecas'!V27="","",'POA — Monthly financial forecas'!V27),"")</f>
      </c>
    </row>
    <row r="816">
      <c r="A816" t="inlineStr" s="25">
        <is>
          <t xml:space="preserve">Calculation</t>
        </is>
      </c>
      <c r="B816">
        <f>IF(IF(DATE(2028,7,1)=EDATE(DATE(2026,10,1),-'Model inputs'!AM13*1)="",FALSE,DATE(2028,7,1)=EDATE(DATE(2026,10,1),-'Model inputs'!AM13*1)),IF('POA — Monthly financial forecas'!W27="","",'POA — Monthly financial forecas'!W27),"")</f>
      </c>
    </row>
    <row r="817">
      <c r="A817" t="inlineStr" s="25">
        <is>
          <t xml:space="preserve">Calculation</t>
        </is>
      </c>
      <c r="B817">
        <f>IF(IF(DATE(2028,8,1)=EDATE(DATE(2026,10,1),-'Model inputs'!AM13*1)="",FALSE,DATE(2028,8,1)=EDATE(DATE(2026,10,1),-'Model inputs'!AM13*1)),IF('POA — Monthly financial forecas'!X27="","",'POA — Monthly financial forecas'!X27),"")</f>
      </c>
    </row>
    <row r="818">
      <c r="A818" t="inlineStr" s="25">
        <is>
          <t xml:space="preserve">Calculation</t>
        </is>
      </c>
      <c r="B818">
        <f>IF(IF(DATE(2028,9,1)=EDATE(DATE(2026,10,1),-'Model inputs'!AM13*1)="",FALSE,DATE(2028,9,1)=EDATE(DATE(2026,10,1),-'Model inputs'!AM13*1)),IF('POA — Monthly financial forecas'!Y27="","",'POA — Monthly financial forecas'!Y27),"")</f>
      </c>
    </row>
    <row r="819">
      <c r="A819" t="inlineStr" s="25">
        <is>
          <t xml:space="preserve">Calculation</t>
        </is>
      </c>
      <c r="B819">
        <f>IF(IF(DATE(2028,10,1)=EDATE(DATE(2026,10,1),-'Model inputs'!AM13*1)="",FALSE,DATE(2028,10,1)=EDATE(DATE(2026,10,1),-'Model inputs'!AM13*1)),IF('POA — Monthly financial forecas'!Z27="","",'POA — Monthly financial forecas'!Z27),"")</f>
      </c>
    </row>
    <row r="820">
      <c r="A820" t="inlineStr" s="25">
        <is>
          <t xml:space="preserve">Calculation</t>
        </is>
      </c>
      <c r="B820">
        <f>IF(IF(DATE(2028,11,1)=EDATE(DATE(2026,10,1),-'Model inputs'!AM13*1)="",FALSE,DATE(2028,11,1)=EDATE(DATE(2026,10,1),-'Model inputs'!AM13*1)),IF('POA — Monthly financial forecas'!AA27="","",'POA — Monthly financial forecas'!AA27),"")</f>
      </c>
    </row>
    <row r="821">
      <c r="A821" t="inlineStr" s="25">
        <is>
          <t xml:space="preserve">Calculation</t>
        </is>
      </c>
      <c r="B821">
        <f>IF(IF(DATE(2028,12,1)=EDATE(DATE(2026,10,1),-'Model inputs'!AM13*1)="",FALSE,DATE(2028,12,1)=EDATE(DATE(2026,10,1),-'Model inputs'!AM13*1)),IF('POA — Monthly financial forecas'!AB27="","",'POA — Monthly financial forecas'!AB27),"")</f>
      </c>
    </row>
    <row r="822">
      <c r="A822" t="inlineStr" s="25">
        <is>
          <t xml:space="preserve">Calculation</t>
        </is>
      </c>
      <c r="B822">
        <f>IF(IF(DATE(2029,1,1)=EDATE(DATE(2026,10,1),-'Model inputs'!AM13*1)="",FALSE,DATE(2029,1,1)=EDATE(DATE(2026,10,1),-'Model inputs'!AM13*1)),IF('POA — Monthly financial forecas'!AC27="","",'POA — Monthly financial forecas'!AC27),"")</f>
      </c>
    </row>
    <row r="823">
      <c r="A823" t="inlineStr" s="25">
        <is>
          <t xml:space="preserve">Calculation</t>
        </is>
      </c>
      <c r="B823">
        <f>IF(IF(DATE(2029,2,1)=EDATE(DATE(2026,10,1),-'Model inputs'!AM13*1)="",FALSE,DATE(2029,2,1)=EDATE(DATE(2026,10,1),-'Model inputs'!AM13*1)),IF('POA — Monthly financial forecas'!AD27="","",'POA — Monthly financial forecas'!AD27),"")</f>
      </c>
    </row>
    <row r="824">
      <c r="A824" t="inlineStr" s="25">
        <is>
          <t xml:space="preserve">Calculation</t>
        </is>
      </c>
      <c r="B824">
        <f>IF(IF(DATE(2029,3,1)=EDATE(DATE(2026,10,1),-'Model inputs'!AM13*1)="",FALSE,DATE(2029,3,1)=EDATE(DATE(2026,10,1),-'Model inputs'!AM13*1)),IF('POA — Monthly financial forecas'!AE27="","",'POA — Monthly financial forecas'!AE27),"")</f>
      </c>
    </row>
    <row r="825">
      <c r="A825" t="inlineStr" s="25">
        <is>
          <t xml:space="preserve">Calculation</t>
        </is>
      </c>
      <c r="B825">
        <f>IF(IF(DATE(2029,4,1)=EDATE(DATE(2026,10,1),-'Model inputs'!AM13*1)="",FALSE,DATE(2029,4,1)=EDATE(DATE(2026,10,1),-'Model inputs'!AM13*1)),IF('POA — Monthly financial forecas'!AF27="","",'POA — Monthly financial forecas'!AF27),"")</f>
      </c>
    </row>
    <row r="826">
      <c r="A826" t="inlineStr" s="25">
        <is>
          <t xml:space="preserve">Calculation</t>
        </is>
      </c>
      <c r="B826">
        <f>IF(IF(DATE(2029,5,1)=EDATE(DATE(2026,10,1),-'Model inputs'!AM13*1)="",FALSE,DATE(2029,5,1)=EDATE(DATE(2026,10,1),-'Model inputs'!AM13*1)),IF('POA — Monthly financial forecas'!AG27="","",'POA — Monthly financial forecas'!AG27),"")</f>
      </c>
    </row>
    <row r="827">
      <c r="A827" t="inlineStr" s="25">
        <is>
          <t xml:space="preserve">Calculation</t>
        </is>
      </c>
      <c r="B827">
        <f>IF(IF(DATE(2029,6,1)=EDATE(DATE(2026,10,1),-'Model inputs'!AM13*1)="",FALSE,DATE(2029,6,1)=EDATE(DATE(2026,10,1),-'Model inputs'!AM13*1)),IF('POA — Monthly financial forecas'!AH27="","",'POA — Monthly financial forecas'!AH27),"")</f>
      </c>
    </row>
    <row r="828">
      <c r="A828" t="inlineStr" s="25">
        <is>
          <t xml:space="preserve">Calculation</t>
        </is>
      </c>
      <c r="B828">
        <f>IF(IF(DATE(2029,7,1)=EDATE(DATE(2026,10,1),-'Model inputs'!AM13*1)="",FALSE,DATE(2029,7,1)=EDATE(DATE(2026,10,1),-'Model inputs'!AM13*1)),IF('POA — Monthly financial forecas'!AI27="","",'POA — Monthly financial forecas'!AI27),"")</f>
      </c>
    </row>
    <row r="829">
      <c r="A829" t="inlineStr" s="25">
        <is>
          <t xml:space="preserve">Calculation</t>
        </is>
      </c>
      <c r="B829">
        <f>IF(IF(DATE(2029,8,1)=EDATE(DATE(2026,10,1),-'Model inputs'!AM13*1)="",FALSE,DATE(2029,8,1)=EDATE(DATE(2026,10,1),-'Model inputs'!AM13*1)),IF('POA — Monthly financial forecas'!AJ27="","",'POA — Monthly financial forecas'!AJ27),"")</f>
      </c>
    </row>
    <row r="830">
      <c r="A830" t="inlineStr" s="25">
        <is>
          <t xml:space="preserve">Calculation</t>
        </is>
      </c>
      <c r="B830">
        <f>IF(IF(DATE(2029,9,1)=EDATE(DATE(2026,10,1),-'Model inputs'!AM13*1)="",FALSE,DATE(2029,9,1)=EDATE(DATE(2026,10,1),-'Model inputs'!AM13*1)),IF('POA — Monthly financial forecas'!AK27="","",'POA — Monthly financial forecas'!AK27),"")</f>
      </c>
    </row>
    <row r="831">
      <c r="A831" t="inlineStr" s="25">
        <is>
          <t xml:space="preserve">Calculation</t>
        </is>
      </c>
      <c r="B831">
        <f>IF(IF(DATE(2026,9,1)=EDATE(DATE(2026,10,1),-'Model inputs'!AM13*1)="",FALSE,DATE(2026,9,1)=EDATE(DATE(2026,10,1),-'Model inputs'!AM13*1)),IF('Model inputs'!B85="","",'Model inputs'!B85),"")</f>
      </c>
    </row>
    <row r="832">
      <c r="A832" t="inlineStr" s="25">
        <is>
          <t xml:space="preserve">Calculation</t>
        </is>
      </c>
      <c r="B832">
        <f>SUM(IF(IF('Model inputs'!B795="",0,1)="",0,IF('Model inputs'!B795="",0,1)),IF(IF('Model inputs'!B796="",0,1)="",0,IF('Model inputs'!B796="",0,1)),IF(IF('Model inputs'!B797="",0,1)="",0,IF('Model inputs'!B797="",0,1)),IF(IF('Model inputs'!B798="",0,1)="",0,IF('Model inputs'!B798="",0,1)),IF(IF('Model inputs'!B799="",0,1)="",0,IF('Model inputs'!B799="",0,1)),IF(IF('Model inputs'!B800="",0,1)="",0,IF('Model inputs'!B800="",0,1)),IF(IF('Model inputs'!B801="",0,1)="",0,IF('Model inputs'!B801="",0,1)),IF(IF('Model inputs'!B802="",0,1)="",0,IF('Model inputs'!B802="",0,1)),IF(IF('Model inputs'!B803="",0,1)="",0,IF('Model inputs'!B803="",0,1)),IF(IF('Model inputs'!B804="",0,1)="",0,IF('Model inputs'!B804="",0,1)),IF(IF('Model inputs'!B805="",0,1)="",0,IF('Model inputs'!B805="",0,1)),IF(IF('Model inputs'!B806="",0,1)="",0,IF('Model inputs'!B806="",0,1)),IF(IF('Model inputs'!B807="",0,1)="",0,IF('Model inputs'!B807="",0,1)),IF(IF('Model inputs'!B808="",0,1)="",0,IF('Model inputs'!B808="",0,1)),IF(IF('Model inputs'!B809="",0,1)="",0,IF('Model inputs'!B809="",0,1)),IF(IF('Model inputs'!B810="",0,1)="",0,IF('Model inputs'!B810="",0,1)),IF(IF('Model inputs'!B811="",0,1)="",0,IF('Model inputs'!B811="",0,1)),IF(IF('Model inputs'!B812="",0,1)="",0,IF('Model inputs'!B812="",0,1)),IF(IF('Model inputs'!B813="",0,1)="",0,IF('Model inputs'!B813="",0,1)),IF(IF('Model inputs'!B814="",0,1)="",0,IF('Model inputs'!B814="",0,1)),IF(IF('Model inputs'!B815="",0,1)="",0,IF('Model inputs'!B815="",0,1)),IF(IF('Model inputs'!B816="",0,1)="",0,IF('Model inputs'!B816="",0,1)),IF(IF('Model inputs'!B817="",0,1)="",0,IF('Model inputs'!B817="",0,1)),IF(IF('Model inputs'!B818="",0,1)="",0,IF('Model inputs'!B818="",0,1)),IF(IF('Model inputs'!B819="",0,1)="",0,IF('Model inputs'!B819="",0,1)),IF(IF('Model inputs'!B820="",0,1)="",0,IF('Model inputs'!B820="",0,1)),IF(IF('Model inputs'!B821="",0,1)="",0,IF('Model inputs'!B821="",0,1)),IF(IF('Model inputs'!B822="",0,1)="",0,IF('Model inputs'!B822="",0,1)),IF(IF('Model inputs'!B823="",0,1)="",0,IF('Model inputs'!B823="",0,1)),IF(IF('Model inputs'!B824="",0,1)="",0,IF('Model inputs'!B824="",0,1)),IF(IF('Model inputs'!B825="",0,1)="",0,IF('Model inputs'!B825="",0,1)),IF(IF('Model inputs'!B826="",0,1)="",0,IF('Model inputs'!B826="",0,1)),IF(IF('Model inputs'!B827="",0,1)="",0,IF('Model inputs'!B827="",0,1)),IF(IF('Model inputs'!B828="",0,1)="",0,IF('Model inputs'!B828="",0,1)),IF(IF('Model inputs'!B829="",0,1)="",0,IF('Model inputs'!B829="",0,1)),IF(IF('Model inputs'!B830="",0,1)="",0,IF('Model inputs'!B830="",0,1)),IF(IF('Model inputs'!B831="",0,1)="",0,IF('Model inputs'!B831="",0,1)))</f>
      </c>
    </row>
    <row r="833">
      <c r="A833" t="inlineStr" s="25">
        <is>
          <t xml:space="preserve">Calculation</t>
        </is>
      </c>
      <c r="B833">
        <f>IF(IF(DATE(2026,10,1)=EDATE(DATE(2026,11,1),-'Model inputs'!AM13*1)="",FALSE,DATE(2026,10,1)=EDATE(DATE(2026,11,1),-'Model inputs'!AM13*1)),IF('POA — Monthly financial forecas'!B27="","",'POA — Monthly financial forecas'!B27),"")</f>
      </c>
    </row>
    <row r="834">
      <c r="A834" t="inlineStr" s="25">
        <is>
          <t xml:space="preserve">Calculation</t>
        </is>
      </c>
      <c r="B834">
        <f>IF(IF(DATE(2026,11,1)=EDATE(DATE(2026,11,1),-'Model inputs'!AM13*1)="",FALSE,DATE(2026,11,1)=EDATE(DATE(2026,11,1),-'Model inputs'!AM13*1)),IF('POA — Monthly financial forecas'!C27="","",'POA — Monthly financial forecas'!C27),"")</f>
      </c>
    </row>
    <row r="835">
      <c r="A835" t="inlineStr" s="25">
        <is>
          <t xml:space="preserve">Calculation</t>
        </is>
      </c>
      <c r="B835">
        <f>IF(IF(DATE(2026,12,1)=EDATE(DATE(2026,11,1),-'Model inputs'!AM13*1)="",FALSE,DATE(2026,12,1)=EDATE(DATE(2026,11,1),-'Model inputs'!AM13*1)),IF('POA — Monthly financial forecas'!D27="","",'POA — Monthly financial forecas'!D27),"")</f>
      </c>
    </row>
    <row r="836">
      <c r="A836" t="inlineStr" s="25">
        <is>
          <t xml:space="preserve">Calculation</t>
        </is>
      </c>
      <c r="B836">
        <f>IF(IF(DATE(2027,1,1)=EDATE(DATE(2026,11,1),-'Model inputs'!AM13*1)="",FALSE,DATE(2027,1,1)=EDATE(DATE(2026,11,1),-'Model inputs'!AM13*1)),IF('POA — Monthly financial forecas'!E27="","",'POA — Monthly financial forecas'!E27),"")</f>
      </c>
    </row>
    <row r="837">
      <c r="A837" t="inlineStr" s="25">
        <is>
          <t xml:space="preserve">Calculation</t>
        </is>
      </c>
      <c r="B837">
        <f>IF(IF(DATE(2027,2,1)=EDATE(DATE(2026,11,1),-'Model inputs'!AM13*1)="",FALSE,DATE(2027,2,1)=EDATE(DATE(2026,11,1),-'Model inputs'!AM13*1)),IF('POA — Monthly financial forecas'!F27="","",'POA — Monthly financial forecas'!F27),"")</f>
      </c>
    </row>
    <row r="838">
      <c r="A838" t="inlineStr" s="25">
        <is>
          <t xml:space="preserve">Calculation</t>
        </is>
      </c>
      <c r="B838">
        <f>IF(IF(DATE(2027,3,1)=EDATE(DATE(2026,11,1),-'Model inputs'!AM13*1)="",FALSE,DATE(2027,3,1)=EDATE(DATE(2026,11,1),-'Model inputs'!AM13*1)),IF('POA — Monthly financial forecas'!G27="","",'POA — Monthly financial forecas'!G27),"")</f>
      </c>
    </row>
    <row r="839">
      <c r="A839" t="inlineStr" s="25">
        <is>
          <t xml:space="preserve">Calculation</t>
        </is>
      </c>
      <c r="B839">
        <f>IF(IF(DATE(2027,4,1)=EDATE(DATE(2026,11,1),-'Model inputs'!AM13*1)="",FALSE,DATE(2027,4,1)=EDATE(DATE(2026,11,1),-'Model inputs'!AM13*1)),IF('POA — Monthly financial forecas'!H27="","",'POA — Monthly financial forecas'!H27),"")</f>
      </c>
    </row>
    <row r="840">
      <c r="A840" t="inlineStr" s="25">
        <is>
          <t xml:space="preserve">Calculation</t>
        </is>
      </c>
      <c r="B840">
        <f>IF(IF(DATE(2027,5,1)=EDATE(DATE(2026,11,1),-'Model inputs'!AM13*1)="",FALSE,DATE(2027,5,1)=EDATE(DATE(2026,11,1),-'Model inputs'!AM13*1)),IF('POA — Monthly financial forecas'!I27="","",'POA — Monthly financial forecas'!I27),"")</f>
      </c>
    </row>
    <row r="841">
      <c r="A841" t="inlineStr" s="25">
        <is>
          <t xml:space="preserve">Calculation</t>
        </is>
      </c>
      <c r="B841">
        <f>IF(IF(DATE(2027,6,1)=EDATE(DATE(2026,11,1),-'Model inputs'!AM13*1)="",FALSE,DATE(2027,6,1)=EDATE(DATE(2026,11,1),-'Model inputs'!AM13*1)),IF('POA — Monthly financial forecas'!J27="","",'POA — Monthly financial forecas'!J27),"")</f>
      </c>
    </row>
    <row r="842">
      <c r="A842" t="inlineStr" s="25">
        <is>
          <t xml:space="preserve">Calculation</t>
        </is>
      </c>
      <c r="B842">
        <f>IF(IF(DATE(2027,7,1)=EDATE(DATE(2026,11,1),-'Model inputs'!AM13*1)="",FALSE,DATE(2027,7,1)=EDATE(DATE(2026,11,1),-'Model inputs'!AM13*1)),IF('POA — Monthly financial forecas'!K27="","",'POA — Monthly financial forecas'!K27),"")</f>
      </c>
    </row>
    <row r="843">
      <c r="A843" t="inlineStr" s="25">
        <is>
          <t xml:space="preserve">Calculation</t>
        </is>
      </c>
      <c r="B843">
        <f>IF(IF(DATE(2027,8,1)=EDATE(DATE(2026,11,1),-'Model inputs'!AM13*1)="",FALSE,DATE(2027,8,1)=EDATE(DATE(2026,11,1),-'Model inputs'!AM13*1)),IF('POA — Monthly financial forecas'!L27="","",'POA — Monthly financial forecas'!L27),"")</f>
      </c>
    </row>
    <row r="844">
      <c r="A844" t="inlineStr" s="25">
        <is>
          <t xml:space="preserve">Calculation</t>
        </is>
      </c>
      <c r="B844">
        <f>IF(IF(DATE(2027,9,1)=EDATE(DATE(2026,11,1),-'Model inputs'!AM13*1)="",FALSE,DATE(2027,9,1)=EDATE(DATE(2026,11,1),-'Model inputs'!AM13*1)),IF('POA — Monthly financial forecas'!M27="","",'POA — Monthly financial forecas'!M27),"")</f>
      </c>
    </row>
    <row r="845">
      <c r="A845" t="inlineStr" s="25">
        <is>
          <t xml:space="preserve">Calculation</t>
        </is>
      </c>
      <c r="B845">
        <f>IF(IF(DATE(2027,10,1)=EDATE(DATE(2026,11,1),-'Model inputs'!AM13*1)="",FALSE,DATE(2027,10,1)=EDATE(DATE(2026,11,1),-'Model inputs'!AM13*1)),IF('POA — Monthly financial forecas'!N27="","",'POA — Monthly financial forecas'!N27),"")</f>
      </c>
    </row>
    <row r="846">
      <c r="A846" t="inlineStr" s="25">
        <is>
          <t xml:space="preserve">Calculation</t>
        </is>
      </c>
      <c r="B846">
        <f>IF(IF(DATE(2027,11,1)=EDATE(DATE(2026,11,1),-'Model inputs'!AM13*1)="",FALSE,DATE(2027,11,1)=EDATE(DATE(2026,11,1),-'Model inputs'!AM13*1)),IF('POA — Monthly financial forecas'!O27="","",'POA — Monthly financial forecas'!O27),"")</f>
      </c>
    </row>
    <row r="847">
      <c r="A847" t="inlineStr" s="25">
        <is>
          <t xml:space="preserve">Calculation</t>
        </is>
      </c>
      <c r="B847">
        <f>IF(IF(DATE(2027,12,1)=EDATE(DATE(2026,11,1),-'Model inputs'!AM13*1)="",FALSE,DATE(2027,12,1)=EDATE(DATE(2026,11,1),-'Model inputs'!AM13*1)),IF('POA — Monthly financial forecas'!P27="","",'POA — Monthly financial forecas'!P27),"")</f>
      </c>
    </row>
    <row r="848">
      <c r="A848" t="inlineStr" s="25">
        <is>
          <t xml:space="preserve">Calculation</t>
        </is>
      </c>
      <c r="B848">
        <f>IF(IF(DATE(2028,1,1)=EDATE(DATE(2026,11,1),-'Model inputs'!AM13*1)="",FALSE,DATE(2028,1,1)=EDATE(DATE(2026,11,1),-'Model inputs'!AM13*1)),IF('POA — Monthly financial forecas'!Q27="","",'POA — Monthly financial forecas'!Q27),"")</f>
      </c>
    </row>
    <row r="849">
      <c r="A849" t="inlineStr" s="25">
        <is>
          <t xml:space="preserve">Calculation</t>
        </is>
      </c>
      <c r="B849">
        <f>IF(IF(DATE(2028,2,1)=EDATE(DATE(2026,11,1),-'Model inputs'!AM13*1)="",FALSE,DATE(2028,2,1)=EDATE(DATE(2026,11,1),-'Model inputs'!AM13*1)),IF('POA — Monthly financial forecas'!R27="","",'POA — Monthly financial forecas'!R27),"")</f>
      </c>
    </row>
    <row r="850">
      <c r="A850" t="inlineStr" s="25">
        <is>
          <t xml:space="preserve">Calculation</t>
        </is>
      </c>
      <c r="B850">
        <f>IF(IF(DATE(2028,3,1)=EDATE(DATE(2026,11,1),-'Model inputs'!AM13*1)="",FALSE,DATE(2028,3,1)=EDATE(DATE(2026,11,1),-'Model inputs'!AM13*1)),IF('POA — Monthly financial forecas'!S27="","",'POA — Monthly financial forecas'!S27),"")</f>
      </c>
    </row>
    <row r="851">
      <c r="A851" t="inlineStr" s="25">
        <is>
          <t xml:space="preserve">Calculation</t>
        </is>
      </c>
      <c r="B851">
        <f>IF(IF(DATE(2028,4,1)=EDATE(DATE(2026,11,1),-'Model inputs'!AM13*1)="",FALSE,DATE(2028,4,1)=EDATE(DATE(2026,11,1),-'Model inputs'!AM13*1)),IF('POA — Monthly financial forecas'!T27="","",'POA — Monthly financial forecas'!T27),"")</f>
      </c>
    </row>
    <row r="852">
      <c r="A852" t="inlineStr" s="25">
        <is>
          <t xml:space="preserve">Calculation</t>
        </is>
      </c>
      <c r="B852">
        <f>IF(IF(DATE(2028,5,1)=EDATE(DATE(2026,11,1),-'Model inputs'!AM13*1)="",FALSE,DATE(2028,5,1)=EDATE(DATE(2026,11,1),-'Model inputs'!AM13*1)),IF('POA — Monthly financial forecas'!U27="","",'POA — Monthly financial forecas'!U27),"")</f>
      </c>
    </row>
    <row r="853">
      <c r="A853" t="inlineStr" s="25">
        <is>
          <t xml:space="preserve">Calculation</t>
        </is>
      </c>
      <c r="B853">
        <f>IF(IF(DATE(2028,6,1)=EDATE(DATE(2026,11,1),-'Model inputs'!AM13*1)="",FALSE,DATE(2028,6,1)=EDATE(DATE(2026,11,1),-'Model inputs'!AM13*1)),IF('POA — Monthly financial forecas'!V27="","",'POA — Monthly financial forecas'!V27),"")</f>
      </c>
    </row>
    <row r="854">
      <c r="A854" t="inlineStr" s="25">
        <is>
          <t xml:space="preserve">Calculation</t>
        </is>
      </c>
      <c r="B854">
        <f>IF(IF(DATE(2028,7,1)=EDATE(DATE(2026,11,1),-'Model inputs'!AM13*1)="",FALSE,DATE(2028,7,1)=EDATE(DATE(2026,11,1),-'Model inputs'!AM13*1)),IF('POA — Monthly financial forecas'!W27="","",'POA — Monthly financial forecas'!W27),"")</f>
      </c>
    </row>
    <row r="855">
      <c r="A855" t="inlineStr" s="25">
        <is>
          <t xml:space="preserve">Calculation</t>
        </is>
      </c>
      <c r="B855">
        <f>IF(IF(DATE(2028,8,1)=EDATE(DATE(2026,11,1),-'Model inputs'!AM13*1)="",FALSE,DATE(2028,8,1)=EDATE(DATE(2026,11,1),-'Model inputs'!AM13*1)),IF('POA — Monthly financial forecas'!X27="","",'POA — Monthly financial forecas'!X27),"")</f>
      </c>
    </row>
    <row r="856">
      <c r="A856" t="inlineStr" s="25">
        <is>
          <t xml:space="preserve">Calculation</t>
        </is>
      </c>
      <c r="B856">
        <f>IF(IF(DATE(2028,9,1)=EDATE(DATE(2026,11,1),-'Model inputs'!AM13*1)="",FALSE,DATE(2028,9,1)=EDATE(DATE(2026,11,1),-'Model inputs'!AM13*1)),IF('POA — Monthly financial forecas'!Y27="","",'POA — Monthly financial forecas'!Y27),"")</f>
      </c>
    </row>
    <row r="857">
      <c r="A857" t="inlineStr" s="25">
        <is>
          <t xml:space="preserve">Calculation</t>
        </is>
      </c>
      <c r="B857">
        <f>IF(IF(DATE(2028,10,1)=EDATE(DATE(2026,11,1),-'Model inputs'!AM13*1)="",FALSE,DATE(2028,10,1)=EDATE(DATE(2026,11,1),-'Model inputs'!AM13*1)),IF('POA — Monthly financial forecas'!Z27="","",'POA — Monthly financial forecas'!Z27),"")</f>
      </c>
    </row>
    <row r="858">
      <c r="A858" t="inlineStr" s="25">
        <is>
          <t xml:space="preserve">Calculation</t>
        </is>
      </c>
      <c r="B858">
        <f>IF(IF(DATE(2028,11,1)=EDATE(DATE(2026,11,1),-'Model inputs'!AM13*1)="",FALSE,DATE(2028,11,1)=EDATE(DATE(2026,11,1),-'Model inputs'!AM13*1)),IF('POA — Monthly financial forecas'!AA27="","",'POA — Monthly financial forecas'!AA27),"")</f>
      </c>
    </row>
    <row r="859">
      <c r="A859" t="inlineStr" s="25">
        <is>
          <t xml:space="preserve">Calculation</t>
        </is>
      </c>
      <c r="B859">
        <f>IF(IF(DATE(2028,12,1)=EDATE(DATE(2026,11,1),-'Model inputs'!AM13*1)="",FALSE,DATE(2028,12,1)=EDATE(DATE(2026,11,1),-'Model inputs'!AM13*1)),IF('POA — Monthly financial forecas'!AB27="","",'POA — Monthly financial forecas'!AB27),"")</f>
      </c>
    </row>
    <row r="860">
      <c r="A860" t="inlineStr" s="25">
        <is>
          <t xml:space="preserve">Calculation</t>
        </is>
      </c>
      <c r="B860">
        <f>IF(IF(DATE(2029,1,1)=EDATE(DATE(2026,11,1),-'Model inputs'!AM13*1)="",FALSE,DATE(2029,1,1)=EDATE(DATE(2026,11,1),-'Model inputs'!AM13*1)),IF('POA — Monthly financial forecas'!AC27="","",'POA — Monthly financial forecas'!AC27),"")</f>
      </c>
    </row>
    <row r="861">
      <c r="A861" t="inlineStr" s="25">
        <is>
          <t xml:space="preserve">Calculation</t>
        </is>
      </c>
      <c r="B861">
        <f>IF(IF(DATE(2029,2,1)=EDATE(DATE(2026,11,1),-'Model inputs'!AM13*1)="",FALSE,DATE(2029,2,1)=EDATE(DATE(2026,11,1),-'Model inputs'!AM13*1)),IF('POA — Monthly financial forecas'!AD27="","",'POA — Monthly financial forecas'!AD27),"")</f>
      </c>
    </row>
    <row r="862">
      <c r="A862" t="inlineStr" s="25">
        <is>
          <t xml:space="preserve">Calculation</t>
        </is>
      </c>
      <c r="B862">
        <f>IF(IF(DATE(2029,3,1)=EDATE(DATE(2026,11,1),-'Model inputs'!AM13*1)="",FALSE,DATE(2029,3,1)=EDATE(DATE(2026,11,1),-'Model inputs'!AM13*1)),IF('POA — Monthly financial forecas'!AE27="","",'POA — Monthly financial forecas'!AE27),"")</f>
      </c>
    </row>
    <row r="863">
      <c r="A863" t="inlineStr" s="25">
        <is>
          <t xml:space="preserve">Calculation</t>
        </is>
      </c>
      <c r="B863">
        <f>IF(IF(DATE(2029,4,1)=EDATE(DATE(2026,11,1),-'Model inputs'!AM13*1)="",FALSE,DATE(2029,4,1)=EDATE(DATE(2026,11,1),-'Model inputs'!AM13*1)),IF('POA — Monthly financial forecas'!AF27="","",'POA — Monthly financial forecas'!AF27),"")</f>
      </c>
    </row>
    <row r="864">
      <c r="A864" t="inlineStr" s="25">
        <is>
          <t xml:space="preserve">Calculation</t>
        </is>
      </c>
      <c r="B864">
        <f>IF(IF(DATE(2029,5,1)=EDATE(DATE(2026,11,1),-'Model inputs'!AM13*1)="",FALSE,DATE(2029,5,1)=EDATE(DATE(2026,11,1),-'Model inputs'!AM13*1)),IF('POA — Monthly financial forecas'!AG27="","",'POA — Monthly financial forecas'!AG27),"")</f>
      </c>
    </row>
    <row r="865">
      <c r="A865" t="inlineStr" s="25">
        <is>
          <t xml:space="preserve">Calculation</t>
        </is>
      </c>
      <c r="B865">
        <f>IF(IF(DATE(2029,6,1)=EDATE(DATE(2026,11,1),-'Model inputs'!AM13*1)="",FALSE,DATE(2029,6,1)=EDATE(DATE(2026,11,1),-'Model inputs'!AM13*1)),IF('POA — Monthly financial forecas'!AH27="","",'POA — Monthly financial forecas'!AH27),"")</f>
      </c>
    </row>
    <row r="866">
      <c r="A866" t="inlineStr" s="25">
        <is>
          <t xml:space="preserve">Calculation</t>
        </is>
      </c>
      <c r="B866">
        <f>IF(IF(DATE(2029,7,1)=EDATE(DATE(2026,11,1),-'Model inputs'!AM13*1)="",FALSE,DATE(2029,7,1)=EDATE(DATE(2026,11,1),-'Model inputs'!AM13*1)),IF('POA — Monthly financial forecas'!AI27="","",'POA — Monthly financial forecas'!AI27),"")</f>
      </c>
    </row>
    <row r="867">
      <c r="A867" t="inlineStr" s="25">
        <is>
          <t xml:space="preserve">Calculation</t>
        </is>
      </c>
      <c r="B867">
        <f>IF(IF(DATE(2029,8,1)=EDATE(DATE(2026,11,1),-'Model inputs'!AM13*1)="",FALSE,DATE(2029,8,1)=EDATE(DATE(2026,11,1),-'Model inputs'!AM13*1)),IF('POA — Monthly financial forecas'!AJ27="","",'POA — Monthly financial forecas'!AJ27),"")</f>
      </c>
    </row>
    <row r="868">
      <c r="A868" t="inlineStr" s="25">
        <is>
          <t xml:space="preserve">Calculation</t>
        </is>
      </c>
      <c r="B868">
        <f>IF(IF(DATE(2029,9,1)=EDATE(DATE(2026,11,1),-'Model inputs'!AM13*1)="",FALSE,DATE(2029,9,1)=EDATE(DATE(2026,11,1),-'Model inputs'!AM13*1)),IF('POA — Monthly financial forecas'!AK27="","",'POA — Monthly financial forecas'!AK27),"")</f>
      </c>
    </row>
    <row r="869">
      <c r="A869" t="inlineStr" s="25">
        <is>
          <t xml:space="preserve">Calculation</t>
        </is>
      </c>
      <c r="B869">
        <f>IF(IF(DATE(2026,9,1)=EDATE(DATE(2026,11,1),-'Model inputs'!AM13*1)="",FALSE,DATE(2026,9,1)=EDATE(DATE(2026,11,1),-'Model inputs'!AM13*1)),IF('Model inputs'!B85="","",'Model inputs'!B85),"")</f>
      </c>
    </row>
    <row r="870">
      <c r="A870" t="inlineStr" s="25">
        <is>
          <t xml:space="preserve">Calculation</t>
        </is>
      </c>
      <c r="B870">
        <f>SUM(IF(IF('Model inputs'!B833="",0,1)="",0,IF('Model inputs'!B833="",0,1)),IF(IF('Model inputs'!B834="",0,1)="",0,IF('Model inputs'!B834="",0,1)),IF(IF('Model inputs'!B835="",0,1)="",0,IF('Model inputs'!B835="",0,1)),IF(IF('Model inputs'!B836="",0,1)="",0,IF('Model inputs'!B836="",0,1)),IF(IF('Model inputs'!B837="",0,1)="",0,IF('Model inputs'!B837="",0,1)),IF(IF('Model inputs'!B838="",0,1)="",0,IF('Model inputs'!B838="",0,1)),IF(IF('Model inputs'!B839="",0,1)="",0,IF('Model inputs'!B839="",0,1)),IF(IF('Model inputs'!B840="",0,1)="",0,IF('Model inputs'!B840="",0,1)),IF(IF('Model inputs'!B841="",0,1)="",0,IF('Model inputs'!B841="",0,1)),IF(IF('Model inputs'!B842="",0,1)="",0,IF('Model inputs'!B842="",0,1)),IF(IF('Model inputs'!B843="",0,1)="",0,IF('Model inputs'!B843="",0,1)),IF(IF('Model inputs'!B844="",0,1)="",0,IF('Model inputs'!B844="",0,1)),IF(IF('Model inputs'!B845="",0,1)="",0,IF('Model inputs'!B845="",0,1)),IF(IF('Model inputs'!B846="",0,1)="",0,IF('Model inputs'!B846="",0,1)),IF(IF('Model inputs'!B847="",0,1)="",0,IF('Model inputs'!B847="",0,1)),IF(IF('Model inputs'!B848="",0,1)="",0,IF('Model inputs'!B848="",0,1)),IF(IF('Model inputs'!B849="",0,1)="",0,IF('Model inputs'!B849="",0,1)),IF(IF('Model inputs'!B850="",0,1)="",0,IF('Model inputs'!B850="",0,1)),IF(IF('Model inputs'!B851="",0,1)="",0,IF('Model inputs'!B851="",0,1)),IF(IF('Model inputs'!B852="",0,1)="",0,IF('Model inputs'!B852="",0,1)),IF(IF('Model inputs'!B853="",0,1)="",0,IF('Model inputs'!B853="",0,1)),IF(IF('Model inputs'!B854="",0,1)="",0,IF('Model inputs'!B854="",0,1)),IF(IF('Model inputs'!B855="",0,1)="",0,IF('Model inputs'!B855="",0,1)),IF(IF('Model inputs'!B856="",0,1)="",0,IF('Model inputs'!B856="",0,1)),IF(IF('Model inputs'!B857="",0,1)="",0,IF('Model inputs'!B857="",0,1)),IF(IF('Model inputs'!B858="",0,1)="",0,IF('Model inputs'!B858="",0,1)),IF(IF('Model inputs'!B859="",0,1)="",0,IF('Model inputs'!B859="",0,1)),IF(IF('Model inputs'!B860="",0,1)="",0,IF('Model inputs'!B860="",0,1)),IF(IF('Model inputs'!B861="",0,1)="",0,IF('Model inputs'!B861="",0,1)),IF(IF('Model inputs'!B862="",0,1)="",0,IF('Model inputs'!B862="",0,1)),IF(IF('Model inputs'!B863="",0,1)="",0,IF('Model inputs'!B863="",0,1)),IF(IF('Model inputs'!B864="",0,1)="",0,IF('Model inputs'!B864="",0,1)),IF(IF('Model inputs'!B865="",0,1)="",0,IF('Model inputs'!B865="",0,1)),IF(IF('Model inputs'!B866="",0,1)="",0,IF('Model inputs'!B866="",0,1)),IF(IF('Model inputs'!B867="",0,1)="",0,IF('Model inputs'!B867="",0,1)),IF(IF('Model inputs'!B868="",0,1)="",0,IF('Model inputs'!B868="",0,1)),IF(IF('Model inputs'!B869="",0,1)="",0,IF('Model inputs'!B869="",0,1)))</f>
      </c>
    </row>
    <row r="871">
      <c r="A871" t="inlineStr" s="25">
        <is>
          <t xml:space="preserve">Calculation</t>
        </is>
      </c>
      <c r="B871">
        <f>IF(IF(DATE(2026,10,1)=EDATE(DATE(2026,12,1),-'Model inputs'!AM13*1)="",FALSE,DATE(2026,10,1)=EDATE(DATE(2026,12,1),-'Model inputs'!AM13*1)),IF('POA — Monthly financial forecas'!B27="","",'POA — Monthly financial forecas'!B27),"")</f>
      </c>
    </row>
    <row r="872">
      <c r="A872" t="inlineStr" s="25">
        <is>
          <t xml:space="preserve">Calculation</t>
        </is>
      </c>
      <c r="B872">
        <f>IF(IF(DATE(2026,11,1)=EDATE(DATE(2026,12,1),-'Model inputs'!AM13*1)="",FALSE,DATE(2026,11,1)=EDATE(DATE(2026,12,1),-'Model inputs'!AM13*1)),IF('POA — Monthly financial forecas'!C27="","",'POA — Monthly financial forecas'!C27),"")</f>
      </c>
    </row>
    <row r="873">
      <c r="A873" t="inlineStr" s="25">
        <is>
          <t xml:space="preserve">Calculation</t>
        </is>
      </c>
      <c r="B873">
        <f>IF(IF(DATE(2026,12,1)=EDATE(DATE(2026,12,1),-'Model inputs'!AM13*1)="",FALSE,DATE(2026,12,1)=EDATE(DATE(2026,12,1),-'Model inputs'!AM13*1)),IF('POA — Monthly financial forecas'!D27="","",'POA — Monthly financial forecas'!D27),"")</f>
      </c>
    </row>
    <row r="874">
      <c r="A874" t="inlineStr" s="25">
        <is>
          <t xml:space="preserve">Calculation</t>
        </is>
      </c>
      <c r="B874">
        <f>IF(IF(DATE(2027,1,1)=EDATE(DATE(2026,12,1),-'Model inputs'!AM13*1)="",FALSE,DATE(2027,1,1)=EDATE(DATE(2026,12,1),-'Model inputs'!AM13*1)),IF('POA — Monthly financial forecas'!E27="","",'POA — Monthly financial forecas'!E27),"")</f>
      </c>
    </row>
    <row r="875">
      <c r="A875" t="inlineStr" s="25">
        <is>
          <t xml:space="preserve">Calculation</t>
        </is>
      </c>
      <c r="B875">
        <f>IF(IF(DATE(2027,2,1)=EDATE(DATE(2026,12,1),-'Model inputs'!AM13*1)="",FALSE,DATE(2027,2,1)=EDATE(DATE(2026,12,1),-'Model inputs'!AM13*1)),IF('POA — Monthly financial forecas'!F27="","",'POA — Monthly financial forecas'!F27),"")</f>
      </c>
    </row>
    <row r="876">
      <c r="A876" t="inlineStr" s="25">
        <is>
          <t xml:space="preserve">Calculation</t>
        </is>
      </c>
      <c r="B876">
        <f>IF(IF(DATE(2027,3,1)=EDATE(DATE(2026,12,1),-'Model inputs'!AM13*1)="",FALSE,DATE(2027,3,1)=EDATE(DATE(2026,12,1),-'Model inputs'!AM13*1)),IF('POA — Monthly financial forecas'!G27="","",'POA — Monthly financial forecas'!G27),"")</f>
      </c>
    </row>
    <row r="877">
      <c r="A877" t="inlineStr" s="25">
        <is>
          <t xml:space="preserve">Calculation</t>
        </is>
      </c>
      <c r="B877">
        <f>IF(IF(DATE(2027,4,1)=EDATE(DATE(2026,12,1),-'Model inputs'!AM13*1)="",FALSE,DATE(2027,4,1)=EDATE(DATE(2026,12,1),-'Model inputs'!AM13*1)),IF('POA — Monthly financial forecas'!H27="","",'POA — Monthly financial forecas'!H27),"")</f>
      </c>
    </row>
    <row r="878">
      <c r="A878" t="inlineStr" s="25">
        <is>
          <t xml:space="preserve">Calculation</t>
        </is>
      </c>
      <c r="B878">
        <f>IF(IF(DATE(2027,5,1)=EDATE(DATE(2026,12,1),-'Model inputs'!AM13*1)="",FALSE,DATE(2027,5,1)=EDATE(DATE(2026,12,1),-'Model inputs'!AM13*1)),IF('POA — Monthly financial forecas'!I27="","",'POA — Monthly financial forecas'!I27),"")</f>
      </c>
    </row>
    <row r="879">
      <c r="A879" t="inlineStr" s="25">
        <is>
          <t xml:space="preserve">Calculation</t>
        </is>
      </c>
      <c r="B879">
        <f>IF(IF(DATE(2027,6,1)=EDATE(DATE(2026,12,1),-'Model inputs'!AM13*1)="",FALSE,DATE(2027,6,1)=EDATE(DATE(2026,12,1),-'Model inputs'!AM13*1)),IF('POA — Monthly financial forecas'!J27="","",'POA — Monthly financial forecas'!J27),"")</f>
      </c>
    </row>
    <row r="880">
      <c r="A880" t="inlineStr" s="25">
        <is>
          <t xml:space="preserve">Calculation</t>
        </is>
      </c>
      <c r="B880">
        <f>IF(IF(DATE(2027,7,1)=EDATE(DATE(2026,12,1),-'Model inputs'!AM13*1)="",FALSE,DATE(2027,7,1)=EDATE(DATE(2026,12,1),-'Model inputs'!AM13*1)),IF('POA — Monthly financial forecas'!K27="","",'POA — Monthly financial forecas'!K27),"")</f>
      </c>
    </row>
    <row r="881">
      <c r="A881" t="inlineStr" s="25">
        <is>
          <t xml:space="preserve">Calculation</t>
        </is>
      </c>
      <c r="B881">
        <f>IF(IF(DATE(2027,8,1)=EDATE(DATE(2026,12,1),-'Model inputs'!AM13*1)="",FALSE,DATE(2027,8,1)=EDATE(DATE(2026,12,1),-'Model inputs'!AM13*1)),IF('POA — Monthly financial forecas'!L27="","",'POA — Monthly financial forecas'!L27),"")</f>
      </c>
    </row>
    <row r="882">
      <c r="A882" t="inlineStr" s="25">
        <is>
          <t xml:space="preserve">Calculation</t>
        </is>
      </c>
      <c r="B882">
        <f>IF(IF(DATE(2027,9,1)=EDATE(DATE(2026,12,1),-'Model inputs'!AM13*1)="",FALSE,DATE(2027,9,1)=EDATE(DATE(2026,12,1),-'Model inputs'!AM13*1)),IF('POA — Monthly financial forecas'!M27="","",'POA — Monthly financial forecas'!M27),"")</f>
      </c>
    </row>
    <row r="883">
      <c r="A883" t="inlineStr" s="25">
        <is>
          <t xml:space="preserve">Calculation</t>
        </is>
      </c>
      <c r="B883">
        <f>IF(IF(DATE(2027,10,1)=EDATE(DATE(2026,12,1),-'Model inputs'!AM13*1)="",FALSE,DATE(2027,10,1)=EDATE(DATE(2026,12,1),-'Model inputs'!AM13*1)),IF('POA — Monthly financial forecas'!N27="","",'POA — Monthly financial forecas'!N27),"")</f>
      </c>
    </row>
    <row r="884">
      <c r="A884" t="inlineStr" s="25">
        <is>
          <t xml:space="preserve">Calculation</t>
        </is>
      </c>
      <c r="B884">
        <f>IF(IF(DATE(2027,11,1)=EDATE(DATE(2026,12,1),-'Model inputs'!AM13*1)="",FALSE,DATE(2027,11,1)=EDATE(DATE(2026,12,1),-'Model inputs'!AM13*1)),IF('POA — Monthly financial forecas'!O27="","",'POA — Monthly financial forecas'!O27),"")</f>
      </c>
    </row>
    <row r="885">
      <c r="A885" t="inlineStr" s="25">
        <is>
          <t xml:space="preserve">Calculation</t>
        </is>
      </c>
      <c r="B885">
        <f>IF(IF(DATE(2027,12,1)=EDATE(DATE(2026,12,1),-'Model inputs'!AM13*1)="",FALSE,DATE(2027,12,1)=EDATE(DATE(2026,12,1),-'Model inputs'!AM13*1)),IF('POA — Monthly financial forecas'!P27="","",'POA — Monthly financial forecas'!P27),"")</f>
      </c>
    </row>
    <row r="886">
      <c r="A886" t="inlineStr" s="25">
        <is>
          <t xml:space="preserve">Calculation</t>
        </is>
      </c>
      <c r="B886">
        <f>IF(IF(DATE(2028,1,1)=EDATE(DATE(2026,12,1),-'Model inputs'!AM13*1)="",FALSE,DATE(2028,1,1)=EDATE(DATE(2026,12,1),-'Model inputs'!AM13*1)),IF('POA — Monthly financial forecas'!Q27="","",'POA — Monthly financial forecas'!Q27),"")</f>
      </c>
    </row>
    <row r="887">
      <c r="A887" t="inlineStr" s="25">
        <is>
          <t xml:space="preserve">Calculation</t>
        </is>
      </c>
      <c r="B887">
        <f>IF(IF(DATE(2028,2,1)=EDATE(DATE(2026,12,1),-'Model inputs'!AM13*1)="",FALSE,DATE(2028,2,1)=EDATE(DATE(2026,12,1),-'Model inputs'!AM13*1)),IF('POA — Monthly financial forecas'!R27="","",'POA — Monthly financial forecas'!R27),"")</f>
      </c>
    </row>
    <row r="888">
      <c r="A888" t="inlineStr" s="25">
        <is>
          <t xml:space="preserve">Calculation</t>
        </is>
      </c>
      <c r="B888">
        <f>IF(IF(DATE(2028,3,1)=EDATE(DATE(2026,12,1),-'Model inputs'!AM13*1)="",FALSE,DATE(2028,3,1)=EDATE(DATE(2026,12,1),-'Model inputs'!AM13*1)),IF('POA — Monthly financial forecas'!S27="","",'POA — Monthly financial forecas'!S27),"")</f>
      </c>
    </row>
    <row r="889">
      <c r="A889" t="inlineStr" s="25">
        <is>
          <t xml:space="preserve">Calculation</t>
        </is>
      </c>
      <c r="B889">
        <f>IF(IF(DATE(2028,4,1)=EDATE(DATE(2026,12,1),-'Model inputs'!AM13*1)="",FALSE,DATE(2028,4,1)=EDATE(DATE(2026,12,1),-'Model inputs'!AM13*1)),IF('POA — Monthly financial forecas'!T27="","",'POA — Monthly financial forecas'!T27),"")</f>
      </c>
    </row>
    <row r="890">
      <c r="A890" t="inlineStr" s="25">
        <is>
          <t xml:space="preserve">Calculation</t>
        </is>
      </c>
      <c r="B890">
        <f>IF(IF(DATE(2028,5,1)=EDATE(DATE(2026,12,1),-'Model inputs'!AM13*1)="",FALSE,DATE(2028,5,1)=EDATE(DATE(2026,12,1),-'Model inputs'!AM13*1)),IF('POA — Monthly financial forecas'!U27="","",'POA — Monthly financial forecas'!U27),"")</f>
      </c>
    </row>
    <row r="891">
      <c r="A891" t="inlineStr" s="25">
        <is>
          <t xml:space="preserve">Calculation</t>
        </is>
      </c>
      <c r="B891">
        <f>IF(IF(DATE(2028,6,1)=EDATE(DATE(2026,12,1),-'Model inputs'!AM13*1)="",FALSE,DATE(2028,6,1)=EDATE(DATE(2026,12,1),-'Model inputs'!AM13*1)),IF('POA — Monthly financial forecas'!V27="","",'POA — Monthly financial forecas'!V27),"")</f>
      </c>
    </row>
    <row r="892">
      <c r="A892" t="inlineStr" s="25">
        <is>
          <t xml:space="preserve">Calculation</t>
        </is>
      </c>
      <c r="B892">
        <f>IF(IF(DATE(2028,7,1)=EDATE(DATE(2026,12,1),-'Model inputs'!AM13*1)="",FALSE,DATE(2028,7,1)=EDATE(DATE(2026,12,1),-'Model inputs'!AM13*1)),IF('POA — Monthly financial forecas'!W27="","",'POA — Monthly financial forecas'!W27),"")</f>
      </c>
    </row>
    <row r="893">
      <c r="A893" t="inlineStr" s="25">
        <is>
          <t xml:space="preserve">Calculation</t>
        </is>
      </c>
      <c r="B893">
        <f>IF(IF(DATE(2028,8,1)=EDATE(DATE(2026,12,1),-'Model inputs'!AM13*1)="",FALSE,DATE(2028,8,1)=EDATE(DATE(2026,12,1),-'Model inputs'!AM13*1)),IF('POA — Monthly financial forecas'!X27="","",'POA — Monthly financial forecas'!X27),"")</f>
      </c>
    </row>
    <row r="894">
      <c r="A894" t="inlineStr" s="25">
        <is>
          <t xml:space="preserve">Calculation</t>
        </is>
      </c>
      <c r="B894">
        <f>IF(IF(DATE(2028,9,1)=EDATE(DATE(2026,12,1),-'Model inputs'!AM13*1)="",FALSE,DATE(2028,9,1)=EDATE(DATE(2026,12,1),-'Model inputs'!AM13*1)),IF('POA — Monthly financial forecas'!Y27="","",'POA — Monthly financial forecas'!Y27),"")</f>
      </c>
    </row>
    <row r="895">
      <c r="A895" t="inlineStr" s="25">
        <is>
          <t xml:space="preserve">Calculation</t>
        </is>
      </c>
      <c r="B895">
        <f>IF(IF(DATE(2028,10,1)=EDATE(DATE(2026,12,1),-'Model inputs'!AM13*1)="",FALSE,DATE(2028,10,1)=EDATE(DATE(2026,12,1),-'Model inputs'!AM13*1)),IF('POA — Monthly financial forecas'!Z27="","",'POA — Monthly financial forecas'!Z27),"")</f>
      </c>
    </row>
    <row r="896">
      <c r="A896" t="inlineStr" s="25">
        <is>
          <t xml:space="preserve">Calculation</t>
        </is>
      </c>
      <c r="B896">
        <f>IF(IF(DATE(2028,11,1)=EDATE(DATE(2026,12,1),-'Model inputs'!AM13*1)="",FALSE,DATE(2028,11,1)=EDATE(DATE(2026,12,1),-'Model inputs'!AM13*1)),IF('POA — Monthly financial forecas'!AA27="","",'POA — Monthly financial forecas'!AA27),"")</f>
      </c>
    </row>
    <row r="897">
      <c r="A897" t="inlineStr" s="25">
        <is>
          <t xml:space="preserve">Calculation</t>
        </is>
      </c>
      <c r="B897">
        <f>IF(IF(DATE(2028,12,1)=EDATE(DATE(2026,12,1),-'Model inputs'!AM13*1)="",FALSE,DATE(2028,12,1)=EDATE(DATE(2026,12,1),-'Model inputs'!AM13*1)),IF('POA — Monthly financial forecas'!AB27="","",'POA — Monthly financial forecas'!AB27),"")</f>
      </c>
    </row>
    <row r="898">
      <c r="A898" t="inlineStr" s="25">
        <is>
          <t xml:space="preserve">Calculation</t>
        </is>
      </c>
      <c r="B898">
        <f>IF(IF(DATE(2029,1,1)=EDATE(DATE(2026,12,1),-'Model inputs'!AM13*1)="",FALSE,DATE(2029,1,1)=EDATE(DATE(2026,12,1),-'Model inputs'!AM13*1)),IF('POA — Monthly financial forecas'!AC27="","",'POA — Monthly financial forecas'!AC27),"")</f>
      </c>
    </row>
    <row r="899">
      <c r="A899" t="inlineStr" s="25">
        <is>
          <t xml:space="preserve">Calculation</t>
        </is>
      </c>
      <c r="B899">
        <f>IF(IF(DATE(2029,2,1)=EDATE(DATE(2026,12,1),-'Model inputs'!AM13*1)="",FALSE,DATE(2029,2,1)=EDATE(DATE(2026,12,1),-'Model inputs'!AM13*1)),IF('POA — Monthly financial forecas'!AD27="","",'POA — Monthly financial forecas'!AD27),"")</f>
      </c>
    </row>
    <row r="900">
      <c r="A900" t="inlineStr" s="25">
        <is>
          <t xml:space="preserve">Calculation</t>
        </is>
      </c>
      <c r="B900">
        <f>IF(IF(DATE(2029,3,1)=EDATE(DATE(2026,12,1),-'Model inputs'!AM13*1)="",FALSE,DATE(2029,3,1)=EDATE(DATE(2026,12,1),-'Model inputs'!AM13*1)),IF('POA — Monthly financial forecas'!AE27="","",'POA — Monthly financial forecas'!AE27),"")</f>
      </c>
    </row>
    <row r="901">
      <c r="A901" t="inlineStr" s="25">
        <is>
          <t xml:space="preserve">Calculation</t>
        </is>
      </c>
      <c r="B901">
        <f>IF(IF(DATE(2029,4,1)=EDATE(DATE(2026,12,1),-'Model inputs'!AM13*1)="",FALSE,DATE(2029,4,1)=EDATE(DATE(2026,12,1),-'Model inputs'!AM13*1)),IF('POA — Monthly financial forecas'!AF27="","",'POA — Monthly financial forecas'!AF27),"")</f>
      </c>
    </row>
    <row r="902">
      <c r="A902" t="inlineStr" s="25">
        <is>
          <t xml:space="preserve">Calculation</t>
        </is>
      </c>
      <c r="B902">
        <f>IF(IF(DATE(2029,5,1)=EDATE(DATE(2026,12,1),-'Model inputs'!AM13*1)="",FALSE,DATE(2029,5,1)=EDATE(DATE(2026,12,1),-'Model inputs'!AM13*1)),IF('POA — Monthly financial forecas'!AG27="","",'POA — Monthly financial forecas'!AG27),"")</f>
      </c>
    </row>
    <row r="903">
      <c r="A903" t="inlineStr" s="25">
        <is>
          <t xml:space="preserve">Calculation</t>
        </is>
      </c>
      <c r="B903">
        <f>IF(IF(DATE(2029,6,1)=EDATE(DATE(2026,12,1),-'Model inputs'!AM13*1)="",FALSE,DATE(2029,6,1)=EDATE(DATE(2026,12,1),-'Model inputs'!AM13*1)),IF('POA — Monthly financial forecas'!AH27="","",'POA — Monthly financial forecas'!AH27),"")</f>
      </c>
    </row>
    <row r="904">
      <c r="A904" t="inlineStr" s="25">
        <is>
          <t xml:space="preserve">Calculation</t>
        </is>
      </c>
      <c r="B904">
        <f>IF(IF(DATE(2029,7,1)=EDATE(DATE(2026,12,1),-'Model inputs'!AM13*1)="",FALSE,DATE(2029,7,1)=EDATE(DATE(2026,12,1),-'Model inputs'!AM13*1)),IF('POA — Monthly financial forecas'!AI27="","",'POA — Monthly financial forecas'!AI27),"")</f>
      </c>
    </row>
    <row r="905">
      <c r="A905" t="inlineStr" s="25">
        <is>
          <t xml:space="preserve">Calculation</t>
        </is>
      </c>
      <c r="B905">
        <f>IF(IF(DATE(2029,8,1)=EDATE(DATE(2026,12,1),-'Model inputs'!AM13*1)="",FALSE,DATE(2029,8,1)=EDATE(DATE(2026,12,1),-'Model inputs'!AM13*1)),IF('POA — Monthly financial forecas'!AJ27="","",'POA — Monthly financial forecas'!AJ27),"")</f>
      </c>
    </row>
    <row r="906">
      <c r="A906" t="inlineStr" s="25">
        <is>
          <t xml:space="preserve">Calculation</t>
        </is>
      </c>
      <c r="B906">
        <f>IF(IF(DATE(2029,9,1)=EDATE(DATE(2026,12,1),-'Model inputs'!AM13*1)="",FALSE,DATE(2029,9,1)=EDATE(DATE(2026,12,1),-'Model inputs'!AM13*1)),IF('POA — Monthly financial forecas'!AK27="","",'POA — Monthly financial forecas'!AK27),"")</f>
      </c>
    </row>
    <row r="907">
      <c r="A907" t="inlineStr" s="25">
        <is>
          <t xml:space="preserve">Calculation</t>
        </is>
      </c>
      <c r="B907">
        <f>IF(IF(DATE(2026,9,1)=EDATE(DATE(2026,12,1),-'Model inputs'!AM13*1)="",FALSE,DATE(2026,9,1)=EDATE(DATE(2026,12,1),-'Model inputs'!AM13*1)),IF('Model inputs'!B85="","",'Model inputs'!B85),"")</f>
      </c>
    </row>
    <row r="908">
      <c r="A908" t="inlineStr" s="25">
        <is>
          <t xml:space="preserve">Calculation</t>
        </is>
      </c>
      <c r="B908">
        <f>SUM(IF(IF('Model inputs'!B871="",0,1)="",0,IF('Model inputs'!B871="",0,1)),IF(IF('Model inputs'!B872="",0,1)="",0,IF('Model inputs'!B872="",0,1)),IF(IF('Model inputs'!B873="",0,1)="",0,IF('Model inputs'!B873="",0,1)),IF(IF('Model inputs'!B874="",0,1)="",0,IF('Model inputs'!B874="",0,1)),IF(IF('Model inputs'!B875="",0,1)="",0,IF('Model inputs'!B875="",0,1)),IF(IF('Model inputs'!B876="",0,1)="",0,IF('Model inputs'!B876="",0,1)),IF(IF('Model inputs'!B877="",0,1)="",0,IF('Model inputs'!B877="",0,1)),IF(IF('Model inputs'!B878="",0,1)="",0,IF('Model inputs'!B878="",0,1)),IF(IF('Model inputs'!B879="",0,1)="",0,IF('Model inputs'!B879="",0,1)),IF(IF('Model inputs'!B880="",0,1)="",0,IF('Model inputs'!B880="",0,1)),IF(IF('Model inputs'!B881="",0,1)="",0,IF('Model inputs'!B881="",0,1)),IF(IF('Model inputs'!B882="",0,1)="",0,IF('Model inputs'!B882="",0,1)),IF(IF('Model inputs'!B883="",0,1)="",0,IF('Model inputs'!B883="",0,1)),IF(IF('Model inputs'!B884="",0,1)="",0,IF('Model inputs'!B884="",0,1)),IF(IF('Model inputs'!B885="",0,1)="",0,IF('Model inputs'!B885="",0,1)),IF(IF('Model inputs'!B886="",0,1)="",0,IF('Model inputs'!B886="",0,1)),IF(IF('Model inputs'!B887="",0,1)="",0,IF('Model inputs'!B887="",0,1)),IF(IF('Model inputs'!B888="",0,1)="",0,IF('Model inputs'!B888="",0,1)),IF(IF('Model inputs'!B889="",0,1)="",0,IF('Model inputs'!B889="",0,1)),IF(IF('Model inputs'!B890="",0,1)="",0,IF('Model inputs'!B890="",0,1)),IF(IF('Model inputs'!B891="",0,1)="",0,IF('Model inputs'!B891="",0,1)),IF(IF('Model inputs'!B892="",0,1)="",0,IF('Model inputs'!B892="",0,1)),IF(IF('Model inputs'!B893="",0,1)="",0,IF('Model inputs'!B893="",0,1)),IF(IF('Model inputs'!B894="",0,1)="",0,IF('Model inputs'!B894="",0,1)),IF(IF('Model inputs'!B895="",0,1)="",0,IF('Model inputs'!B895="",0,1)),IF(IF('Model inputs'!B896="",0,1)="",0,IF('Model inputs'!B896="",0,1)),IF(IF('Model inputs'!B897="",0,1)="",0,IF('Model inputs'!B897="",0,1)),IF(IF('Model inputs'!B898="",0,1)="",0,IF('Model inputs'!B898="",0,1)),IF(IF('Model inputs'!B899="",0,1)="",0,IF('Model inputs'!B899="",0,1)),IF(IF('Model inputs'!B900="",0,1)="",0,IF('Model inputs'!B900="",0,1)),IF(IF('Model inputs'!B901="",0,1)="",0,IF('Model inputs'!B901="",0,1)),IF(IF('Model inputs'!B902="",0,1)="",0,IF('Model inputs'!B902="",0,1)),IF(IF('Model inputs'!B903="",0,1)="",0,IF('Model inputs'!B903="",0,1)),IF(IF('Model inputs'!B904="",0,1)="",0,IF('Model inputs'!B904="",0,1)),IF(IF('Model inputs'!B905="",0,1)="",0,IF('Model inputs'!B905="",0,1)),IF(IF('Model inputs'!B906="",0,1)="",0,IF('Model inputs'!B906="",0,1)),IF(IF('Model inputs'!B907="",0,1)="",0,IF('Model inputs'!B907="",0,1)))</f>
      </c>
    </row>
    <row r="909">
      <c r="A909" t="inlineStr" s="25">
        <is>
          <t xml:space="preserve">Calculation</t>
        </is>
      </c>
      <c r="B909">
        <f>IF(IF(DATE(2026,10,1)=EDATE(DATE(2027,1,1),-'Model inputs'!AM13*1)="",FALSE,DATE(2026,10,1)=EDATE(DATE(2027,1,1),-'Model inputs'!AM13*1)),IF('POA — Monthly financial forecas'!B27="","",'POA — Monthly financial forecas'!B27),"")</f>
      </c>
    </row>
    <row r="910">
      <c r="A910" t="inlineStr" s="25">
        <is>
          <t xml:space="preserve">Calculation</t>
        </is>
      </c>
      <c r="B910">
        <f>IF(IF(DATE(2026,11,1)=EDATE(DATE(2027,1,1),-'Model inputs'!AM13*1)="",FALSE,DATE(2026,11,1)=EDATE(DATE(2027,1,1),-'Model inputs'!AM13*1)),IF('POA — Monthly financial forecas'!C27="","",'POA — Monthly financial forecas'!C27),"")</f>
      </c>
    </row>
    <row r="911">
      <c r="A911" t="inlineStr" s="25">
        <is>
          <t xml:space="preserve">Calculation</t>
        </is>
      </c>
      <c r="B911">
        <f>IF(IF(DATE(2026,12,1)=EDATE(DATE(2027,1,1),-'Model inputs'!AM13*1)="",FALSE,DATE(2026,12,1)=EDATE(DATE(2027,1,1),-'Model inputs'!AM13*1)),IF('POA — Monthly financial forecas'!D27="","",'POA — Monthly financial forecas'!D27),"")</f>
      </c>
    </row>
    <row r="912">
      <c r="A912" t="inlineStr" s="25">
        <is>
          <t xml:space="preserve">Calculation</t>
        </is>
      </c>
      <c r="B912">
        <f>IF(IF(DATE(2027,1,1)=EDATE(DATE(2027,1,1),-'Model inputs'!AM13*1)="",FALSE,DATE(2027,1,1)=EDATE(DATE(2027,1,1),-'Model inputs'!AM13*1)),IF('POA — Monthly financial forecas'!E27="","",'POA — Monthly financial forecas'!E27),"")</f>
      </c>
    </row>
    <row r="913">
      <c r="A913" t="inlineStr" s="25">
        <is>
          <t xml:space="preserve">Calculation</t>
        </is>
      </c>
      <c r="B913">
        <f>IF(IF(DATE(2027,2,1)=EDATE(DATE(2027,1,1),-'Model inputs'!AM13*1)="",FALSE,DATE(2027,2,1)=EDATE(DATE(2027,1,1),-'Model inputs'!AM13*1)),IF('POA — Monthly financial forecas'!F27="","",'POA — Monthly financial forecas'!F27),"")</f>
      </c>
    </row>
    <row r="914">
      <c r="A914" t="inlineStr" s="25">
        <is>
          <t xml:space="preserve">Calculation</t>
        </is>
      </c>
      <c r="B914">
        <f>IF(IF(DATE(2027,3,1)=EDATE(DATE(2027,1,1),-'Model inputs'!AM13*1)="",FALSE,DATE(2027,3,1)=EDATE(DATE(2027,1,1),-'Model inputs'!AM13*1)),IF('POA — Monthly financial forecas'!G27="","",'POA — Monthly financial forecas'!G27),"")</f>
      </c>
    </row>
    <row r="915">
      <c r="A915" t="inlineStr" s="25">
        <is>
          <t xml:space="preserve">Calculation</t>
        </is>
      </c>
      <c r="B915">
        <f>IF(IF(DATE(2027,4,1)=EDATE(DATE(2027,1,1),-'Model inputs'!AM13*1)="",FALSE,DATE(2027,4,1)=EDATE(DATE(2027,1,1),-'Model inputs'!AM13*1)),IF('POA — Monthly financial forecas'!H27="","",'POA — Monthly financial forecas'!H27),"")</f>
      </c>
    </row>
    <row r="916">
      <c r="A916" t="inlineStr" s="25">
        <is>
          <t xml:space="preserve">Calculation</t>
        </is>
      </c>
      <c r="B916">
        <f>IF(IF(DATE(2027,5,1)=EDATE(DATE(2027,1,1),-'Model inputs'!AM13*1)="",FALSE,DATE(2027,5,1)=EDATE(DATE(2027,1,1),-'Model inputs'!AM13*1)),IF('POA — Monthly financial forecas'!I27="","",'POA — Monthly financial forecas'!I27),"")</f>
      </c>
    </row>
    <row r="917">
      <c r="A917" t="inlineStr" s="25">
        <is>
          <t xml:space="preserve">Calculation</t>
        </is>
      </c>
      <c r="B917">
        <f>IF(IF(DATE(2027,6,1)=EDATE(DATE(2027,1,1),-'Model inputs'!AM13*1)="",FALSE,DATE(2027,6,1)=EDATE(DATE(2027,1,1),-'Model inputs'!AM13*1)),IF('POA — Monthly financial forecas'!J27="","",'POA — Monthly financial forecas'!J27),"")</f>
      </c>
    </row>
    <row r="918">
      <c r="A918" t="inlineStr" s="25">
        <is>
          <t xml:space="preserve">Calculation</t>
        </is>
      </c>
      <c r="B918">
        <f>IF(IF(DATE(2027,7,1)=EDATE(DATE(2027,1,1),-'Model inputs'!AM13*1)="",FALSE,DATE(2027,7,1)=EDATE(DATE(2027,1,1),-'Model inputs'!AM13*1)),IF('POA — Monthly financial forecas'!K27="","",'POA — Monthly financial forecas'!K27),"")</f>
      </c>
    </row>
    <row r="919">
      <c r="A919" t="inlineStr" s="25">
        <is>
          <t xml:space="preserve">Calculation</t>
        </is>
      </c>
      <c r="B919">
        <f>IF(IF(DATE(2027,8,1)=EDATE(DATE(2027,1,1),-'Model inputs'!AM13*1)="",FALSE,DATE(2027,8,1)=EDATE(DATE(2027,1,1),-'Model inputs'!AM13*1)),IF('POA — Monthly financial forecas'!L27="","",'POA — Monthly financial forecas'!L27),"")</f>
      </c>
    </row>
    <row r="920">
      <c r="A920" t="inlineStr" s="25">
        <is>
          <t xml:space="preserve">Calculation</t>
        </is>
      </c>
      <c r="B920">
        <f>IF(IF(DATE(2027,9,1)=EDATE(DATE(2027,1,1),-'Model inputs'!AM13*1)="",FALSE,DATE(2027,9,1)=EDATE(DATE(2027,1,1),-'Model inputs'!AM13*1)),IF('POA — Monthly financial forecas'!M27="","",'POA — Monthly financial forecas'!M27),"")</f>
      </c>
    </row>
    <row r="921">
      <c r="A921" t="inlineStr" s="25">
        <is>
          <t xml:space="preserve">Calculation</t>
        </is>
      </c>
      <c r="B921">
        <f>IF(IF(DATE(2027,10,1)=EDATE(DATE(2027,1,1),-'Model inputs'!AM13*1)="",FALSE,DATE(2027,10,1)=EDATE(DATE(2027,1,1),-'Model inputs'!AM13*1)),IF('POA — Monthly financial forecas'!N27="","",'POA — Monthly financial forecas'!N27),"")</f>
      </c>
    </row>
    <row r="922">
      <c r="A922" t="inlineStr" s="25">
        <is>
          <t xml:space="preserve">Calculation</t>
        </is>
      </c>
      <c r="B922">
        <f>IF(IF(DATE(2027,11,1)=EDATE(DATE(2027,1,1),-'Model inputs'!AM13*1)="",FALSE,DATE(2027,11,1)=EDATE(DATE(2027,1,1),-'Model inputs'!AM13*1)),IF('POA — Monthly financial forecas'!O27="","",'POA — Monthly financial forecas'!O27),"")</f>
      </c>
    </row>
    <row r="923">
      <c r="A923" t="inlineStr" s="25">
        <is>
          <t xml:space="preserve">Calculation</t>
        </is>
      </c>
      <c r="B923">
        <f>IF(IF(DATE(2027,12,1)=EDATE(DATE(2027,1,1),-'Model inputs'!AM13*1)="",FALSE,DATE(2027,12,1)=EDATE(DATE(2027,1,1),-'Model inputs'!AM13*1)),IF('POA — Monthly financial forecas'!P27="","",'POA — Monthly financial forecas'!P27),"")</f>
      </c>
    </row>
    <row r="924">
      <c r="A924" t="inlineStr" s="25">
        <is>
          <t xml:space="preserve">Calculation</t>
        </is>
      </c>
      <c r="B924">
        <f>IF(IF(DATE(2028,1,1)=EDATE(DATE(2027,1,1),-'Model inputs'!AM13*1)="",FALSE,DATE(2028,1,1)=EDATE(DATE(2027,1,1),-'Model inputs'!AM13*1)),IF('POA — Monthly financial forecas'!Q27="","",'POA — Monthly financial forecas'!Q27),"")</f>
      </c>
    </row>
    <row r="925">
      <c r="A925" t="inlineStr" s="25">
        <is>
          <t xml:space="preserve">Calculation</t>
        </is>
      </c>
      <c r="B925">
        <f>IF(IF(DATE(2028,2,1)=EDATE(DATE(2027,1,1),-'Model inputs'!AM13*1)="",FALSE,DATE(2028,2,1)=EDATE(DATE(2027,1,1),-'Model inputs'!AM13*1)),IF('POA — Monthly financial forecas'!R27="","",'POA — Monthly financial forecas'!R27),"")</f>
      </c>
    </row>
    <row r="926">
      <c r="A926" t="inlineStr" s="25">
        <is>
          <t xml:space="preserve">Calculation</t>
        </is>
      </c>
      <c r="B926">
        <f>IF(IF(DATE(2028,3,1)=EDATE(DATE(2027,1,1),-'Model inputs'!AM13*1)="",FALSE,DATE(2028,3,1)=EDATE(DATE(2027,1,1),-'Model inputs'!AM13*1)),IF('POA — Monthly financial forecas'!S27="","",'POA — Monthly financial forecas'!S27),"")</f>
      </c>
    </row>
    <row r="927">
      <c r="A927" t="inlineStr" s="25">
        <is>
          <t xml:space="preserve">Calculation</t>
        </is>
      </c>
      <c r="B927">
        <f>IF(IF(DATE(2028,4,1)=EDATE(DATE(2027,1,1),-'Model inputs'!AM13*1)="",FALSE,DATE(2028,4,1)=EDATE(DATE(2027,1,1),-'Model inputs'!AM13*1)),IF('POA — Monthly financial forecas'!T27="","",'POA — Monthly financial forecas'!T27),"")</f>
      </c>
    </row>
    <row r="928">
      <c r="A928" t="inlineStr" s="25">
        <is>
          <t xml:space="preserve">Calculation</t>
        </is>
      </c>
      <c r="B928">
        <f>IF(IF(DATE(2028,5,1)=EDATE(DATE(2027,1,1),-'Model inputs'!AM13*1)="",FALSE,DATE(2028,5,1)=EDATE(DATE(2027,1,1),-'Model inputs'!AM13*1)),IF('POA — Monthly financial forecas'!U27="","",'POA — Monthly financial forecas'!U27),"")</f>
      </c>
    </row>
    <row r="929">
      <c r="A929" t="inlineStr" s="25">
        <is>
          <t xml:space="preserve">Calculation</t>
        </is>
      </c>
      <c r="B929">
        <f>IF(IF(DATE(2028,6,1)=EDATE(DATE(2027,1,1),-'Model inputs'!AM13*1)="",FALSE,DATE(2028,6,1)=EDATE(DATE(2027,1,1),-'Model inputs'!AM13*1)),IF('POA — Monthly financial forecas'!V27="","",'POA — Monthly financial forecas'!V27),"")</f>
      </c>
    </row>
    <row r="930">
      <c r="A930" t="inlineStr" s="25">
        <is>
          <t xml:space="preserve">Calculation</t>
        </is>
      </c>
      <c r="B930">
        <f>IF(IF(DATE(2028,7,1)=EDATE(DATE(2027,1,1),-'Model inputs'!AM13*1)="",FALSE,DATE(2028,7,1)=EDATE(DATE(2027,1,1),-'Model inputs'!AM13*1)),IF('POA — Monthly financial forecas'!W27="","",'POA — Monthly financial forecas'!W27),"")</f>
      </c>
    </row>
    <row r="931">
      <c r="A931" t="inlineStr" s="25">
        <is>
          <t xml:space="preserve">Calculation</t>
        </is>
      </c>
      <c r="B931">
        <f>IF(IF(DATE(2028,8,1)=EDATE(DATE(2027,1,1),-'Model inputs'!AM13*1)="",FALSE,DATE(2028,8,1)=EDATE(DATE(2027,1,1),-'Model inputs'!AM13*1)),IF('POA — Monthly financial forecas'!X27="","",'POA — Monthly financial forecas'!X27),"")</f>
      </c>
    </row>
    <row r="932">
      <c r="A932" t="inlineStr" s="25">
        <is>
          <t xml:space="preserve">Calculation</t>
        </is>
      </c>
      <c r="B932">
        <f>IF(IF(DATE(2028,9,1)=EDATE(DATE(2027,1,1),-'Model inputs'!AM13*1)="",FALSE,DATE(2028,9,1)=EDATE(DATE(2027,1,1),-'Model inputs'!AM13*1)),IF('POA — Monthly financial forecas'!Y27="","",'POA — Monthly financial forecas'!Y27),"")</f>
      </c>
    </row>
    <row r="933">
      <c r="A933" t="inlineStr" s="25">
        <is>
          <t xml:space="preserve">Calculation</t>
        </is>
      </c>
      <c r="B933">
        <f>IF(IF(DATE(2028,10,1)=EDATE(DATE(2027,1,1),-'Model inputs'!AM13*1)="",FALSE,DATE(2028,10,1)=EDATE(DATE(2027,1,1),-'Model inputs'!AM13*1)),IF('POA — Monthly financial forecas'!Z27="","",'POA — Monthly financial forecas'!Z27),"")</f>
      </c>
    </row>
    <row r="934">
      <c r="A934" t="inlineStr" s="25">
        <is>
          <t xml:space="preserve">Calculation</t>
        </is>
      </c>
      <c r="B934">
        <f>IF(IF(DATE(2028,11,1)=EDATE(DATE(2027,1,1),-'Model inputs'!AM13*1)="",FALSE,DATE(2028,11,1)=EDATE(DATE(2027,1,1),-'Model inputs'!AM13*1)),IF('POA — Monthly financial forecas'!AA27="","",'POA — Monthly financial forecas'!AA27),"")</f>
      </c>
    </row>
    <row r="935">
      <c r="A935" t="inlineStr" s="25">
        <is>
          <t xml:space="preserve">Calculation</t>
        </is>
      </c>
      <c r="B935">
        <f>IF(IF(DATE(2028,12,1)=EDATE(DATE(2027,1,1),-'Model inputs'!AM13*1)="",FALSE,DATE(2028,12,1)=EDATE(DATE(2027,1,1),-'Model inputs'!AM13*1)),IF('POA — Monthly financial forecas'!AB27="","",'POA — Monthly financial forecas'!AB27),"")</f>
      </c>
    </row>
    <row r="936">
      <c r="A936" t="inlineStr" s="25">
        <is>
          <t xml:space="preserve">Calculation</t>
        </is>
      </c>
      <c r="B936">
        <f>IF(IF(DATE(2029,1,1)=EDATE(DATE(2027,1,1),-'Model inputs'!AM13*1)="",FALSE,DATE(2029,1,1)=EDATE(DATE(2027,1,1),-'Model inputs'!AM13*1)),IF('POA — Monthly financial forecas'!AC27="","",'POA — Monthly financial forecas'!AC27),"")</f>
      </c>
    </row>
    <row r="937">
      <c r="A937" t="inlineStr" s="25">
        <is>
          <t xml:space="preserve">Calculation</t>
        </is>
      </c>
      <c r="B937">
        <f>IF(IF(DATE(2029,2,1)=EDATE(DATE(2027,1,1),-'Model inputs'!AM13*1)="",FALSE,DATE(2029,2,1)=EDATE(DATE(2027,1,1),-'Model inputs'!AM13*1)),IF('POA — Monthly financial forecas'!AD27="","",'POA — Monthly financial forecas'!AD27),"")</f>
      </c>
    </row>
    <row r="938">
      <c r="A938" t="inlineStr" s="25">
        <is>
          <t xml:space="preserve">Calculation</t>
        </is>
      </c>
      <c r="B938">
        <f>IF(IF(DATE(2029,3,1)=EDATE(DATE(2027,1,1),-'Model inputs'!AM13*1)="",FALSE,DATE(2029,3,1)=EDATE(DATE(2027,1,1),-'Model inputs'!AM13*1)),IF('POA — Monthly financial forecas'!AE27="","",'POA — Monthly financial forecas'!AE27),"")</f>
      </c>
    </row>
    <row r="939">
      <c r="A939" t="inlineStr" s="25">
        <is>
          <t xml:space="preserve">Calculation</t>
        </is>
      </c>
      <c r="B939">
        <f>IF(IF(DATE(2029,4,1)=EDATE(DATE(2027,1,1),-'Model inputs'!AM13*1)="",FALSE,DATE(2029,4,1)=EDATE(DATE(2027,1,1),-'Model inputs'!AM13*1)),IF('POA — Monthly financial forecas'!AF27="","",'POA — Monthly financial forecas'!AF27),"")</f>
      </c>
    </row>
    <row r="940">
      <c r="A940" t="inlineStr" s="25">
        <is>
          <t xml:space="preserve">Calculation</t>
        </is>
      </c>
      <c r="B940">
        <f>IF(IF(DATE(2029,5,1)=EDATE(DATE(2027,1,1),-'Model inputs'!AM13*1)="",FALSE,DATE(2029,5,1)=EDATE(DATE(2027,1,1),-'Model inputs'!AM13*1)),IF('POA — Monthly financial forecas'!AG27="","",'POA — Monthly financial forecas'!AG27),"")</f>
      </c>
    </row>
    <row r="941">
      <c r="A941" t="inlineStr" s="25">
        <is>
          <t xml:space="preserve">Calculation</t>
        </is>
      </c>
      <c r="B941">
        <f>IF(IF(DATE(2029,6,1)=EDATE(DATE(2027,1,1),-'Model inputs'!AM13*1)="",FALSE,DATE(2029,6,1)=EDATE(DATE(2027,1,1),-'Model inputs'!AM13*1)),IF('POA — Monthly financial forecas'!AH27="","",'POA — Monthly financial forecas'!AH27),"")</f>
      </c>
    </row>
    <row r="942">
      <c r="A942" t="inlineStr" s="25">
        <is>
          <t xml:space="preserve">Calculation</t>
        </is>
      </c>
      <c r="B942">
        <f>IF(IF(DATE(2029,7,1)=EDATE(DATE(2027,1,1),-'Model inputs'!AM13*1)="",FALSE,DATE(2029,7,1)=EDATE(DATE(2027,1,1),-'Model inputs'!AM13*1)),IF('POA — Monthly financial forecas'!AI27="","",'POA — Monthly financial forecas'!AI27),"")</f>
      </c>
    </row>
    <row r="943">
      <c r="A943" t="inlineStr" s="25">
        <is>
          <t xml:space="preserve">Calculation</t>
        </is>
      </c>
      <c r="B943">
        <f>IF(IF(DATE(2029,8,1)=EDATE(DATE(2027,1,1),-'Model inputs'!AM13*1)="",FALSE,DATE(2029,8,1)=EDATE(DATE(2027,1,1),-'Model inputs'!AM13*1)),IF('POA — Monthly financial forecas'!AJ27="","",'POA — Monthly financial forecas'!AJ27),"")</f>
      </c>
    </row>
    <row r="944">
      <c r="A944" t="inlineStr" s="25">
        <is>
          <t xml:space="preserve">Calculation</t>
        </is>
      </c>
      <c r="B944">
        <f>IF(IF(DATE(2029,9,1)=EDATE(DATE(2027,1,1),-'Model inputs'!AM13*1)="",FALSE,DATE(2029,9,1)=EDATE(DATE(2027,1,1),-'Model inputs'!AM13*1)),IF('POA — Monthly financial forecas'!AK27="","",'POA — Monthly financial forecas'!AK27),"")</f>
      </c>
    </row>
    <row r="945">
      <c r="A945" t="inlineStr" s="25">
        <is>
          <t xml:space="preserve">Calculation</t>
        </is>
      </c>
      <c r="B945">
        <f>IF(IF(DATE(2026,9,1)=EDATE(DATE(2027,1,1),-'Model inputs'!AM13*1)="",FALSE,DATE(2026,9,1)=EDATE(DATE(2027,1,1),-'Model inputs'!AM13*1)),IF('Model inputs'!B85="","",'Model inputs'!B85),"")</f>
      </c>
    </row>
    <row r="946">
      <c r="A946" t="inlineStr" s="25">
        <is>
          <t xml:space="preserve">Calculation</t>
        </is>
      </c>
      <c r="B946">
        <f>SUM(IF(IF('Model inputs'!B909="",0,1)="",0,IF('Model inputs'!B909="",0,1)),IF(IF('Model inputs'!B910="",0,1)="",0,IF('Model inputs'!B910="",0,1)),IF(IF('Model inputs'!B911="",0,1)="",0,IF('Model inputs'!B911="",0,1)),IF(IF('Model inputs'!B912="",0,1)="",0,IF('Model inputs'!B912="",0,1)),IF(IF('Model inputs'!B913="",0,1)="",0,IF('Model inputs'!B913="",0,1)),IF(IF('Model inputs'!B914="",0,1)="",0,IF('Model inputs'!B914="",0,1)),IF(IF('Model inputs'!B915="",0,1)="",0,IF('Model inputs'!B915="",0,1)),IF(IF('Model inputs'!B916="",0,1)="",0,IF('Model inputs'!B916="",0,1)),IF(IF('Model inputs'!B917="",0,1)="",0,IF('Model inputs'!B917="",0,1)),IF(IF('Model inputs'!B918="",0,1)="",0,IF('Model inputs'!B918="",0,1)),IF(IF('Model inputs'!B919="",0,1)="",0,IF('Model inputs'!B919="",0,1)),IF(IF('Model inputs'!B920="",0,1)="",0,IF('Model inputs'!B920="",0,1)),IF(IF('Model inputs'!B921="",0,1)="",0,IF('Model inputs'!B921="",0,1)),IF(IF('Model inputs'!B922="",0,1)="",0,IF('Model inputs'!B922="",0,1)),IF(IF('Model inputs'!B923="",0,1)="",0,IF('Model inputs'!B923="",0,1)),IF(IF('Model inputs'!B924="",0,1)="",0,IF('Model inputs'!B924="",0,1)),IF(IF('Model inputs'!B925="",0,1)="",0,IF('Model inputs'!B925="",0,1)),IF(IF('Model inputs'!B926="",0,1)="",0,IF('Model inputs'!B926="",0,1)),IF(IF('Model inputs'!B927="",0,1)="",0,IF('Model inputs'!B927="",0,1)),IF(IF('Model inputs'!B928="",0,1)="",0,IF('Model inputs'!B928="",0,1)),IF(IF('Model inputs'!B929="",0,1)="",0,IF('Model inputs'!B929="",0,1)),IF(IF('Model inputs'!B930="",0,1)="",0,IF('Model inputs'!B930="",0,1)),IF(IF('Model inputs'!B931="",0,1)="",0,IF('Model inputs'!B931="",0,1)),IF(IF('Model inputs'!B932="",0,1)="",0,IF('Model inputs'!B932="",0,1)),IF(IF('Model inputs'!B933="",0,1)="",0,IF('Model inputs'!B933="",0,1)),IF(IF('Model inputs'!B934="",0,1)="",0,IF('Model inputs'!B934="",0,1)),IF(IF('Model inputs'!B935="",0,1)="",0,IF('Model inputs'!B935="",0,1)),IF(IF('Model inputs'!B936="",0,1)="",0,IF('Model inputs'!B936="",0,1)),IF(IF('Model inputs'!B937="",0,1)="",0,IF('Model inputs'!B937="",0,1)),IF(IF('Model inputs'!B938="",0,1)="",0,IF('Model inputs'!B938="",0,1)),IF(IF('Model inputs'!B939="",0,1)="",0,IF('Model inputs'!B939="",0,1)),IF(IF('Model inputs'!B940="",0,1)="",0,IF('Model inputs'!B940="",0,1)),IF(IF('Model inputs'!B941="",0,1)="",0,IF('Model inputs'!B941="",0,1)),IF(IF('Model inputs'!B942="",0,1)="",0,IF('Model inputs'!B942="",0,1)),IF(IF('Model inputs'!B943="",0,1)="",0,IF('Model inputs'!B943="",0,1)),IF(IF('Model inputs'!B944="",0,1)="",0,IF('Model inputs'!B944="",0,1)),IF(IF('Model inputs'!B945="",0,1)="",0,IF('Model inputs'!B945="",0,1)))</f>
      </c>
    </row>
    <row r="947">
      <c r="A947" t="inlineStr" s="25">
        <is>
          <t xml:space="preserve">Calculation</t>
        </is>
      </c>
      <c r="B947">
        <f>IF(IF(DATE(2026,10,1)=EDATE(DATE(2027,2,1),-'Model inputs'!AM13*1)="",FALSE,DATE(2026,10,1)=EDATE(DATE(2027,2,1),-'Model inputs'!AM13*1)),IF('POA — Monthly financial forecas'!B27="","",'POA — Monthly financial forecas'!B27),"")</f>
      </c>
    </row>
    <row r="948">
      <c r="A948" t="inlineStr" s="25">
        <is>
          <t xml:space="preserve">Calculation</t>
        </is>
      </c>
      <c r="B948">
        <f>IF(IF(DATE(2026,11,1)=EDATE(DATE(2027,2,1),-'Model inputs'!AM13*1)="",FALSE,DATE(2026,11,1)=EDATE(DATE(2027,2,1),-'Model inputs'!AM13*1)),IF('POA — Monthly financial forecas'!C27="","",'POA — Monthly financial forecas'!C27),"")</f>
      </c>
    </row>
    <row r="949">
      <c r="A949" t="inlineStr" s="25">
        <is>
          <t xml:space="preserve">Calculation</t>
        </is>
      </c>
      <c r="B949">
        <f>IF(IF(DATE(2026,12,1)=EDATE(DATE(2027,2,1),-'Model inputs'!AM13*1)="",FALSE,DATE(2026,12,1)=EDATE(DATE(2027,2,1),-'Model inputs'!AM13*1)),IF('POA — Monthly financial forecas'!D27="","",'POA — Monthly financial forecas'!D27),"")</f>
      </c>
    </row>
    <row r="950">
      <c r="A950" t="inlineStr" s="25">
        <is>
          <t xml:space="preserve">Calculation</t>
        </is>
      </c>
      <c r="B950">
        <f>IF(IF(DATE(2027,1,1)=EDATE(DATE(2027,2,1),-'Model inputs'!AM13*1)="",FALSE,DATE(2027,1,1)=EDATE(DATE(2027,2,1),-'Model inputs'!AM13*1)),IF('POA — Monthly financial forecas'!E27="","",'POA — Monthly financial forecas'!E27),"")</f>
      </c>
    </row>
    <row r="951">
      <c r="A951" t="inlineStr" s="25">
        <is>
          <t xml:space="preserve">Calculation</t>
        </is>
      </c>
      <c r="B951">
        <f>IF(IF(DATE(2027,2,1)=EDATE(DATE(2027,2,1),-'Model inputs'!AM13*1)="",FALSE,DATE(2027,2,1)=EDATE(DATE(2027,2,1),-'Model inputs'!AM13*1)),IF('POA — Monthly financial forecas'!F27="","",'POA — Monthly financial forecas'!F27),"")</f>
      </c>
    </row>
    <row r="952">
      <c r="A952" t="inlineStr" s="25">
        <is>
          <t xml:space="preserve">Calculation</t>
        </is>
      </c>
      <c r="B952">
        <f>IF(IF(DATE(2027,3,1)=EDATE(DATE(2027,2,1),-'Model inputs'!AM13*1)="",FALSE,DATE(2027,3,1)=EDATE(DATE(2027,2,1),-'Model inputs'!AM13*1)),IF('POA — Monthly financial forecas'!G27="","",'POA — Monthly financial forecas'!G27),"")</f>
      </c>
    </row>
    <row r="953">
      <c r="A953" t="inlineStr" s="25">
        <is>
          <t xml:space="preserve">Calculation</t>
        </is>
      </c>
      <c r="B953">
        <f>IF(IF(DATE(2027,4,1)=EDATE(DATE(2027,2,1),-'Model inputs'!AM13*1)="",FALSE,DATE(2027,4,1)=EDATE(DATE(2027,2,1),-'Model inputs'!AM13*1)),IF('POA — Monthly financial forecas'!H27="","",'POA — Monthly financial forecas'!H27),"")</f>
      </c>
    </row>
    <row r="954">
      <c r="A954" t="inlineStr" s="25">
        <is>
          <t xml:space="preserve">Calculation</t>
        </is>
      </c>
      <c r="B954">
        <f>IF(IF(DATE(2027,5,1)=EDATE(DATE(2027,2,1),-'Model inputs'!AM13*1)="",FALSE,DATE(2027,5,1)=EDATE(DATE(2027,2,1),-'Model inputs'!AM13*1)),IF('POA — Monthly financial forecas'!I27="","",'POA — Monthly financial forecas'!I27),"")</f>
      </c>
    </row>
    <row r="955">
      <c r="A955" t="inlineStr" s="25">
        <is>
          <t xml:space="preserve">Calculation</t>
        </is>
      </c>
      <c r="B955">
        <f>IF(IF(DATE(2027,6,1)=EDATE(DATE(2027,2,1),-'Model inputs'!AM13*1)="",FALSE,DATE(2027,6,1)=EDATE(DATE(2027,2,1),-'Model inputs'!AM13*1)),IF('POA — Monthly financial forecas'!J27="","",'POA — Monthly financial forecas'!J27),"")</f>
      </c>
    </row>
    <row r="956">
      <c r="A956" t="inlineStr" s="25">
        <is>
          <t xml:space="preserve">Calculation</t>
        </is>
      </c>
      <c r="B956">
        <f>IF(IF(DATE(2027,7,1)=EDATE(DATE(2027,2,1),-'Model inputs'!AM13*1)="",FALSE,DATE(2027,7,1)=EDATE(DATE(2027,2,1),-'Model inputs'!AM13*1)),IF('POA — Monthly financial forecas'!K27="","",'POA — Monthly financial forecas'!K27),"")</f>
      </c>
    </row>
    <row r="957">
      <c r="A957" t="inlineStr" s="25">
        <is>
          <t xml:space="preserve">Calculation</t>
        </is>
      </c>
      <c r="B957">
        <f>IF(IF(DATE(2027,8,1)=EDATE(DATE(2027,2,1),-'Model inputs'!AM13*1)="",FALSE,DATE(2027,8,1)=EDATE(DATE(2027,2,1),-'Model inputs'!AM13*1)),IF('POA — Monthly financial forecas'!L27="","",'POA — Monthly financial forecas'!L27),"")</f>
      </c>
    </row>
    <row r="958">
      <c r="A958" t="inlineStr" s="25">
        <is>
          <t xml:space="preserve">Calculation</t>
        </is>
      </c>
      <c r="B958">
        <f>IF(IF(DATE(2027,9,1)=EDATE(DATE(2027,2,1),-'Model inputs'!AM13*1)="",FALSE,DATE(2027,9,1)=EDATE(DATE(2027,2,1),-'Model inputs'!AM13*1)),IF('POA — Monthly financial forecas'!M27="","",'POA — Monthly financial forecas'!M27),"")</f>
      </c>
    </row>
    <row r="959">
      <c r="A959" t="inlineStr" s="25">
        <is>
          <t xml:space="preserve">Calculation</t>
        </is>
      </c>
      <c r="B959">
        <f>IF(IF(DATE(2027,10,1)=EDATE(DATE(2027,2,1),-'Model inputs'!AM13*1)="",FALSE,DATE(2027,10,1)=EDATE(DATE(2027,2,1),-'Model inputs'!AM13*1)),IF('POA — Monthly financial forecas'!N27="","",'POA — Monthly financial forecas'!N27),"")</f>
      </c>
    </row>
    <row r="960">
      <c r="A960" t="inlineStr" s="25">
        <is>
          <t xml:space="preserve">Calculation</t>
        </is>
      </c>
      <c r="B960">
        <f>IF(IF(DATE(2027,11,1)=EDATE(DATE(2027,2,1),-'Model inputs'!AM13*1)="",FALSE,DATE(2027,11,1)=EDATE(DATE(2027,2,1),-'Model inputs'!AM13*1)),IF('POA — Monthly financial forecas'!O27="","",'POA — Monthly financial forecas'!O27),"")</f>
      </c>
    </row>
    <row r="961">
      <c r="A961" t="inlineStr" s="25">
        <is>
          <t xml:space="preserve">Calculation</t>
        </is>
      </c>
      <c r="B961">
        <f>IF(IF(DATE(2027,12,1)=EDATE(DATE(2027,2,1),-'Model inputs'!AM13*1)="",FALSE,DATE(2027,12,1)=EDATE(DATE(2027,2,1),-'Model inputs'!AM13*1)),IF('POA — Monthly financial forecas'!P27="","",'POA — Monthly financial forecas'!P27),"")</f>
      </c>
    </row>
    <row r="962">
      <c r="A962" t="inlineStr" s="25">
        <is>
          <t xml:space="preserve">Calculation</t>
        </is>
      </c>
      <c r="B962">
        <f>IF(IF(DATE(2028,1,1)=EDATE(DATE(2027,2,1),-'Model inputs'!AM13*1)="",FALSE,DATE(2028,1,1)=EDATE(DATE(2027,2,1),-'Model inputs'!AM13*1)),IF('POA — Monthly financial forecas'!Q27="","",'POA — Monthly financial forecas'!Q27),"")</f>
      </c>
    </row>
    <row r="963">
      <c r="A963" t="inlineStr" s="25">
        <is>
          <t xml:space="preserve">Calculation</t>
        </is>
      </c>
      <c r="B963">
        <f>IF(IF(DATE(2028,2,1)=EDATE(DATE(2027,2,1),-'Model inputs'!AM13*1)="",FALSE,DATE(2028,2,1)=EDATE(DATE(2027,2,1),-'Model inputs'!AM13*1)),IF('POA — Monthly financial forecas'!R27="","",'POA — Monthly financial forecas'!R27),"")</f>
      </c>
    </row>
    <row r="964">
      <c r="A964" t="inlineStr" s="25">
        <is>
          <t xml:space="preserve">Calculation</t>
        </is>
      </c>
      <c r="B964">
        <f>IF(IF(DATE(2028,3,1)=EDATE(DATE(2027,2,1),-'Model inputs'!AM13*1)="",FALSE,DATE(2028,3,1)=EDATE(DATE(2027,2,1),-'Model inputs'!AM13*1)),IF('POA — Monthly financial forecas'!S27="","",'POA — Monthly financial forecas'!S27),"")</f>
      </c>
    </row>
    <row r="965">
      <c r="A965" t="inlineStr" s="25">
        <is>
          <t xml:space="preserve">Calculation</t>
        </is>
      </c>
      <c r="B965">
        <f>IF(IF(DATE(2028,4,1)=EDATE(DATE(2027,2,1),-'Model inputs'!AM13*1)="",FALSE,DATE(2028,4,1)=EDATE(DATE(2027,2,1),-'Model inputs'!AM13*1)),IF('POA — Monthly financial forecas'!T27="","",'POA — Monthly financial forecas'!T27),"")</f>
      </c>
    </row>
    <row r="966">
      <c r="A966" t="inlineStr" s="25">
        <is>
          <t xml:space="preserve">Calculation</t>
        </is>
      </c>
      <c r="B966">
        <f>IF(IF(DATE(2028,5,1)=EDATE(DATE(2027,2,1),-'Model inputs'!AM13*1)="",FALSE,DATE(2028,5,1)=EDATE(DATE(2027,2,1),-'Model inputs'!AM13*1)),IF('POA — Monthly financial forecas'!U27="","",'POA — Monthly financial forecas'!U27),"")</f>
      </c>
    </row>
    <row r="967">
      <c r="A967" t="inlineStr" s="25">
        <is>
          <t xml:space="preserve">Calculation</t>
        </is>
      </c>
      <c r="B967">
        <f>IF(IF(DATE(2028,6,1)=EDATE(DATE(2027,2,1),-'Model inputs'!AM13*1)="",FALSE,DATE(2028,6,1)=EDATE(DATE(2027,2,1),-'Model inputs'!AM13*1)),IF('POA — Monthly financial forecas'!V27="","",'POA — Monthly financial forecas'!V27),"")</f>
      </c>
    </row>
    <row r="968">
      <c r="A968" t="inlineStr" s="25">
        <is>
          <t xml:space="preserve">Calculation</t>
        </is>
      </c>
      <c r="B968">
        <f>IF(IF(DATE(2028,7,1)=EDATE(DATE(2027,2,1),-'Model inputs'!AM13*1)="",FALSE,DATE(2028,7,1)=EDATE(DATE(2027,2,1),-'Model inputs'!AM13*1)),IF('POA — Monthly financial forecas'!W27="","",'POA — Monthly financial forecas'!W27),"")</f>
      </c>
    </row>
    <row r="969">
      <c r="A969" t="inlineStr" s="25">
        <is>
          <t xml:space="preserve">Calculation</t>
        </is>
      </c>
      <c r="B969">
        <f>IF(IF(DATE(2028,8,1)=EDATE(DATE(2027,2,1),-'Model inputs'!AM13*1)="",FALSE,DATE(2028,8,1)=EDATE(DATE(2027,2,1),-'Model inputs'!AM13*1)),IF('POA — Monthly financial forecas'!X27="","",'POA — Monthly financial forecas'!X27),"")</f>
      </c>
    </row>
    <row r="970">
      <c r="A970" t="inlineStr" s="25">
        <is>
          <t xml:space="preserve">Calculation</t>
        </is>
      </c>
      <c r="B970">
        <f>IF(IF(DATE(2028,9,1)=EDATE(DATE(2027,2,1),-'Model inputs'!AM13*1)="",FALSE,DATE(2028,9,1)=EDATE(DATE(2027,2,1),-'Model inputs'!AM13*1)),IF('POA — Monthly financial forecas'!Y27="","",'POA — Monthly financial forecas'!Y27),"")</f>
      </c>
    </row>
    <row r="971">
      <c r="A971" t="inlineStr" s="25">
        <is>
          <t xml:space="preserve">Calculation</t>
        </is>
      </c>
      <c r="B971">
        <f>IF(IF(DATE(2028,10,1)=EDATE(DATE(2027,2,1),-'Model inputs'!AM13*1)="",FALSE,DATE(2028,10,1)=EDATE(DATE(2027,2,1),-'Model inputs'!AM13*1)),IF('POA — Monthly financial forecas'!Z27="","",'POA — Monthly financial forecas'!Z27),"")</f>
      </c>
    </row>
    <row r="972">
      <c r="A972" t="inlineStr" s="25">
        <is>
          <t xml:space="preserve">Calculation</t>
        </is>
      </c>
      <c r="B972">
        <f>IF(IF(DATE(2028,11,1)=EDATE(DATE(2027,2,1),-'Model inputs'!AM13*1)="",FALSE,DATE(2028,11,1)=EDATE(DATE(2027,2,1),-'Model inputs'!AM13*1)),IF('POA — Monthly financial forecas'!AA27="","",'POA — Monthly financial forecas'!AA27),"")</f>
      </c>
    </row>
    <row r="973">
      <c r="A973" t="inlineStr" s="25">
        <is>
          <t xml:space="preserve">Calculation</t>
        </is>
      </c>
      <c r="B973">
        <f>IF(IF(DATE(2028,12,1)=EDATE(DATE(2027,2,1),-'Model inputs'!AM13*1)="",FALSE,DATE(2028,12,1)=EDATE(DATE(2027,2,1),-'Model inputs'!AM13*1)),IF('POA — Monthly financial forecas'!AB27="","",'POA — Monthly financial forecas'!AB27),"")</f>
      </c>
    </row>
    <row r="974">
      <c r="A974" t="inlineStr" s="25">
        <is>
          <t xml:space="preserve">Calculation</t>
        </is>
      </c>
      <c r="B974">
        <f>IF(IF(DATE(2029,1,1)=EDATE(DATE(2027,2,1),-'Model inputs'!AM13*1)="",FALSE,DATE(2029,1,1)=EDATE(DATE(2027,2,1),-'Model inputs'!AM13*1)),IF('POA — Monthly financial forecas'!AC27="","",'POA — Monthly financial forecas'!AC27),"")</f>
      </c>
    </row>
    <row r="975">
      <c r="A975" t="inlineStr" s="25">
        <is>
          <t xml:space="preserve">Calculation</t>
        </is>
      </c>
      <c r="B975">
        <f>IF(IF(DATE(2029,2,1)=EDATE(DATE(2027,2,1),-'Model inputs'!AM13*1)="",FALSE,DATE(2029,2,1)=EDATE(DATE(2027,2,1),-'Model inputs'!AM13*1)),IF('POA — Monthly financial forecas'!AD27="","",'POA — Monthly financial forecas'!AD27),"")</f>
      </c>
    </row>
    <row r="976">
      <c r="A976" t="inlineStr" s="25">
        <is>
          <t xml:space="preserve">Calculation</t>
        </is>
      </c>
      <c r="B976">
        <f>IF(IF(DATE(2029,3,1)=EDATE(DATE(2027,2,1),-'Model inputs'!AM13*1)="",FALSE,DATE(2029,3,1)=EDATE(DATE(2027,2,1),-'Model inputs'!AM13*1)),IF('POA — Monthly financial forecas'!AE27="","",'POA — Monthly financial forecas'!AE27),"")</f>
      </c>
    </row>
    <row r="977">
      <c r="A977" t="inlineStr" s="25">
        <is>
          <t xml:space="preserve">Calculation</t>
        </is>
      </c>
      <c r="B977">
        <f>IF(IF(DATE(2029,4,1)=EDATE(DATE(2027,2,1),-'Model inputs'!AM13*1)="",FALSE,DATE(2029,4,1)=EDATE(DATE(2027,2,1),-'Model inputs'!AM13*1)),IF('POA — Monthly financial forecas'!AF27="","",'POA — Monthly financial forecas'!AF27),"")</f>
      </c>
    </row>
    <row r="978">
      <c r="A978" t="inlineStr" s="25">
        <is>
          <t xml:space="preserve">Calculation</t>
        </is>
      </c>
      <c r="B978">
        <f>IF(IF(DATE(2029,5,1)=EDATE(DATE(2027,2,1),-'Model inputs'!AM13*1)="",FALSE,DATE(2029,5,1)=EDATE(DATE(2027,2,1),-'Model inputs'!AM13*1)),IF('POA — Monthly financial forecas'!AG27="","",'POA — Monthly financial forecas'!AG27),"")</f>
      </c>
    </row>
    <row r="979">
      <c r="A979" t="inlineStr" s="25">
        <is>
          <t xml:space="preserve">Calculation</t>
        </is>
      </c>
      <c r="B979">
        <f>IF(IF(DATE(2029,6,1)=EDATE(DATE(2027,2,1),-'Model inputs'!AM13*1)="",FALSE,DATE(2029,6,1)=EDATE(DATE(2027,2,1),-'Model inputs'!AM13*1)),IF('POA — Monthly financial forecas'!AH27="","",'POA — Monthly financial forecas'!AH27),"")</f>
      </c>
    </row>
    <row r="980">
      <c r="A980" t="inlineStr" s="25">
        <is>
          <t xml:space="preserve">Calculation</t>
        </is>
      </c>
      <c r="B980">
        <f>IF(IF(DATE(2029,7,1)=EDATE(DATE(2027,2,1),-'Model inputs'!AM13*1)="",FALSE,DATE(2029,7,1)=EDATE(DATE(2027,2,1),-'Model inputs'!AM13*1)),IF('POA — Monthly financial forecas'!AI27="","",'POA — Monthly financial forecas'!AI27),"")</f>
      </c>
    </row>
    <row r="981">
      <c r="A981" t="inlineStr" s="25">
        <is>
          <t xml:space="preserve">Calculation</t>
        </is>
      </c>
      <c r="B981">
        <f>IF(IF(DATE(2029,8,1)=EDATE(DATE(2027,2,1),-'Model inputs'!AM13*1)="",FALSE,DATE(2029,8,1)=EDATE(DATE(2027,2,1),-'Model inputs'!AM13*1)),IF('POA — Monthly financial forecas'!AJ27="","",'POA — Monthly financial forecas'!AJ27),"")</f>
      </c>
    </row>
    <row r="982">
      <c r="A982" t="inlineStr" s="25">
        <is>
          <t xml:space="preserve">Calculation</t>
        </is>
      </c>
      <c r="B982">
        <f>IF(IF(DATE(2029,9,1)=EDATE(DATE(2027,2,1),-'Model inputs'!AM13*1)="",FALSE,DATE(2029,9,1)=EDATE(DATE(2027,2,1),-'Model inputs'!AM13*1)),IF('POA — Monthly financial forecas'!AK27="","",'POA — Monthly financial forecas'!AK27),"")</f>
      </c>
    </row>
    <row r="983">
      <c r="A983" t="inlineStr" s="25">
        <is>
          <t xml:space="preserve">Calculation</t>
        </is>
      </c>
      <c r="B983">
        <f>IF(IF(DATE(2026,9,1)=EDATE(DATE(2027,2,1),-'Model inputs'!AM13*1)="",FALSE,DATE(2026,9,1)=EDATE(DATE(2027,2,1),-'Model inputs'!AM13*1)),IF('Model inputs'!B85="","",'Model inputs'!B85),"")</f>
      </c>
    </row>
    <row r="984">
      <c r="A984" t="inlineStr" s="25">
        <is>
          <t xml:space="preserve">Calculation</t>
        </is>
      </c>
      <c r="B984">
        <f>SUM(IF(IF('Model inputs'!B947="",0,1)="",0,IF('Model inputs'!B947="",0,1)),IF(IF('Model inputs'!B948="",0,1)="",0,IF('Model inputs'!B948="",0,1)),IF(IF('Model inputs'!B949="",0,1)="",0,IF('Model inputs'!B949="",0,1)),IF(IF('Model inputs'!B950="",0,1)="",0,IF('Model inputs'!B950="",0,1)),IF(IF('Model inputs'!B951="",0,1)="",0,IF('Model inputs'!B951="",0,1)),IF(IF('Model inputs'!B952="",0,1)="",0,IF('Model inputs'!B952="",0,1)),IF(IF('Model inputs'!B953="",0,1)="",0,IF('Model inputs'!B953="",0,1)),IF(IF('Model inputs'!B954="",0,1)="",0,IF('Model inputs'!B954="",0,1)),IF(IF('Model inputs'!B955="",0,1)="",0,IF('Model inputs'!B955="",0,1)),IF(IF('Model inputs'!B956="",0,1)="",0,IF('Model inputs'!B956="",0,1)),IF(IF('Model inputs'!B957="",0,1)="",0,IF('Model inputs'!B957="",0,1)),IF(IF('Model inputs'!B958="",0,1)="",0,IF('Model inputs'!B958="",0,1)),IF(IF('Model inputs'!B959="",0,1)="",0,IF('Model inputs'!B959="",0,1)),IF(IF('Model inputs'!B960="",0,1)="",0,IF('Model inputs'!B960="",0,1)),IF(IF('Model inputs'!B961="",0,1)="",0,IF('Model inputs'!B961="",0,1)),IF(IF('Model inputs'!B962="",0,1)="",0,IF('Model inputs'!B962="",0,1)),IF(IF('Model inputs'!B963="",0,1)="",0,IF('Model inputs'!B963="",0,1)),IF(IF('Model inputs'!B964="",0,1)="",0,IF('Model inputs'!B964="",0,1)),IF(IF('Model inputs'!B965="",0,1)="",0,IF('Model inputs'!B965="",0,1)),IF(IF('Model inputs'!B966="",0,1)="",0,IF('Model inputs'!B966="",0,1)),IF(IF('Model inputs'!B967="",0,1)="",0,IF('Model inputs'!B967="",0,1)),IF(IF('Model inputs'!B968="",0,1)="",0,IF('Model inputs'!B968="",0,1)),IF(IF('Model inputs'!B969="",0,1)="",0,IF('Model inputs'!B969="",0,1)),IF(IF('Model inputs'!B970="",0,1)="",0,IF('Model inputs'!B970="",0,1)),IF(IF('Model inputs'!B971="",0,1)="",0,IF('Model inputs'!B971="",0,1)),IF(IF('Model inputs'!B972="",0,1)="",0,IF('Model inputs'!B972="",0,1)),IF(IF('Model inputs'!B973="",0,1)="",0,IF('Model inputs'!B973="",0,1)),IF(IF('Model inputs'!B974="",0,1)="",0,IF('Model inputs'!B974="",0,1)),IF(IF('Model inputs'!B975="",0,1)="",0,IF('Model inputs'!B975="",0,1)),IF(IF('Model inputs'!B976="",0,1)="",0,IF('Model inputs'!B976="",0,1)),IF(IF('Model inputs'!B977="",0,1)="",0,IF('Model inputs'!B977="",0,1)),IF(IF('Model inputs'!B978="",0,1)="",0,IF('Model inputs'!B978="",0,1)),IF(IF('Model inputs'!B979="",0,1)="",0,IF('Model inputs'!B979="",0,1)),IF(IF('Model inputs'!B980="",0,1)="",0,IF('Model inputs'!B980="",0,1)),IF(IF('Model inputs'!B981="",0,1)="",0,IF('Model inputs'!B981="",0,1)),IF(IF('Model inputs'!B982="",0,1)="",0,IF('Model inputs'!B982="",0,1)),IF(IF('Model inputs'!B983="",0,1)="",0,IF('Model inputs'!B983="",0,1)))</f>
      </c>
    </row>
    <row r="985">
      <c r="A985" t="inlineStr" s="25">
        <is>
          <t xml:space="preserve">Calculation</t>
        </is>
      </c>
      <c r="B985">
        <f>IF(IF(DATE(2026,10,1)=EDATE(DATE(2027,3,1),-'Model inputs'!AM13*1)="",FALSE,DATE(2026,10,1)=EDATE(DATE(2027,3,1),-'Model inputs'!AM13*1)),IF('POA — Monthly financial forecas'!B27="","",'POA — Monthly financial forecas'!B27),"")</f>
      </c>
    </row>
    <row r="986">
      <c r="A986" t="inlineStr" s="25">
        <is>
          <t xml:space="preserve">Calculation</t>
        </is>
      </c>
      <c r="B986">
        <f>IF(IF(DATE(2026,11,1)=EDATE(DATE(2027,3,1),-'Model inputs'!AM13*1)="",FALSE,DATE(2026,11,1)=EDATE(DATE(2027,3,1),-'Model inputs'!AM13*1)),IF('POA — Monthly financial forecas'!C27="","",'POA — Monthly financial forecas'!C27),"")</f>
      </c>
    </row>
    <row r="987">
      <c r="A987" t="inlineStr" s="25">
        <is>
          <t xml:space="preserve">Calculation</t>
        </is>
      </c>
      <c r="B987">
        <f>IF(IF(DATE(2026,12,1)=EDATE(DATE(2027,3,1),-'Model inputs'!AM13*1)="",FALSE,DATE(2026,12,1)=EDATE(DATE(2027,3,1),-'Model inputs'!AM13*1)),IF('POA — Monthly financial forecas'!D27="","",'POA — Monthly financial forecas'!D27),"")</f>
      </c>
    </row>
    <row r="988">
      <c r="A988" t="inlineStr" s="25">
        <is>
          <t xml:space="preserve">Calculation</t>
        </is>
      </c>
      <c r="B988">
        <f>IF(IF(DATE(2027,1,1)=EDATE(DATE(2027,3,1),-'Model inputs'!AM13*1)="",FALSE,DATE(2027,1,1)=EDATE(DATE(2027,3,1),-'Model inputs'!AM13*1)),IF('POA — Monthly financial forecas'!E27="","",'POA — Monthly financial forecas'!E27),"")</f>
      </c>
    </row>
    <row r="989">
      <c r="A989" t="inlineStr" s="25">
        <is>
          <t xml:space="preserve">Calculation</t>
        </is>
      </c>
      <c r="B989">
        <f>IF(IF(DATE(2027,2,1)=EDATE(DATE(2027,3,1),-'Model inputs'!AM13*1)="",FALSE,DATE(2027,2,1)=EDATE(DATE(2027,3,1),-'Model inputs'!AM13*1)),IF('POA — Monthly financial forecas'!F27="","",'POA — Monthly financial forecas'!F27),"")</f>
      </c>
    </row>
    <row r="990">
      <c r="A990" t="inlineStr" s="25">
        <is>
          <t xml:space="preserve">Calculation</t>
        </is>
      </c>
      <c r="B990">
        <f>IF(IF(DATE(2027,3,1)=EDATE(DATE(2027,3,1),-'Model inputs'!AM13*1)="",FALSE,DATE(2027,3,1)=EDATE(DATE(2027,3,1),-'Model inputs'!AM13*1)),IF('POA — Monthly financial forecas'!G27="","",'POA — Monthly financial forecas'!G27),"")</f>
      </c>
    </row>
    <row r="991">
      <c r="A991" t="inlineStr" s="25">
        <is>
          <t xml:space="preserve">Calculation</t>
        </is>
      </c>
      <c r="B991">
        <f>IF(IF(DATE(2027,4,1)=EDATE(DATE(2027,3,1),-'Model inputs'!AM13*1)="",FALSE,DATE(2027,4,1)=EDATE(DATE(2027,3,1),-'Model inputs'!AM13*1)),IF('POA — Monthly financial forecas'!H27="","",'POA — Monthly financial forecas'!H27),"")</f>
      </c>
    </row>
    <row r="992">
      <c r="A992" t="inlineStr" s="25">
        <is>
          <t xml:space="preserve">Calculation</t>
        </is>
      </c>
      <c r="B992">
        <f>IF(IF(DATE(2027,5,1)=EDATE(DATE(2027,3,1),-'Model inputs'!AM13*1)="",FALSE,DATE(2027,5,1)=EDATE(DATE(2027,3,1),-'Model inputs'!AM13*1)),IF('POA — Monthly financial forecas'!I27="","",'POA — Monthly financial forecas'!I27),"")</f>
      </c>
    </row>
    <row r="993">
      <c r="A993" t="inlineStr" s="25">
        <is>
          <t xml:space="preserve">Calculation</t>
        </is>
      </c>
      <c r="B993">
        <f>IF(IF(DATE(2027,6,1)=EDATE(DATE(2027,3,1),-'Model inputs'!AM13*1)="",FALSE,DATE(2027,6,1)=EDATE(DATE(2027,3,1),-'Model inputs'!AM13*1)),IF('POA — Monthly financial forecas'!J27="","",'POA — Monthly financial forecas'!J27),"")</f>
      </c>
    </row>
    <row r="994">
      <c r="A994" t="inlineStr" s="25">
        <is>
          <t xml:space="preserve">Calculation</t>
        </is>
      </c>
      <c r="B994">
        <f>IF(IF(DATE(2027,7,1)=EDATE(DATE(2027,3,1),-'Model inputs'!AM13*1)="",FALSE,DATE(2027,7,1)=EDATE(DATE(2027,3,1),-'Model inputs'!AM13*1)),IF('POA — Monthly financial forecas'!K27="","",'POA — Monthly financial forecas'!K27),"")</f>
      </c>
    </row>
    <row r="995">
      <c r="A995" t="inlineStr" s="25">
        <is>
          <t xml:space="preserve">Calculation</t>
        </is>
      </c>
      <c r="B995">
        <f>IF(IF(DATE(2027,8,1)=EDATE(DATE(2027,3,1),-'Model inputs'!AM13*1)="",FALSE,DATE(2027,8,1)=EDATE(DATE(2027,3,1),-'Model inputs'!AM13*1)),IF('POA — Monthly financial forecas'!L27="","",'POA — Monthly financial forecas'!L27),"")</f>
      </c>
    </row>
    <row r="996">
      <c r="A996" t="inlineStr" s="25">
        <is>
          <t xml:space="preserve">Calculation</t>
        </is>
      </c>
      <c r="B996">
        <f>IF(IF(DATE(2027,9,1)=EDATE(DATE(2027,3,1),-'Model inputs'!AM13*1)="",FALSE,DATE(2027,9,1)=EDATE(DATE(2027,3,1),-'Model inputs'!AM13*1)),IF('POA — Monthly financial forecas'!M27="","",'POA — Monthly financial forecas'!M27),"")</f>
      </c>
    </row>
    <row r="997">
      <c r="A997" t="inlineStr" s="25">
        <is>
          <t xml:space="preserve">Calculation</t>
        </is>
      </c>
      <c r="B997">
        <f>IF(IF(DATE(2027,10,1)=EDATE(DATE(2027,3,1),-'Model inputs'!AM13*1)="",FALSE,DATE(2027,10,1)=EDATE(DATE(2027,3,1),-'Model inputs'!AM13*1)),IF('POA — Monthly financial forecas'!N27="","",'POA — Monthly financial forecas'!N27),"")</f>
      </c>
    </row>
    <row r="998">
      <c r="A998" t="inlineStr" s="25">
        <is>
          <t xml:space="preserve">Calculation</t>
        </is>
      </c>
      <c r="B998">
        <f>IF(IF(DATE(2027,11,1)=EDATE(DATE(2027,3,1),-'Model inputs'!AM13*1)="",FALSE,DATE(2027,11,1)=EDATE(DATE(2027,3,1),-'Model inputs'!AM13*1)),IF('POA — Monthly financial forecas'!O27="","",'POA — Monthly financial forecas'!O27),"")</f>
      </c>
    </row>
    <row r="999">
      <c r="A999" t="inlineStr" s="25">
        <is>
          <t xml:space="preserve">Calculation</t>
        </is>
      </c>
      <c r="B999">
        <f>IF(IF(DATE(2027,12,1)=EDATE(DATE(2027,3,1),-'Model inputs'!AM13*1)="",FALSE,DATE(2027,12,1)=EDATE(DATE(2027,3,1),-'Model inputs'!AM13*1)),IF('POA — Monthly financial forecas'!P27="","",'POA — Monthly financial forecas'!P27),"")</f>
      </c>
    </row>
    <row r="1000">
      <c r="A1000" t="inlineStr" s="25">
        <is>
          <t xml:space="preserve">Calculation</t>
        </is>
      </c>
      <c r="B1000">
        <f>IF(IF(DATE(2028,1,1)=EDATE(DATE(2027,3,1),-'Model inputs'!AM13*1)="",FALSE,DATE(2028,1,1)=EDATE(DATE(2027,3,1),-'Model inputs'!AM13*1)),IF('POA — Monthly financial forecas'!Q27="","",'POA — Monthly financial forecas'!Q27),"")</f>
      </c>
    </row>
    <row r="1001">
      <c r="A1001" t="inlineStr" s="25">
        <is>
          <t xml:space="preserve">Calculation</t>
        </is>
      </c>
      <c r="B1001">
        <f>IF(IF(DATE(2028,2,1)=EDATE(DATE(2027,3,1),-'Model inputs'!AM13*1)="",FALSE,DATE(2028,2,1)=EDATE(DATE(2027,3,1),-'Model inputs'!AM13*1)),IF('POA — Monthly financial forecas'!R27="","",'POA — Monthly financial forecas'!R27),"")</f>
      </c>
    </row>
    <row r="1002">
      <c r="A1002" t="inlineStr" s="25">
        <is>
          <t xml:space="preserve">Calculation</t>
        </is>
      </c>
      <c r="B1002">
        <f>IF(IF(DATE(2028,3,1)=EDATE(DATE(2027,3,1),-'Model inputs'!AM13*1)="",FALSE,DATE(2028,3,1)=EDATE(DATE(2027,3,1),-'Model inputs'!AM13*1)),IF('POA — Monthly financial forecas'!S27="","",'POA — Monthly financial forecas'!S27),"")</f>
      </c>
    </row>
    <row r="1003">
      <c r="A1003" t="inlineStr" s="25">
        <is>
          <t xml:space="preserve">Calculation</t>
        </is>
      </c>
      <c r="B1003">
        <f>IF(IF(DATE(2028,4,1)=EDATE(DATE(2027,3,1),-'Model inputs'!AM13*1)="",FALSE,DATE(2028,4,1)=EDATE(DATE(2027,3,1),-'Model inputs'!AM13*1)),IF('POA — Monthly financial forecas'!T27="","",'POA — Monthly financial forecas'!T27),"")</f>
      </c>
    </row>
    <row r="1004">
      <c r="A1004" t="inlineStr" s="25">
        <is>
          <t xml:space="preserve">Calculation</t>
        </is>
      </c>
      <c r="B1004">
        <f>IF(IF(DATE(2028,5,1)=EDATE(DATE(2027,3,1),-'Model inputs'!AM13*1)="",FALSE,DATE(2028,5,1)=EDATE(DATE(2027,3,1),-'Model inputs'!AM13*1)),IF('POA — Monthly financial forecas'!U27="","",'POA — Monthly financial forecas'!U27),"")</f>
      </c>
    </row>
    <row r="1005">
      <c r="A1005" t="inlineStr" s="25">
        <is>
          <t xml:space="preserve">Calculation</t>
        </is>
      </c>
      <c r="B1005">
        <f>IF(IF(DATE(2028,6,1)=EDATE(DATE(2027,3,1),-'Model inputs'!AM13*1)="",FALSE,DATE(2028,6,1)=EDATE(DATE(2027,3,1),-'Model inputs'!AM13*1)),IF('POA — Monthly financial forecas'!V27="","",'POA — Monthly financial forecas'!V27),"")</f>
      </c>
    </row>
    <row r="1006">
      <c r="A1006" t="inlineStr" s="25">
        <is>
          <t xml:space="preserve">Calculation</t>
        </is>
      </c>
      <c r="B1006">
        <f>IF(IF(DATE(2028,7,1)=EDATE(DATE(2027,3,1),-'Model inputs'!AM13*1)="",FALSE,DATE(2028,7,1)=EDATE(DATE(2027,3,1),-'Model inputs'!AM13*1)),IF('POA — Monthly financial forecas'!W27="","",'POA — Monthly financial forecas'!W27),"")</f>
      </c>
    </row>
    <row r="1007">
      <c r="A1007" t="inlineStr" s="25">
        <is>
          <t xml:space="preserve">Calculation</t>
        </is>
      </c>
      <c r="B1007">
        <f>IF(IF(DATE(2028,8,1)=EDATE(DATE(2027,3,1),-'Model inputs'!AM13*1)="",FALSE,DATE(2028,8,1)=EDATE(DATE(2027,3,1),-'Model inputs'!AM13*1)),IF('POA — Monthly financial forecas'!X27="","",'POA — Monthly financial forecas'!X27),"")</f>
      </c>
    </row>
    <row r="1008">
      <c r="A1008" t="inlineStr" s="25">
        <is>
          <t xml:space="preserve">Calculation</t>
        </is>
      </c>
      <c r="B1008">
        <f>IF(IF(DATE(2028,9,1)=EDATE(DATE(2027,3,1),-'Model inputs'!AM13*1)="",FALSE,DATE(2028,9,1)=EDATE(DATE(2027,3,1),-'Model inputs'!AM13*1)),IF('POA — Monthly financial forecas'!Y27="","",'POA — Monthly financial forecas'!Y27),"")</f>
      </c>
    </row>
    <row r="1009">
      <c r="A1009" t="inlineStr" s="25">
        <is>
          <t xml:space="preserve">Calculation</t>
        </is>
      </c>
      <c r="B1009">
        <f>IF(IF(DATE(2028,10,1)=EDATE(DATE(2027,3,1),-'Model inputs'!AM13*1)="",FALSE,DATE(2028,10,1)=EDATE(DATE(2027,3,1),-'Model inputs'!AM13*1)),IF('POA — Monthly financial forecas'!Z27="","",'POA — Monthly financial forecas'!Z27),"")</f>
      </c>
    </row>
    <row r="1010">
      <c r="A1010" t="inlineStr" s="25">
        <is>
          <t xml:space="preserve">Calculation</t>
        </is>
      </c>
      <c r="B1010">
        <f>IF(IF(DATE(2028,11,1)=EDATE(DATE(2027,3,1),-'Model inputs'!AM13*1)="",FALSE,DATE(2028,11,1)=EDATE(DATE(2027,3,1),-'Model inputs'!AM13*1)),IF('POA — Monthly financial forecas'!AA27="","",'POA — Monthly financial forecas'!AA27),"")</f>
      </c>
    </row>
    <row r="1011">
      <c r="A1011" t="inlineStr" s="25">
        <is>
          <t xml:space="preserve">Calculation</t>
        </is>
      </c>
      <c r="B1011">
        <f>IF(IF(DATE(2028,12,1)=EDATE(DATE(2027,3,1),-'Model inputs'!AM13*1)="",FALSE,DATE(2028,12,1)=EDATE(DATE(2027,3,1),-'Model inputs'!AM13*1)),IF('POA — Monthly financial forecas'!AB27="","",'POA — Monthly financial forecas'!AB27),"")</f>
      </c>
    </row>
    <row r="1012">
      <c r="A1012" t="inlineStr" s="25">
        <is>
          <t xml:space="preserve">Calculation</t>
        </is>
      </c>
      <c r="B1012">
        <f>IF(IF(DATE(2029,1,1)=EDATE(DATE(2027,3,1),-'Model inputs'!AM13*1)="",FALSE,DATE(2029,1,1)=EDATE(DATE(2027,3,1),-'Model inputs'!AM13*1)),IF('POA — Monthly financial forecas'!AC27="","",'POA — Monthly financial forecas'!AC27),"")</f>
      </c>
    </row>
    <row r="1013">
      <c r="A1013" t="inlineStr" s="25">
        <is>
          <t xml:space="preserve">Calculation</t>
        </is>
      </c>
      <c r="B1013">
        <f>IF(IF(DATE(2029,2,1)=EDATE(DATE(2027,3,1),-'Model inputs'!AM13*1)="",FALSE,DATE(2029,2,1)=EDATE(DATE(2027,3,1),-'Model inputs'!AM13*1)),IF('POA — Monthly financial forecas'!AD27="","",'POA — Monthly financial forecas'!AD27),"")</f>
      </c>
    </row>
    <row r="1014">
      <c r="A1014" t="inlineStr" s="25">
        <is>
          <t xml:space="preserve">Calculation</t>
        </is>
      </c>
      <c r="B1014">
        <f>IF(IF(DATE(2029,3,1)=EDATE(DATE(2027,3,1),-'Model inputs'!AM13*1)="",FALSE,DATE(2029,3,1)=EDATE(DATE(2027,3,1),-'Model inputs'!AM13*1)),IF('POA — Monthly financial forecas'!AE27="","",'POA — Monthly financial forecas'!AE27),"")</f>
      </c>
    </row>
    <row r="1015">
      <c r="A1015" t="inlineStr" s="25">
        <is>
          <t xml:space="preserve">Calculation</t>
        </is>
      </c>
      <c r="B1015">
        <f>IF(IF(DATE(2029,4,1)=EDATE(DATE(2027,3,1),-'Model inputs'!AM13*1)="",FALSE,DATE(2029,4,1)=EDATE(DATE(2027,3,1),-'Model inputs'!AM13*1)),IF('POA — Monthly financial forecas'!AF27="","",'POA — Monthly financial forecas'!AF27),"")</f>
      </c>
    </row>
    <row r="1016">
      <c r="A1016" t="inlineStr" s="25">
        <is>
          <t xml:space="preserve">Calculation</t>
        </is>
      </c>
      <c r="B1016">
        <f>IF(IF(DATE(2029,5,1)=EDATE(DATE(2027,3,1),-'Model inputs'!AM13*1)="",FALSE,DATE(2029,5,1)=EDATE(DATE(2027,3,1),-'Model inputs'!AM13*1)),IF('POA — Monthly financial forecas'!AG27="","",'POA — Monthly financial forecas'!AG27),"")</f>
      </c>
    </row>
    <row r="1017">
      <c r="A1017" t="inlineStr" s="25">
        <is>
          <t xml:space="preserve">Calculation</t>
        </is>
      </c>
      <c r="B1017">
        <f>IF(IF(DATE(2029,6,1)=EDATE(DATE(2027,3,1),-'Model inputs'!AM13*1)="",FALSE,DATE(2029,6,1)=EDATE(DATE(2027,3,1),-'Model inputs'!AM13*1)),IF('POA — Monthly financial forecas'!AH27="","",'POA — Monthly financial forecas'!AH27),"")</f>
      </c>
    </row>
    <row r="1018">
      <c r="A1018" t="inlineStr" s="25">
        <is>
          <t xml:space="preserve">Calculation</t>
        </is>
      </c>
      <c r="B1018">
        <f>IF(IF(DATE(2029,7,1)=EDATE(DATE(2027,3,1),-'Model inputs'!AM13*1)="",FALSE,DATE(2029,7,1)=EDATE(DATE(2027,3,1),-'Model inputs'!AM13*1)),IF('POA — Monthly financial forecas'!AI27="","",'POA — Monthly financial forecas'!AI27),"")</f>
      </c>
    </row>
    <row r="1019">
      <c r="A1019" t="inlineStr" s="25">
        <is>
          <t xml:space="preserve">Calculation</t>
        </is>
      </c>
      <c r="B1019">
        <f>IF(IF(DATE(2029,8,1)=EDATE(DATE(2027,3,1),-'Model inputs'!AM13*1)="",FALSE,DATE(2029,8,1)=EDATE(DATE(2027,3,1),-'Model inputs'!AM13*1)),IF('POA — Monthly financial forecas'!AJ27="","",'POA — Monthly financial forecas'!AJ27),"")</f>
      </c>
    </row>
    <row r="1020">
      <c r="A1020" t="inlineStr" s="25">
        <is>
          <t xml:space="preserve">Calculation</t>
        </is>
      </c>
      <c r="B1020">
        <f>IF(IF(DATE(2029,9,1)=EDATE(DATE(2027,3,1),-'Model inputs'!AM13*1)="",FALSE,DATE(2029,9,1)=EDATE(DATE(2027,3,1),-'Model inputs'!AM13*1)),IF('POA — Monthly financial forecas'!AK27="","",'POA — Monthly financial forecas'!AK27),"")</f>
      </c>
    </row>
    <row r="1021">
      <c r="A1021" t="inlineStr" s="25">
        <is>
          <t xml:space="preserve">Calculation</t>
        </is>
      </c>
      <c r="B1021">
        <f>IF(IF(DATE(2026,9,1)=EDATE(DATE(2027,3,1),-'Model inputs'!AM13*1)="",FALSE,DATE(2026,9,1)=EDATE(DATE(2027,3,1),-'Model inputs'!AM13*1)),IF('Model inputs'!B85="","",'Model inputs'!B85),"")</f>
      </c>
    </row>
    <row r="1022">
      <c r="A1022" t="inlineStr" s="25">
        <is>
          <t xml:space="preserve">Calculation</t>
        </is>
      </c>
      <c r="B1022">
        <f>SUM(IF(IF('Model inputs'!B985="",0,1)="",0,IF('Model inputs'!B985="",0,1)),IF(IF('Model inputs'!B986="",0,1)="",0,IF('Model inputs'!B986="",0,1)),IF(IF('Model inputs'!B987="",0,1)="",0,IF('Model inputs'!B987="",0,1)),IF(IF('Model inputs'!B988="",0,1)="",0,IF('Model inputs'!B988="",0,1)),IF(IF('Model inputs'!B989="",0,1)="",0,IF('Model inputs'!B989="",0,1)),IF(IF('Model inputs'!B990="",0,1)="",0,IF('Model inputs'!B990="",0,1)),IF(IF('Model inputs'!B991="",0,1)="",0,IF('Model inputs'!B991="",0,1)),IF(IF('Model inputs'!B992="",0,1)="",0,IF('Model inputs'!B992="",0,1)),IF(IF('Model inputs'!B993="",0,1)="",0,IF('Model inputs'!B993="",0,1)),IF(IF('Model inputs'!B994="",0,1)="",0,IF('Model inputs'!B994="",0,1)),IF(IF('Model inputs'!B995="",0,1)="",0,IF('Model inputs'!B995="",0,1)),IF(IF('Model inputs'!B996="",0,1)="",0,IF('Model inputs'!B996="",0,1)),IF(IF('Model inputs'!B997="",0,1)="",0,IF('Model inputs'!B997="",0,1)),IF(IF('Model inputs'!B998="",0,1)="",0,IF('Model inputs'!B998="",0,1)),IF(IF('Model inputs'!B999="",0,1)="",0,IF('Model inputs'!B999="",0,1)),IF(IF('Model inputs'!B1000="",0,1)="",0,IF('Model inputs'!B1000="",0,1)),IF(IF('Model inputs'!B1001="",0,1)="",0,IF('Model inputs'!B1001="",0,1)),IF(IF('Model inputs'!B1002="",0,1)="",0,IF('Model inputs'!B1002="",0,1)),IF(IF('Model inputs'!B1003="",0,1)="",0,IF('Model inputs'!B1003="",0,1)),IF(IF('Model inputs'!B1004="",0,1)="",0,IF('Model inputs'!B1004="",0,1)),IF(IF('Model inputs'!B1005="",0,1)="",0,IF('Model inputs'!B1005="",0,1)),IF(IF('Model inputs'!B1006="",0,1)="",0,IF('Model inputs'!B1006="",0,1)),IF(IF('Model inputs'!B1007="",0,1)="",0,IF('Model inputs'!B1007="",0,1)),IF(IF('Model inputs'!B1008="",0,1)="",0,IF('Model inputs'!B1008="",0,1)),IF(IF('Model inputs'!B1009="",0,1)="",0,IF('Model inputs'!B1009="",0,1)),IF(IF('Model inputs'!B1010="",0,1)="",0,IF('Model inputs'!B1010="",0,1)),IF(IF('Model inputs'!B1011="",0,1)="",0,IF('Model inputs'!B1011="",0,1)),IF(IF('Model inputs'!B1012="",0,1)="",0,IF('Model inputs'!B1012="",0,1)),IF(IF('Model inputs'!B1013="",0,1)="",0,IF('Model inputs'!B1013="",0,1)),IF(IF('Model inputs'!B1014="",0,1)="",0,IF('Model inputs'!B1014="",0,1)),IF(IF('Model inputs'!B1015="",0,1)="",0,IF('Model inputs'!B1015="",0,1)),IF(IF('Model inputs'!B1016="",0,1)="",0,IF('Model inputs'!B1016="",0,1)),IF(IF('Model inputs'!B1017="",0,1)="",0,IF('Model inputs'!B1017="",0,1)),IF(IF('Model inputs'!B1018="",0,1)="",0,IF('Model inputs'!B1018="",0,1)),IF(IF('Model inputs'!B1019="",0,1)="",0,IF('Model inputs'!B1019="",0,1)),IF(IF('Model inputs'!B1020="",0,1)="",0,IF('Model inputs'!B1020="",0,1)),IF(IF('Model inputs'!B1021="",0,1)="",0,IF('Model inputs'!B1021="",0,1)))</f>
      </c>
    </row>
    <row r="1023">
      <c r="A1023" t="inlineStr" s="25">
        <is>
          <t xml:space="preserve">Calculation</t>
        </is>
      </c>
      <c r="B1023">
        <f>IF(IF(DATE(2026,10,1)=EDATE(DATE(2027,4,1),-'Model inputs'!AM13*1)="",FALSE,DATE(2026,10,1)=EDATE(DATE(2027,4,1),-'Model inputs'!AM13*1)),IF('POA — Monthly financial forecas'!B27="","",'POA — Monthly financial forecas'!B27),"")</f>
      </c>
    </row>
    <row r="1024">
      <c r="A1024" t="inlineStr" s="25">
        <is>
          <t xml:space="preserve">Calculation</t>
        </is>
      </c>
      <c r="B1024">
        <f>IF(IF(DATE(2026,11,1)=EDATE(DATE(2027,4,1),-'Model inputs'!AM13*1)="",FALSE,DATE(2026,11,1)=EDATE(DATE(2027,4,1),-'Model inputs'!AM13*1)),IF('POA — Monthly financial forecas'!C27="","",'POA — Monthly financial forecas'!C27),"")</f>
      </c>
    </row>
    <row r="1025">
      <c r="A1025" t="inlineStr" s="25">
        <is>
          <t xml:space="preserve">Calculation</t>
        </is>
      </c>
      <c r="B1025">
        <f>IF(IF(DATE(2026,12,1)=EDATE(DATE(2027,4,1),-'Model inputs'!AM13*1)="",FALSE,DATE(2026,12,1)=EDATE(DATE(2027,4,1),-'Model inputs'!AM13*1)),IF('POA — Monthly financial forecas'!D27="","",'POA — Monthly financial forecas'!D27),"")</f>
      </c>
    </row>
    <row r="1026">
      <c r="A1026" t="inlineStr" s="25">
        <is>
          <t xml:space="preserve">Calculation</t>
        </is>
      </c>
      <c r="B1026">
        <f>IF(IF(DATE(2027,1,1)=EDATE(DATE(2027,4,1),-'Model inputs'!AM13*1)="",FALSE,DATE(2027,1,1)=EDATE(DATE(2027,4,1),-'Model inputs'!AM13*1)),IF('POA — Monthly financial forecas'!E27="","",'POA — Monthly financial forecas'!E27),"")</f>
      </c>
    </row>
    <row r="1027">
      <c r="A1027" t="inlineStr" s="25">
        <is>
          <t xml:space="preserve">Calculation</t>
        </is>
      </c>
      <c r="B1027">
        <f>IF(IF(DATE(2027,2,1)=EDATE(DATE(2027,4,1),-'Model inputs'!AM13*1)="",FALSE,DATE(2027,2,1)=EDATE(DATE(2027,4,1),-'Model inputs'!AM13*1)),IF('POA — Monthly financial forecas'!F27="","",'POA — Monthly financial forecas'!F27),"")</f>
      </c>
    </row>
    <row r="1028">
      <c r="A1028" t="inlineStr" s="25">
        <is>
          <t xml:space="preserve">Calculation</t>
        </is>
      </c>
      <c r="B1028">
        <f>IF(IF(DATE(2027,3,1)=EDATE(DATE(2027,4,1),-'Model inputs'!AM13*1)="",FALSE,DATE(2027,3,1)=EDATE(DATE(2027,4,1),-'Model inputs'!AM13*1)),IF('POA — Monthly financial forecas'!G27="","",'POA — Monthly financial forecas'!G27),"")</f>
      </c>
    </row>
    <row r="1029">
      <c r="A1029" t="inlineStr" s="25">
        <is>
          <t xml:space="preserve">Calculation</t>
        </is>
      </c>
      <c r="B1029">
        <f>IF(IF(DATE(2027,4,1)=EDATE(DATE(2027,4,1),-'Model inputs'!AM13*1)="",FALSE,DATE(2027,4,1)=EDATE(DATE(2027,4,1),-'Model inputs'!AM13*1)),IF('POA — Monthly financial forecas'!H27="","",'POA — Monthly financial forecas'!H27),"")</f>
      </c>
    </row>
    <row r="1030">
      <c r="A1030" t="inlineStr" s="25">
        <is>
          <t xml:space="preserve">Calculation</t>
        </is>
      </c>
      <c r="B1030">
        <f>IF(IF(DATE(2027,5,1)=EDATE(DATE(2027,4,1),-'Model inputs'!AM13*1)="",FALSE,DATE(2027,5,1)=EDATE(DATE(2027,4,1),-'Model inputs'!AM13*1)),IF('POA — Monthly financial forecas'!I27="","",'POA — Monthly financial forecas'!I27),"")</f>
      </c>
    </row>
    <row r="1031">
      <c r="A1031" t="inlineStr" s="25">
        <is>
          <t xml:space="preserve">Calculation</t>
        </is>
      </c>
      <c r="B1031">
        <f>IF(IF(DATE(2027,6,1)=EDATE(DATE(2027,4,1),-'Model inputs'!AM13*1)="",FALSE,DATE(2027,6,1)=EDATE(DATE(2027,4,1),-'Model inputs'!AM13*1)),IF('POA — Monthly financial forecas'!J27="","",'POA — Monthly financial forecas'!J27),"")</f>
      </c>
    </row>
    <row r="1032">
      <c r="A1032" t="inlineStr" s="25">
        <is>
          <t xml:space="preserve">Calculation</t>
        </is>
      </c>
      <c r="B1032">
        <f>IF(IF(DATE(2027,7,1)=EDATE(DATE(2027,4,1),-'Model inputs'!AM13*1)="",FALSE,DATE(2027,7,1)=EDATE(DATE(2027,4,1),-'Model inputs'!AM13*1)),IF('POA — Monthly financial forecas'!K27="","",'POA — Monthly financial forecas'!K27),"")</f>
      </c>
    </row>
    <row r="1033">
      <c r="A1033" t="inlineStr" s="25">
        <is>
          <t xml:space="preserve">Calculation</t>
        </is>
      </c>
      <c r="B1033">
        <f>IF(IF(DATE(2027,8,1)=EDATE(DATE(2027,4,1),-'Model inputs'!AM13*1)="",FALSE,DATE(2027,8,1)=EDATE(DATE(2027,4,1),-'Model inputs'!AM13*1)),IF('POA — Monthly financial forecas'!L27="","",'POA — Monthly financial forecas'!L27),"")</f>
      </c>
    </row>
    <row r="1034">
      <c r="A1034" t="inlineStr" s="25">
        <is>
          <t xml:space="preserve">Calculation</t>
        </is>
      </c>
      <c r="B1034">
        <f>IF(IF(DATE(2027,9,1)=EDATE(DATE(2027,4,1),-'Model inputs'!AM13*1)="",FALSE,DATE(2027,9,1)=EDATE(DATE(2027,4,1),-'Model inputs'!AM13*1)),IF('POA — Monthly financial forecas'!M27="","",'POA — Monthly financial forecas'!M27),"")</f>
      </c>
    </row>
    <row r="1035">
      <c r="A1035" t="inlineStr" s="25">
        <is>
          <t xml:space="preserve">Calculation</t>
        </is>
      </c>
      <c r="B1035">
        <f>IF(IF(DATE(2027,10,1)=EDATE(DATE(2027,4,1),-'Model inputs'!AM13*1)="",FALSE,DATE(2027,10,1)=EDATE(DATE(2027,4,1),-'Model inputs'!AM13*1)),IF('POA — Monthly financial forecas'!N27="","",'POA — Monthly financial forecas'!N27),"")</f>
      </c>
    </row>
    <row r="1036">
      <c r="A1036" t="inlineStr" s="25">
        <is>
          <t xml:space="preserve">Calculation</t>
        </is>
      </c>
      <c r="B1036">
        <f>IF(IF(DATE(2027,11,1)=EDATE(DATE(2027,4,1),-'Model inputs'!AM13*1)="",FALSE,DATE(2027,11,1)=EDATE(DATE(2027,4,1),-'Model inputs'!AM13*1)),IF('POA — Monthly financial forecas'!O27="","",'POA — Monthly financial forecas'!O27),"")</f>
      </c>
    </row>
    <row r="1037">
      <c r="A1037" t="inlineStr" s="25">
        <is>
          <t xml:space="preserve">Calculation</t>
        </is>
      </c>
      <c r="B1037">
        <f>IF(IF(DATE(2027,12,1)=EDATE(DATE(2027,4,1),-'Model inputs'!AM13*1)="",FALSE,DATE(2027,12,1)=EDATE(DATE(2027,4,1),-'Model inputs'!AM13*1)),IF('POA — Monthly financial forecas'!P27="","",'POA — Monthly financial forecas'!P27),"")</f>
      </c>
    </row>
    <row r="1038">
      <c r="A1038" t="inlineStr" s="25">
        <is>
          <t xml:space="preserve">Calculation</t>
        </is>
      </c>
      <c r="B1038">
        <f>IF(IF(DATE(2028,1,1)=EDATE(DATE(2027,4,1),-'Model inputs'!AM13*1)="",FALSE,DATE(2028,1,1)=EDATE(DATE(2027,4,1),-'Model inputs'!AM13*1)),IF('POA — Monthly financial forecas'!Q27="","",'POA — Monthly financial forecas'!Q27),"")</f>
      </c>
    </row>
    <row r="1039">
      <c r="A1039" t="inlineStr" s="25">
        <is>
          <t xml:space="preserve">Calculation</t>
        </is>
      </c>
      <c r="B1039">
        <f>IF(IF(DATE(2028,2,1)=EDATE(DATE(2027,4,1),-'Model inputs'!AM13*1)="",FALSE,DATE(2028,2,1)=EDATE(DATE(2027,4,1),-'Model inputs'!AM13*1)),IF('POA — Monthly financial forecas'!R27="","",'POA — Monthly financial forecas'!R27),"")</f>
      </c>
    </row>
    <row r="1040">
      <c r="A1040" t="inlineStr" s="25">
        <is>
          <t xml:space="preserve">Calculation</t>
        </is>
      </c>
      <c r="B1040">
        <f>IF(IF(DATE(2028,3,1)=EDATE(DATE(2027,4,1),-'Model inputs'!AM13*1)="",FALSE,DATE(2028,3,1)=EDATE(DATE(2027,4,1),-'Model inputs'!AM13*1)),IF('POA — Monthly financial forecas'!S27="","",'POA — Monthly financial forecas'!S27),"")</f>
      </c>
    </row>
    <row r="1041">
      <c r="A1041" t="inlineStr" s="25">
        <is>
          <t xml:space="preserve">Calculation</t>
        </is>
      </c>
      <c r="B1041">
        <f>IF(IF(DATE(2028,4,1)=EDATE(DATE(2027,4,1),-'Model inputs'!AM13*1)="",FALSE,DATE(2028,4,1)=EDATE(DATE(2027,4,1),-'Model inputs'!AM13*1)),IF('POA — Monthly financial forecas'!T27="","",'POA — Monthly financial forecas'!T27),"")</f>
      </c>
    </row>
    <row r="1042">
      <c r="A1042" t="inlineStr" s="25">
        <is>
          <t xml:space="preserve">Calculation</t>
        </is>
      </c>
      <c r="B1042">
        <f>IF(IF(DATE(2028,5,1)=EDATE(DATE(2027,4,1),-'Model inputs'!AM13*1)="",FALSE,DATE(2028,5,1)=EDATE(DATE(2027,4,1),-'Model inputs'!AM13*1)),IF('POA — Monthly financial forecas'!U27="","",'POA — Monthly financial forecas'!U27),"")</f>
      </c>
    </row>
    <row r="1043">
      <c r="A1043" t="inlineStr" s="25">
        <is>
          <t xml:space="preserve">Calculation</t>
        </is>
      </c>
      <c r="B1043">
        <f>IF(IF(DATE(2028,6,1)=EDATE(DATE(2027,4,1),-'Model inputs'!AM13*1)="",FALSE,DATE(2028,6,1)=EDATE(DATE(2027,4,1),-'Model inputs'!AM13*1)),IF('POA — Monthly financial forecas'!V27="","",'POA — Monthly financial forecas'!V27),"")</f>
      </c>
    </row>
    <row r="1044">
      <c r="A1044" t="inlineStr" s="25">
        <is>
          <t xml:space="preserve">Calculation</t>
        </is>
      </c>
      <c r="B1044">
        <f>IF(IF(DATE(2028,7,1)=EDATE(DATE(2027,4,1),-'Model inputs'!AM13*1)="",FALSE,DATE(2028,7,1)=EDATE(DATE(2027,4,1),-'Model inputs'!AM13*1)),IF('POA — Monthly financial forecas'!W27="","",'POA — Monthly financial forecas'!W27),"")</f>
      </c>
    </row>
    <row r="1045">
      <c r="A1045" t="inlineStr" s="25">
        <is>
          <t xml:space="preserve">Calculation</t>
        </is>
      </c>
      <c r="B1045">
        <f>IF(IF(DATE(2028,8,1)=EDATE(DATE(2027,4,1),-'Model inputs'!AM13*1)="",FALSE,DATE(2028,8,1)=EDATE(DATE(2027,4,1),-'Model inputs'!AM13*1)),IF('POA — Monthly financial forecas'!X27="","",'POA — Monthly financial forecas'!X27),"")</f>
      </c>
    </row>
    <row r="1046">
      <c r="A1046" t="inlineStr" s="25">
        <is>
          <t xml:space="preserve">Calculation</t>
        </is>
      </c>
      <c r="B1046">
        <f>IF(IF(DATE(2028,9,1)=EDATE(DATE(2027,4,1),-'Model inputs'!AM13*1)="",FALSE,DATE(2028,9,1)=EDATE(DATE(2027,4,1),-'Model inputs'!AM13*1)),IF('POA — Monthly financial forecas'!Y27="","",'POA — Monthly financial forecas'!Y27),"")</f>
      </c>
    </row>
    <row r="1047">
      <c r="A1047" t="inlineStr" s="25">
        <is>
          <t xml:space="preserve">Calculation</t>
        </is>
      </c>
      <c r="B1047">
        <f>IF(IF(DATE(2028,10,1)=EDATE(DATE(2027,4,1),-'Model inputs'!AM13*1)="",FALSE,DATE(2028,10,1)=EDATE(DATE(2027,4,1),-'Model inputs'!AM13*1)),IF('POA — Monthly financial forecas'!Z27="","",'POA — Monthly financial forecas'!Z27),"")</f>
      </c>
    </row>
    <row r="1048">
      <c r="A1048" t="inlineStr" s="25">
        <is>
          <t xml:space="preserve">Calculation</t>
        </is>
      </c>
      <c r="B1048">
        <f>IF(IF(DATE(2028,11,1)=EDATE(DATE(2027,4,1),-'Model inputs'!AM13*1)="",FALSE,DATE(2028,11,1)=EDATE(DATE(2027,4,1),-'Model inputs'!AM13*1)),IF('POA — Monthly financial forecas'!AA27="","",'POA — Monthly financial forecas'!AA27),"")</f>
      </c>
    </row>
    <row r="1049">
      <c r="A1049" t="inlineStr" s="25">
        <is>
          <t xml:space="preserve">Calculation</t>
        </is>
      </c>
      <c r="B1049">
        <f>IF(IF(DATE(2028,12,1)=EDATE(DATE(2027,4,1),-'Model inputs'!AM13*1)="",FALSE,DATE(2028,12,1)=EDATE(DATE(2027,4,1),-'Model inputs'!AM13*1)),IF('POA — Monthly financial forecas'!AB27="","",'POA — Monthly financial forecas'!AB27),"")</f>
      </c>
    </row>
    <row r="1050">
      <c r="A1050" t="inlineStr" s="25">
        <is>
          <t xml:space="preserve">Calculation</t>
        </is>
      </c>
      <c r="B1050">
        <f>IF(IF(DATE(2029,1,1)=EDATE(DATE(2027,4,1),-'Model inputs'!AM13*1)="",FALSE,DATE(2029,1,1)=EDATE(DATE(2027,4,1),-'Model inputs'!AM13*1)),IF('POA — Monthly financial forecas'!AC27="","",'POA — Monthly financial forecas'!AC27),"")</f>
      </c>
    </row>
    <row r="1051">
      <c r="A1051" t="inlineStr" s="25">
        <is>
          <t xml:space="preserve">Calculation</t>
        </is>
      </c>
      <c r="B1051">
        <f>IF(IF(DATE(2029,2,1)=EDATE(DATE(2027,4,1),-'Model inputs'!AM13*1)="",FALSE,DATE(2029,2,1)=EDATE(DATE(2027,4,1),-'Model inputs'!AM13*1)),IF('POA — Monthly financial forecas'!AD27="","",'POA — Monthly financial forecas'!AD27),"")</f>
      </c>
    </row>
    <row r="1052">
      <c r="A1052" t="inlineStr" s="25">
        <is>
          <t xml:space="preserve">Calculation</t>
        </is>
      </c>
      <c r="B1052">
        <f>IF(IF(DATE(2029,3,1)=EDATE(DATE(2027,4,1),-'Model inputs'!AM13*1)="",FALSE,DATE(2029,3,1)=EDATE(DATE(2027,4,1),-'Model inputs'!AM13*1)),IF('POA — Monthly financial forecas'!AE27="","",'POA — Monthly financial forecas'!AE27),"")</f>
      </c>
    </row>
    <row r="1053">
      <c r="A1053" t="inlineStr" s="25">
        <is>
          <t xml:space="preserve">Calculation</t>
        </is>
      </c>
      <c r="B1053">
        <f>IF(IF(DATE(2029,4,1)=EDATE(DATE(2027,4,1),-'Model inputs'!AM13*1)="",FALSE,DATE(2029,4,1)=EDATE(DATE(2027,4,1),-'Model inputs'!AM13*1)),IF('POA — Monthly financial forecas'!AF27="","",'POA — Monthly financial forecas'!AF27),"")</f>
      </c>
    </row>
    <row r="1054">
      <c r="A1054" t="inlineStr" s="25">
        <is>
          <t xml:space="preserve">Calculation</t>
        </is>
      </c>
      <c r="B1054">
        <f>IF(IF(DATE(2029,5,1)=EDATE(DATE(2027,4,1),-'Model inputs'!AM13*1)="",FALSE,DATE(2029,5,1)=EDATE(DATE(2027,4,1),-'Model inputs'!AM13*1)),IF('POA — Monthly financial forecas'!AG27="","",'POA — Monthly financial forecas'!AG27),"")</f>
      </c>
    </row>
    <row r="1055">
      <c r="A1055" t="inlineStr" s="25">
        <is>
          <t xml:space="preserve">Calculation</t>
        </is>
      </c>
      <c r="B1055">
        <f>IF(IF(DATE(2029,6,1)=EDATE(DATE(2027,4,1),-'Model inputs'!AM13*1)="",FALSE,DATE(2029,6,1)=EDATE(DATE(2027,4,1),-'Model inputs'!AM13*1)),IF('POA — Monthly financial forecas'!AH27="","",'POA — Monthly financial forecas'!AH27),"")</f>
      </c>
    </row>
    <row r="1056">
      <c r="A1056" t="inlineStr" s="25">
        <is>
          <t xml:space="preserve">Calculation</t>
        </is>
      </c>
      <c r="B1056">
        <f>IF(IF(DATE(2029,7,1)=EDATE(DATE(2027,4,1),-'Model inputs'!AM13*1)="",FALSE,DATE(2029,7,1)=EDATE(DATE(2027,4,1),-'Model inputs'!AM13*1)),IF('POA — Monthly financial forecas'!AI27="","",'POA — Monthly financial forecas'!AI27),"")</f>
      </c>
    </row>
    <row r="1057">
      <c r="A1057" t="inlineStr" s="25">
        <is>
          <t xml:space="preserve">Calculation</t>
        </is>
      </c>
      <c r="B1057">
        <f>IF(IF(DATE(2029,8,1)=EDATE(DATE(2027,4,1),-'Model inputs'!AM13*1)="",FALSE,DATE(2029,8,1)=EDATE(DATE(2027,4,1),-'Model inputs'!AM13*1)),IF('POA — Monthly financial forecas'!AJ27="","",'POA — Monthly financial forecas'!AJ27),"")</f>
      </c>
    </row>
    <row r="1058">
      <c r="A1058" t="inlineStr" s="25">
        <is>
          <t xml:space="preserve">Calculation</t>
        </is>
      </c>
      <c r="B1058">
        <f>IF(IF(DATE(2029,9,1)=EDATE(DATE(2027,4,1),-'Model inputs'!AM13*1)="",FALSE,DATE(2029,9,1)=EDATE(DATE(2027,4,1),-'Model inputs'!AM13*1)),IF('POA — Monthly financial forecas'!AK27="","",'POA — Monthly financial forecas'!AK27),"")</f>
      </c>
    </row>
    <row r="1059">
      <c r="A1059" t="inlineStr" s="25">
        <is>
          <t xml:space="preserve">Calculation</t>
        </is>
      </c>
      <c r="B1059">
        <f>IF(IF(DATE(2026,9,1)=EDATE(DATE(2027,4,1),-'Model inputs'!AM13*1)="",FALSE,DATE(2026,9,1)=EDATE(DATE(2027,4,1),-'Model inputs'!AM13*1)),IF('Model inputs'!B85="","",'Model inputs'!B85),"")</f>
      </c>
    </row>
    <row r="1060">
      <c r="A1060" t="inlineStr" s="25">
        <is>
          <t xml:space="preserve">Calculation</t>
        </is>
      </c>
      <c r="B1060">
        <f>SUM(IF(IF('Model inputs'!B1023="",0,1)="",0,IF('Model inputs'!B1023="",0,1)),IF(IF('Model inputs'!B1024="",0,1)="",0,IF('Model inputs'!B1024="",0,1)),IF(IF('Model inputs'!B1025="",0,1)="",0,IF('Model inputs'!B1025="",0,1)),IF(IF('Model inputs'!B1026="",0,1)="",0,IF('Model inputs'!B1026="",0,1)),IF(IF('Model inputs'!B1027="",0,1)="",0,IF('Model inputs'!B1027="",0,1)),IF(IF('Model inputs'!B1028="",0,1)="",0,IF('Model inputs'!B1028="",0,1)),IF(IF('Model inputs'!B1029="",0,1)="",0,IF('Model inputs'!B1029="",0,1)),IF(IF('Model inputs'!B1030="",0,1)="",0,IF('Model inputs'!B1030="",0,1)),IF(IF('Model inputs'!B1031="",0,1)="",0,IF('Model inputs'!B1031="",0,1)),IF(IF('Model inputs'!B1032="",0,1)="",0,IF('Model inputs'!B1032="",0,1)),IF(IF('Model inputs'!B1033="",0,1)="",0,IF('Model inputs'!B1033="",0,1)),IF(IF('Model inputs'!B1034="",0,1)="",0,IF('Model inputs'!B1034="",0,1)),IF(IF('Model inputs'!B1035="",0,1)="",0,IF('Model inputs'!B1035="",0,1)),IF(IF('Model inputs'!B1036="",0,1)="",0,IF('Model inputs'!B1036="",0,1)),IF(IF('Model inputs'!B1037="",0,1)="",0,IF('Model inputs'!B1037="",0,1)),IF(IF('Model inputs'!B1038="",0,1)="",0,IF('Model inputs'!B1038="",0,1)),IF(IF('Model inputs'!B1039="",0,1)="",0,IF('Model inputs'!B1039="",0,1)),IF(IF('Model inputs'!B1040="",0,1)="",0,IF('Model inputs'!B1040="",0,1)),IF(IF('Model inputs'!B1041="",0,1)="",0,IF('Model inputs'!B1041="",0,1)),IF(IF('Model inputs'!B1042="",0,1)="",0,IF('Model inputs'!B1042="",0,1)),IF(IF('Model inputs'!B1043="",0,1)="",0,IF('Model inputs'!B1043="",0,1)),IF(IF('Model inputs'!B1044="",0,1)="",0,IF('Model inputs'!B1044="",0,1)),IF(IF('Model inputs'!B1045="",0,1)="",0,IF('Model inputs'!B1045="",0,1)),IF(IF('Model inputs'!B1046="",0,1)="",0,IF('Model inputs'!B1046="",0,1)),IF(IF('Model inputs'!B1047="",0,1)="",0,IF('Model inputs'!B1047="",0,1)),IF(IF('Model inputs'!B1048="",0,1)="",0,IF('Model inputs'!B1048="",0,1)),IF(IF('Model inputs'!B1049="",0,1)="",0,IF('Model inputs'!B1049="",0,1)),IF(IF('Model inputs'!B1050="",0,1)="",0,IF('Model inputs'!B1050="",0,1)),IF(IF('Model inputs'!B1051="",0,1)="",0,IF('Model inputs'!B1051="",0,1)),IF(IF('Model inputs'!B1052="",0,1)="",0,IF('Model inputs'!B1052="",0,1)),IF(IF('Model inputs'!B1053="",0,1)="",0,IF('Model inputs'!B1053="",0,1)),IF(IF('Model inputs'!B1054="",0,1)="",0,IF('Model inputs'!B1054="",0,1)),IF(IF('Model inputs'!B1055="",0,1)="",0,IF('Model inputs'!B1055="",0,1)),IF(IF('Model inputs'!B1056="",0,1)="",0,IF('Model inputs'!B1056="",0,1)),IF(IF('Model inputs'!B1057="",0,1)="",0,IF('Model inputs'!B1057="",0,1)),IF(IF('Model inputs'!B1058="",0,1)="",0,IF('Model inputs'!B1058="",0,1)),IF(IF('Model inputs'!B1059="",0,1)="",0,IF('Model inputs'!B1059="",0,1)))</f>
      </c>
    </row>
    <row r="1061">
      <c r="A1061" t="inlineStr" s="25">
        <is>
          <t xml:space="preserve">Calculation</t>
        </is>
      </c>
      <c r="B1061">
        <f>IF(IF(DATE(2026,10,1)=EDATE(DATE(2027,5,1),-'Model inputs'!AM13*1)="",FALSE,DATE(2026,10,1)=EDATE(DATE(2027,5,1),-'Model inputs'!AM13*1)),IF('POA — Monthly financial forecas'!B27="","",'POA — Monthly financial forecas'!B27),"")</f>
      </c>
    </row>
    <row r="1062">
      <c r="A1062" t="inlineStr" s="25">
        <is>
          <t xml:space="preserve">Calculation</t>
        </is>
      </c>
      <c r="B1062">
        <f>IF(IF(DATE(2026,11,1)=EDATE(DATE(2027,5,1),-'Model inputs'!AM13*1)="",FALSE,DATE(2026,11,1)=EDATE(DATE(2027,5,1),-'Model inputs'!AM13*1)),IF('POA — Monthly financial forecas'!C27="","",'POA — Monthly financial forecas'!C27),"")</f>
      </c>
    </row>
    <row r="1063">
      <c r="A1063" t="inlineStr" s="25">
        <is>
          <t xml:space="preserve">Calculation</t>
        </is>
      </c>
      <c r="B1063">
        <f>IF(IF(DATE(2026,12,1)=EDATE(DATE(2027,5,1),-'Model inputs'!AM13*1)="",FALSE,DATE(2026,12,1)=EDATE(DATE(2027,5,1),-'Model inputs'!AM13*1)),IF('POA — Monthly financial forecas'!D27="","",'POA — Monthly financial forecas'!D27),"")</f>
      </c>
    </row>
    <row r="1064">
      <c r="A1064" t="inlineStr" s="25">
        <is>
          <t xml:space="preserve">Calculation</t>
        </is>
      </c>
      <c r="B1064">
        <f>IF(IF(DATE(2027,1,1)=EDATE(DATE(2027,5,1),-'Model inputs'!AM13*1)="",FALSE,DATE(2027,1,1)=EDATE(DATE(2027,5,1),-'Model inputs'!AM13*1)),IF('POA — Monthly financial forecas'!E27="","",'POA — Monthly financial forecas'!E27),"")</f>
      </c>
    </row>
    <row r="1065">
      <c r="A1065" t="inlineStr" s="25">
        <is>
          <t xml:space="preserve">Calculation</t>
        </is>
      </c>
      <c r="B1065">
        <f>IF(IF(DATE(2027,2,1)=EDATE(DATE(2027,5,1),-'Model inputs'!AM13*1)="",FALSE,DATE(2027,2,1)=EDATE(DATE(2027,5,1),-'Model inputs'!AM13*1)),IF('POA — Monthly financial forecas'!F27="","",'POA — Monthly financial forecas'!F27),"")</f>
      </c>
    </row>
    <row r="1066">
      <c r="A1066" t="inlineStr" s="25">
        <is>
          <t xml:space="preserve">Calculation</t>
        </is>
      </c>
      <c r="B1066">
        <f>IF(IF(DATE(2027,3,1)=EDATE(DATE(2027,5,1),-'Model inputs'!AM13*1)="",FALSE,DATE(2027,3,1)=EDATE(DATE(2027,5,1),-'Model inputs'!AM13*1)),IF('POA — Monthly financial forecas'!G27="","",'POA — Monthly financial forecas'!G27),"")</f>
      </c>
    </row>
    <row r="1067">
      <c r="A1067" t="inlineStr" s="25">
        <is>
          <t xml:space="preserve">Calculation</t>
        </is>
      </c>
      <c r="B1067">
        <f>IF(IF(DATE(2027,4,1)=EDATE(DATE(2027,5,1),-'Model inputs'!AM13*1)="",FALSE,DATE(2027,4,1)=EDATE(DATE(2027,5,1),-'Model inputs'!AM13*1)),IF('POA — Monthly financial forecas'!H27="","",'POA — Monthly financial forecas'!H27),"")</f>
      </c>
    </row>
    <row r="1068">
      <c r="A1068" t="inlineStr" s="25">
        <is>
          <t xml:space="preserve">Calculation</t>
        </is>
      </c>
      <c r="B1068">
        <f>IF(IF(DATE(2027,5,1)=EDATE(DATE(2027,5,1),-'Model inputs'!AM13*1)="",FALSE,DATE(2027,5,1)=EDATE(DATE(2027,5,1),-'Model inputs'!AM13*1)),IF('POA — Monthly financial forecas'!I27="","",'POA — Monthly financial forecas'!I27),"")</f>
      </c>
    </row>
    <row r="1069">
      <c r="A1069" t="inlineStr" s="25">
        <is>
          <t xml:space="preserve">Calculation</t>
        </is>
      </c>
      <c r="B1069">
        <f>IF(IF(DATE(2027,6,1)=EDATE(DATE(2027,5,1),-'Model inputs'!AM13*1)="",FALSE,DATE(2027,6,1)=EDATE(DATE(2027,5,1),-'Model inputs'!AM13*1)),IF('POA — Monthly financial forecas'!J27="","",'POA — Monthly financial forecas'!J27),"")</f>
      </c>
    </row>
    <row r="1070">
      <c r="A1070" t="inlineStr" s="25">
        <is>
          <t xml:space="preserve">Calculation</t>
        </is>
      </c>
      <c r="B1070">
        <f>IF(IF(DATE(2027,7,1)=EDATE(DATE(2027,5,1),-'Model inputs'!AM13*1)="",FALSE,DATE(2027,7,1)=EDATE(DATE(2027,5,1),-'Model inputs'!AM13*1)),IF('POA — Monthly financial forecas'!K27="","",'POA — Monthly financial forecas'!K27),"")</f>
      </c>
    </row>
    <row r="1071">
      <c r="A1071" t="inlineStr" s="25">
        <is>
          <t xml:space="preserve">Calculation</t>
        </is>
      </c>
      <c r="B1071">
        <f>IF(IF(DATE(2027,8,1)=EDATE(DATE(2027,5,1),-'Model inputs'!AM13*1)="",FALSE,DATE(2027,8,1)=EDATE(DATE(2027,5,1),-'Model inputs'!AM13*1)),IF('POA — Monthly financial forecas'!L27="","",'POA — Monthly financial forecas'!L27),"")</f>
      </c>
    </row>
    <row r="1072">
      <c r="A1072" t="inlineStr" s="25">
        <is>
          <t xml:space="preserve">Calculation</t>
        </is>
      </c>
      <c r="B1072">
        <f>IF(IF(DATE(2027,9,1)=EDATE(DATE(2027,5,1),-'Model inputs'!AM13*1)="",FALSE,DATE(2027,9,1)=EDATE(DATE(2027,5,1),-'Model inputs'!AM13*1)),IF('POA — Monthly financial forecas'!M27="","",'POA — Monthly financial forecas'!M27),"")</f>
      </c>
    </row>
    <row r="1073">
      <c r="A1073" t="inlineStr" s="25">
        <is>
          <t xml:space="preserve">Calculation</t>
        </is>
      </c>
      <c r="B1073">
        <f>IF(IF(DATE(2027,10,1)=EDATE(DATE(2027,5,1),-'Model inputs'!AM13*1)="",FALSE,DATE(2027,10,1)=EDATE(DATE(2027,5,1),-'Model inputs'!AM13*1)),IF('POA — Monthly financial forecas'!N27="","",'POA — Monthly financial forecas'!N27),"")</f>
      </c>
    </row>
    <row r="1074">
      <c r="A1074" t="inlineStr" s="25">
        <is>
          <t xml:space="preserve">Calculation</t>
        </is>
      </c>
      <c r="B1074">
        <f>IF(IF(DATE(2027,11,1)=EDATE(DATE(2027,5,1),-'Model inputs'!AM13*1)="",FALSE,DATE(2027,11,1)=EDATE(DATE(2027,5,1),-'Model inputs'!AM13*1)),IF('POA — Monthly financial forecas'!O27="","",'POA — Monthly financial forecas'!O27),"")</f>
      </c>
    </row>
    <row r="1075">
      <c r="A1075" t="inlineStr" s="25">
        <is>
          <t xml:space="preserve">Calculation</t>
        </is>
      </c>
      <c r="B1075">
        <f>IF(IF(DATE(2027,12,1)=EDATE(DATE(2027,5,1),-'Model inputs'!AM13*1)="",FALSE,DATE(2027,12,1)=EDATE(DATE(2027,5,1),-'Model inputs'!AM13*1)),IF('POA — Monthly financial forecas'!P27="","",'POA — Monthly financial forecas'!P27),"")</f>
      </c>
    </row>
    <row r="1076">
      <c r="A1076" t="inlineStr" s="25">
        <is>
          <t xml:space="preserve">Calculation</t>
        </is>
      </c>
      <c r="B1076">
        <f>IF(IF(DATE(2028,1,1)=EDATE(DATE(2027,5,1),-'Model inputs'!AM13*1)="",FALSE,DATE(2028,1,1)=EDATE(DATE(2027,5,1),-'Model inputs'!AM13*1)),IF('POA — Monthly financial forecas'!Q27="","",'POA — Monthly financial forecas'!Q27),"")</f>
      </c>
    </row>
    <row r="1077">
      <c r="A1077" t="inlineStr" s="25">
        <is>
          <t xml:space="preserve">Calculation</t>
        </is>
      </c>
      <c r="B1077">
        <f>IF(IF(DATE(2028,2,1)=EDATE(DATE(2027,5,1),-'Model inputs'!AM13*1)="",FALSE,DATE(2028,2,1)=EDATE(DATE(2027,5,1),-'Model inputs'!AM13*1)),IF('POA — Monthly financial forecas'!R27="","",'POA — Monthly financial forecas'!R27),"")</f>
      </c>
    </row>
    <row r="1078">
      <c r="A1078" t="inlineStr" s="25">
        <is>
          <t xml:space="preserve">Calculation</t>
        </is>
      </c>
      <c r="B1078">
        <f>IF(IF(DATE(2028,3,1)=EDATE(DATE(2027,5,1),-'Model inputs'!AM13*1)="",FALSE,DATE(2028,3,1)=EDATE(DATE(2027,5,1),-'Model inputs'!AM13*1)),IF('POA — Monthly financial forecas'!S27="","",'POA — Monthly financial forecas'!S27),"")</f>
      </c>
    </row>
    <row r="1079">
      <c r="A1079" t="inlineStr" s="25">
        <is>
          <t xml:space="preserve">Calculation</t>
        </is>
      </c>
      <c r="B1079">
        <f>IF(IF(DATE(2028,4,1)=EDATE(DATE(2027,5,1),-'Model inputs'!AM13*1)="",FALSE,DATE(2028,4,1)=EDATE(DATE(2027,5,1),-'Model inputs'!AM13*1)),IF('POA — Monthly financial forecas'!T27="","",'POA — Monthly financial forecas'!T27),"")</f>
      </c>
    </row>
    <row r="1080">
      <c r="A1080" t="inlineStr" s="25">
        <is>
          <t xml:space="preserve">Calculation</t>
        </is>
      </c>
      <c r="B1080">
        <f>IF(IF(DATE(2028,5,1)=EDATE(DATE(2027,5,1),-'Model inputs'!AM13*1)="",FALSE,DATE(2028,5,1)=EDATE(DATE(2027,5,1),-'Model inputs'!AM13*1)),IF('POA — Monthly financial forecas'!U27="","",'POA — Monthly financial forecas'!U27),"")</f>
      </c>
    </row>
    <row r="1081">
      <c r="A1081" t="inlineStr" s="25">
        <is>
          <t xml:space="preserve">Calculation</t>
        </is>
      </c>
      <c r="B1081">
        <f>IF(IF(DATE(2028,6,1)=EDATE(DATE(2027,5,1),-'Model inputs'!AM13*1)="",FALSE,DATE(2028,6,1)=EDATE(DATE(2027,5,1),-'Model inputs'!AM13*1)),IF('POA — Monthly financial forecas'!V27="","",'POA — Monthly financial forecas'!V27),"")</f>
      </c>
    </row>
    <row r="1082">
      <c r="A1082" t="inlineStr" s="25">
        <is>
          <t xml:space="preserve">Calculation</t>
        </is>
      </c>
      <c r="B1082">
        <f>IF(IF(DATE(2028,7,1)=EDATE(DATE(2027,5,1),-'Model inputs'!AM13*1)="",FALSE,DATE(2028,7,1)=EDATE(DATE(2027,5,1),-'Model inputs'!AM13*1)),IF('POA — Monthly financial forecas'!W27="","",'POA — Monthly financial forecas'!W27),"")</f>
      </c>
    </row>
    <row r="1083">
      <c r="A1083" t="inlineStr" s="25">
        <is>
          <t xml:space="preserve">Calculation</t>
        </is>
      </c>
      <c r="B1083">
        <f>IF(IF(DATE(2028,8,1)=EDATE(DATE(2027,5,1),-'Model inputs'!AM13*1)="",FALSE,DATE(2028,8,1)=EDATE(DATE(2027,5,1),-'Model inputs'!AM13*1)),IF('POA — Monthly financial forecas'!X27="","",'POA — Monthly financial forecas'!X27),"")</f>
      </c>
    </row>
    <row r="1084">
      <c r="A1084" t="inlineStr" s="25">
        <is>
          <t xml:space="preserve">Calculation</t>
        </is>
      </c>
      <c r="B1084">
        <f>IF(IF(DATE(2028,9,1)=EDATE(DATE(2027,5,1),-'Model inputs'!AM13*1)="",FALSE,DATE(2028,9,1)=EDATE(DATE(2027,5,1),-'Model inputs'!AM13*1)),IF('POA — Monthly financial forecas'!Y27="","",'POA — Monthly financial forecas'!Y27),"")</f>
      </c>
    </row>
    <row r="1085">
      <c r="A1085" t="inlineStr" s="25">
        <is>
          <t xml:space="preserve">Calculation</t>
        </is>
      </c>
      <c r="B1085">
        <f>IF(IF(DATE(2028,10,1)=EDATE(DATE(2027,5,1),-'Model inputs'!AM13*1)="",FALSE,DATE(2028,10,1)=EDATE(DATE(2027,5,1),-'Model inputs'!AM13*1)),IF('POA — Monthly financial forecas'!Z27="","",'POA — Monthly financial forecas'!Z27),"")</f>
      </c>
    </row>
    <row r="1086">
      <c r="A1086" t="inlineStr" s="25">
        <is>
          <t xml:space="preserve">Calculation</t>
        </is>
      </c>
      <c r="B1086">
        <f>IF(IF(DATE(2028,11,1)=EDATE(DATE(2027,5,1),-'Model inputs'!AM13*1)="",FALSE,DATE(2028,11,1)=EDATE(DATE(2027,5,1),-'Model inputs'!AM13*1)),IF('POA — Monthly financial forecas'!AA27="","",'POA — Monthly financial forecas'!AA27),"")</f>
      </c>
    </row>
    <row r="1087">
      <c r="A1087" t="inlineStr" s="25">
        <is>
          <t xml:space="preserve">Calculation</t>
        </is>
      </c>
      <c r="B1087">
        <f>IF(IF(DATE(2028,12,1)=EDATE(DATE(2027,5,1),-'Model inputs'!AM13*1)="",FALSE,DATE(2028,12,1)=EDATE(DATE(2027,5,1),-'Model inputs'!AM13*1)),IF('POA — Monthly financial forecas'!AB27="","",'POA — Monthly financial forecas'!AB27),"")</f>
      </c>
    </row>
    <row r="1088">
      <c r="A1088" t="inlineStr" s="25">
        <is>
          <t xml:space="preserve">Calculation</t>
        </is>
      </c>
      <c r="B1088">
        <f>IF(IF(DATE(2029,1,1)=EDATE(DATE(2027,5,1),-'Model inputs'!AM13*1)="",FALSE,DATE(2029,1,1)=EDATE(DATE(2027,5,1),-'Model inputs'!AM13*1)),IF('POA — Monthly financial forecas'!AC27="","",'POA — Monthly financial forecas'!AC27),"")</f>
      </c>
    </row>
    <row r="1089">
      <c r="A1089" t="inlineStr" s="25">
        <is>
          <t xml:space="preserve">Calculation</t>
        </is>
      </c>
      <c r="B1089">
        <f>IF(IF(DATE(2029,2,1)=EDATE(DATE(2027,5,1),-'Model inputs'!AM13*1)="",FALSE,DATE(2029,2,1)=EDATE(DATE(2027,5,1),-'Model inputs'!AM13*1)),IF('POA — Monthly financial forecas'!AD27="","",'POA — Monthly financial forecas'!AD27),"")</f>
      </c>
    </row>
    <row r="1090">
      <c r="A1090" t="inlineStr" s="25">
        <is>
          <t xml:space="preserve">Calculation</t>
        </is>
      </c>
      <c r="B1090">
        <f>IF(IF(DATE(2029,3,1)=EDATE(DATE(2027,5,1),-'Model inputs'!AM13*1)="",FALSE,DATE(2029,3,1)=EDATE(DATE(2027,5,1),-'Model inputs'!AM13*1)),IF('POA — Monthly financial forecas'!AE27="","",'POA — Monthly financial forecas'!AE27),"")</f>
      </c>
    </row>
    <row r="1091">
      <c r="A1091" t="inlineStr" s="25">
        <is>
          <t xml:space="preserve">Calculation</t>
        </is>
      </c>
      <c r="B1091">
        <f>IF(IF(DATE(2029,4,1)=EDATE(DATE(2027,5,1),-'Model inputs'!AM13*1)="",FALSE,DATE(2029,4,1)=EDATE(DATE(2027,5,1),-'Model inputs'!AM13*1)),IF('POA — Monthly financial forecas'!AF27="","",'POA — Monthly financial forecas'!AF27),"")</f>
      </c>
    </row>
    <row r="1092">
      <c r="A1092" t="inlineStr" s="25">
        <is>
          <t xml:space="preserve">Calculation</t>
        </is>
      </c>
      <c r="B1092">
        <f>IF(IF(DATE(2029,5,1)=EDATE(DATE(2027,5,1),-'Model inputs'!AM13*1)="",FALSE,DATE(2029,5,1)=EDATE(DATE(2027,5,1),-'Model inputs'!AM13*1)),IF('POA — Monthly financial forecas'!AG27="","",'POA — Monthly financial forecas'!AG27),"")</f>
      </c>
    </row>
    <row r="1093">
      <c r="A1093" t="inlineStr" s="25">
        <is>
          <t xml:space="preserve">Calculation</t>
        </is>
      </c>
      <c r="B1093">
        <f>IF(IF(DATE(2029,6,1)=EDATE(DATE(2027,5,1),-'Model inputs'!AM13*1)="",FALSE,DATE(2029,6,1)=EDATE(DATE(2027,5,1),-'Model inputs'!AM13*1)),IF('POA — Monthly financial forecas'!AH27="","",'POA — Monthly financial forecas'!AH27),"")</f>
      </c>
    </row>
    <row r="1094">
      <c r="A1094" t="inlineStr" s="25">
        <is>
          <t xml:space="preserve">Calculation</t>
        </is>
      </c>
      <c r="B1094">
        <f>IF(IF(DATE(2029,7,1)=EDATE(DATE(2027,5,1),-'Model inputs'!AM13*1)="",FALSE,DATE(2029,7,1)=EDATE(DATE(2027,5,1),-'Model inputs'!AM13*1)),IF('POA — Monthly financial forecas'!AI27="","",'POA — Monthly financial forecas'!AI27),"")</f>
      </c>
    </row>
    <row r="1095">
      <c r="A1095" t="inlineStr" s="25">
        <is>
          <t xml:space="preserve">Calculation</t>
        </is>
      </c>
      <c r="B1095">
        <f>IF(IF(DATE(2029,8,1)=EDATE(DATE(2027,5,1),-'Model inputs'!AM13*1)="",FALSE,DATE(2029,8,1)=EDATE(DATE(2027,5,1),-'Model inputs'!AM13*1)),IF('POA — Monthly financial forecas'!AJ27="","",'POA — Monthly financial forecas'!AJ27),"")</f>
      </c>
    </row>
    <row r="1096">
      <c r="A1096" t="inlineStr" s="25">
        <is>
          <t xml:space="preserve">Calculation</t>
        </is>
      </c>
      <c r="B1096">
        <f>IF(IF(DATE(2029,9,1)=EDATE(DATE(2027,5,1),-'Model inputs'!AM13*1)="",FALSE,DATE(2029,9,1)=EDATE(DATE(2027,5,1),-'Model inputs'!AM13*1)),IF('POA — Monthly financial forecas'!AK27="","",'POA — Monthly financial forecas'!AK27),"")</f>
      </c>
    </row>
    <row r="1097">
      <c r="A1097" t="inlineStr" s="25">
        <is>
          <t xml:space="preserve">Calculation</t>
        </is>
      </c>
      <c r="B1097">
        <f>IF(IF(DATE(2026,9,1)=EDATE(DATE(2027,5,1),-'Model inputs'!AM13*1)="",FALSE,DATE(2026,9,1)=EDATE(DATE(2027,5,1),-'Model inputs'!AM13*1)),IF('Model inputs'!B85="","",'Model inputs'!B85),"")</f>
      </c>
    </row>
    <row r="1098">
      <c r="A1098" t="inlineStr" s="25">
        <is>
          <t xml:space="preserve">Calculation</t>
        </is>
      </c>
      <c r="B1098">
        <f>SUM(IF(IF('Model inputs'!B1061="",0,1)="",0,IF('Model inputs'!B1061="",0,1)),IF(IF('Model inputs'!B1062="",0,1)="",0,IF('Model inputs'!B1062="",0,1)),IF(IF('Model inputs'!B1063="",0,1)="",0,IF('Model inputs'!B1063="",0,1)),IF(IF('Model inputs'!B1064="",0,1)="",0,IF('Model inputs'!B1064="",0,1)),IF(IF('Model inputs'!B1065="",0,1)="",0,IF('Model inputs'!B1065="",0,1)),IF(IF('Model inputs'!B1066="",0,1)="",0,IF('Model inputs'!B1066="",0,1)),IF(IF('Model inputs'!B1067="",0,1)="",0,IF('Model inputs'!B1067="",0,1)),IF(IF('Model inputs'!B1068="",0,1)="",0,IF('Model inputs'!B1068="",0,1)),IF(IF('Model inputs'!B1069="",0,1)="",0,IF('Model inputs'!B1069="",0,1)),IF(IF('Model inputs'!B1070="",0,1)="",0,IF('Model inputs'!B1070="",0,1)),IF(IF('Model inputs'!B1071="",0,1)="",0,IF('Model inputs'!B1071="",0,1)),IF(IF('Model inputs'!B1072="",0,1)="",0,IF('Model inputs'!B1072="",0,1)),IF(IF('Model inputs'!B1073="",0,1)="",0,IF('Model inputs'!B1073="",0,1)),IF(IF('Model inputs'!B1074="",0,1)="",0,IF('Model inputs'!B1074="",0,1)),IF(IF('Model inputs'!B1075="",0,1)="",0,IF('Model inputs'!B1075="",0,1)),IF(IF('Model inputs'!B1076="",0,1)="",0,IF('Model inputs'!B1076="",0,1)),IF(IF('Model inputs'!B1077="",0,1)="",0,IF('Model inputs'!B1077="",0,1)),IF(IF('Model inputs'!B1078="",0,1)="",0,IF('Model inputs'!B1078="",0,1)),IF(IF('Model inputs'!B1079="",0,1)="",0,IF('Model inputs'!B1079="",0,1)),IF(IF('Model inputs'!B1080="",0,1)="",0,IF('Model inputs'!B1080="",0,1)),IF(IF('Model inputs'!B1081="",0,1)="",0,IF('Model inputs'!B1081="",0,1)),IF(IF('Model inputs'!B1082="",0,1)="",0,IF('Model inputs'!B1082="",0,1)),IF(IF('Model inputs'!B1083="",0,1)="",0,IF('Model inputs'!B1083="",0,1)),IF(IF('Model inputs'!B1084="",0,1)="",0,IF('Model inputs'!B1084="",0,1)),IF(IF('Model inputs'!B1085="",0,1)="",0,IF('Model inputs'!B1085="",0,1)),IF(IF('Model inputs'!B1086="",0,1)="",0,IF('Model inputs'!B1086="",0,1)),IF(IF('Model inputs'!B1087="",0,1)="",0,IF('Model inputs'!B1087="",0,1)),IF(IF('Model inputs'!B1088="",0,1)="",0,IF('Model inputs'!B1088="",0,1)),IF(IF('Model inputs'!B1089="",0,1)="",0,IF('Model inputs'!B1089="",0,1)),IF(IF('Model inputs'!B1090="",0,1)="",0,IF('Model inputs'!B1090="",0,1)),IF(IF('Model inputs'!B1091="",0,1)="",0,IF('Model inputs'!B1091="",0,1)),IF(IF('Model inputs'!B1092="",0,1)="",0,IF('Model inputs'!B1092="",0,1)),IF(IF('Model inputs'!B1093="",0,1)="",0,IF('Model inputs'!B1093="",0,1)),IF(IF('Model inputs'!B1094="",0,1)="",0,IF('Model inputs'!B1094="",0,1)),IF(IF('Model inputs'!B1095="",0,1)="",0,IF('Model inputs'!B1095="",0,1)),IF(IF('Model inputs'!B1096="",0,1)="",0,IF('Model inputs'!B1096="",0,1)),IF(IF('Model inputs'!B1097="",0,1)="",0,IF('Model inputs'!B1097="",0,1)))</f>
      </c>
    </row>
    <row r="1099">
      <c r="A1099" t="inlineStr" s="25">
        <is>
          <t xml:space="preserve">Calculation</t>
        </is>
      </c>
      <c r="B1099">
        <f>IF(IF(DATE(2026,10,1)=EDATE(DATE(2027,6,1),-'Model inputs'!AM13*1)="",FALSE,DATE(2026,10,1)=EDATE(DATE(2027,6,1),-'Model inputs'!AM13*1)),IF('POA — Monthly financial forecas'!B27="","",'POA — Monthly financial forecas'!B27),"")</f>
      </c>
    </row>
    <row r="1100">
      <c r="A1100" t="inlineStr" s="25">
        <is>
          <t xml:space="preserve">Calculation</t>
        </is>
      </c>
      <c r="B1100">
        <f>IF(IF(DATE(2026,11,1)=EDATE(DATE(2027,6,1),-'Model inputs'!AM13*1)="",FALSE,DATE(2026,11,1)=EDATE(DATE(2027,6,1),-'Model inputs'!AM13*1)),IF('POA — Monthly financial forecas'!C27="","",'POA — Monthly financial forecas'!C27),"")</f>
      </c>
    </row>
    <row r="1101">
      <c r="A1101" t="inlineStr" s="25">
        <is>
          <t xml:space="preserve">Calculation</t>
        </is>
      </c>
      <c r="B1101">
        <f>IF(IF(DATE(2026,12,1)=EDATE(DATE(2027,6,1),-'Model inputs'!AM13*1)="",FALSE,DATE(2026,12,1)=EDATE(DATE(2027,6,1),-'Model inputs'!AM13*1)),IF('POA — Monthly financial forecas'!D27="","",'POA — Monthly financial forecas'!D27),"")</f>
      </c>
    </row>
    <row r="1102">
      <c r="A1102" t="inlineStr" s="25">
        <is>
          <t xml:space="preserve">Calculation</t>
        </is>
      </c>
      <c r="B1102">
        <f>IF(IF(DATE(2027,1,1)=EDATE(DATE(2027,6,1),-'Model inputs'!AM13*1)="",FALSE,DATE(2027,1,1)=EDATE(DATE(2027,6,1),-'Model inputs'!AM13*1)),IF('POA — Monthly financial forecas'!E27="","",'POA — Monthly financial forecas'!E27),"")</f>
      </c>
    </row>
    <row r="1103">
      <c r="A1103" t="inlineStr" s="25">
        <is>
          <t xml:space="preserve">Calculation</t>
        </is>
      </c>
      <c r="B1103">
        <f>IF(IF(DATE(2027,2,1)=EDATE(DATE(2027,6,1),-'Model inputs'!AM13*1)="",FALSE,DATE(2027,2,1)=EDATE(DATE(2027,6,1),-'Model inputs'!AM13*1)),IF('POA — Monthly financial forecas'!F27="","",'POA — Monthly financial forecas'!F27),"")</f>
      </c>
    </row>
    <row r="1104">
      <c r="A1104" t="inlineStr" s="25">
        <is>
          <t xml:space="preserve">Calculation</t>
        </is>
      </c>
      <c r="B1104">
        <f>IF(IF(DATE(2027,3,1)=EDATE(DATE(2027,6,1),-'Model inputs'!AM13*1)="",FALSE,DATE(2027,3,1)=EDATE(DATE(2027,6,1),-'Model inputs'!AM13*1)),IF('POA — Monthly financial forecas'!G27="","",'POA — Monthly financial forecas'!G27),"")</f>
      </c>
    </row>
    <row r="1105">
      <c r="A1105" t="inlineStr" s="25">
        <is>
          <t xml:space="preserve">Calculation</t>
        </is>
      </c>
      <c r="B1105">
        <f>IF(IF(DATE(2027,4,1)=EDATE(DATE(2027,6,1),-'Model inputs'!AM13*1)="",FALSE,DATE(2027,4,1)=EDATE(DATE(2027,6,1),-'Model inputs'!AM13*1)),IF('POA — Monthly financial forecas'!H27="","",'POA — Monthly financial forecas'!H27),"")</f>
      </c>
    </row>
    <row r="1106">
      <c r="A1106" t="inlineStr" s="25">
        <is>
          <t xml:space="preserve">Calculation</t>
        </is>
      </c>
      <c r="B1106">
        <f>IF(IF(DATE(2027,5,1)=EDATE(DATE(2027,6,1),-'Model inputs'!AM13*1)="",FALSE,DATE(2027,5,1)=EDATE(DATE(2027,6,1),-'Model inputs'!AM13*1)),IF('POA — Monthly financial forecas'!I27="","",'POA — Monthly financial forecas'!I27),"")</f>
      </c>
    </row>
    <row r="1107">
      <c r="A1107" t="inlineStr" s="25">
        <is>
          <t xml:space="preserve">Calculation</t>
        </is>
      </c>
      <c r="B1107">
        <f>IF(IF(DATE(2027,6,1)=EDATE(DATE(2027,6,1),-'Model inputs'!AM13*1)="",FALSE,DATE(2027,6,1)=EDATE(DATE(2027,6,1),-'Model inputs'!AM13*1)),IF('POA — Monthly financial forecas'!J27="","",'POA — Monthly financial forecas'!J27),"")</f>
      </c>
    </row>
    <row r="1108">
      <c r="A1108" t="inlineStr" s="25">
        <is>
          <t xml:space="preserve">Calculation</t>
        </is>
      </c>
      <c r="B1108">
        <f>IF(IF(DATE(2027,7,1)=EDATE(DATE(2027,6,1),-'Model inputs'!AM13*1)="",FALSE,DATE(2027,7,1)=EDATE(DATE(2027,6,1),-'Model inputs'!AM13*1)),IF('POA — Monthly financial forecas'!K27="","",'POA — Monthly financial forecas'!K27),"")</f>
      </c>
    </row>
    <row r="1109">
      <c r="A1109" t="inlineStr" s="25">
        <is>
          <t xml:space="preserve">Calculation</t>
        </is>
      </c>
      <c r="B1109">
        <f>IF(IF(DATE(2027,8,1)=EDATE(DATE(2027,6,1),-'Model inputs'!AM13*1)="",FALSE,DATE(2027,8,1)=EDATE(DATE(2027,6,1),-'Model inputs'!AM13*1)),IF('POA — Monthly financial forecas'!L27="","",'POA — Monthly financial forecas'!L27),"")</f>
      </c>
    </row>
    <row r="1110">
      <c r="A1110" t="inlineStr" s="25">
        <is>
          <t xml:space="preserve">Calculation</t>
        </is>
      </c>
      <c r="B1110">
        <f>IF(IF(DATE(2027,9,1)=EDATE(DATE(2027,6,1),-'Model inputs'!AM13*1)="",FALSE,DATE(2027,9,1)=EDATE(DATE(2027,6,1),-'Model inputs'!AM13*1)),IF('POA — Monthly financial forecas'!M27="","",'POA — Monthly financial forecas'!M27),"")</f>
      </c>
    </row>
    <row r="1111">
      <c r="A1111" t="inlineStr" s="25">
        <is>
          <t xml:space="preserve">Calculation</t>
        </is>
      </c>
      <c r="B1111">
        <f>IF(IF(DATE(2027,10,1)=EDATE(DATE(2027,6,1),-'Model inputs'!AM13*1)="",FALSE,DATE(2027,10,1)=EDATE(DATE(2027,6,1),-'Model inputs'!AM13*1)),IF('POA — Monthly financial forecas'!N27="","",'POA — Monthly financial forecas'!N27),"")</f>
      </c>
    </row>
    <row r="1112">
      <c r="A1112" t="inlineStr" s="25">
        <is>
          <t xml:space="preserve">Calculation</t>
        </is>
      </c>
      <c r="B1112">
        <f>IF(IF(DATE(2027,11,1)=EDATE(DATE(2027,6,1),-'Model inputs'!AM13*1)="",FALSE,DATE(2027,11,1)=EDATE(DATE(2027,6,1),-'Model inputs'!AM13*1)),IF('POA — Monthly financial forecas'!O27="","",'POA — Monthly financial forecas'!O27),"")</f>
      </c>
    </row>
    <row r="1113">
      <c r="A1113" t="inlineStr" s="25">
        <is>
          <t xml:space="preserve">Calculation</t>
        </is>
      </c>
      <c r="B1113">
        <f>IF(IF(DATE(2027,12,1)=EDATE(DATE(2027,6,1),-'Model inputs'!AM13*1)="",FALSE,DATE(2027,12,1)=EDATE(DATE(2027,6,1),-'Model inputs'!AM13*1)),IF('POA — Monthly financial forecas'!P27="","",'POA — Monthly financial forecas'!P27),"")</f>
      </c>
    </row>
    <row r="1114">
      <c r="A1114" t="inlineStr" s="25">
        <is>
          <t xml:space="preserve">Calculation</t>
        </is>
      </c>
      <c r="B1114">
        <f>IF(IF(DATE(2028,1,1)=EDATE(DATE(2027,6,1),-'Model inputs'!AM13*1)="",FALSE,DATE(2028,1,1)=EDATE(DATE(2027,6,1),-'Model inputs'!AM13*1)),IF('POA — Monthly financial forecas'!Q27="","",'POA — Monthly financial forecas'!Q27),"")</f>
      </c>
    </row>
    <row r="1115">
      <c r="A1115" t="inlineStr" s="25">
        <is>
          <t xml:space="preserve">Calculation</t>
        </is>
      </c>
      <c r="B1115">
        <f>IF(IF(DATE(2028,2,1)=EDATE(DATE(2027,6,1),-'Model inputs'!AM13*1)="",FALSE,DATE(2028,2,1)=EDATE(DATE(2027,6,1),-'Model inputs'!AM13*1)),IF('POA — Monthly financial forecas'!R27="","",'POA — Monthly financial forecas'!R27),"")</f>
      </c>
    </row>
    <row r="1116">
      <c r="A1116" t="inlineStr" s="25">
        <is>
          <t xml:space="preserve">Calculation</t>
        </is>
      </c>
      <c r="B1116">
        <f>IF(IF(DATE(2028,3,1)=EDATE(DATE(2027,6,1),-'Model inputs'!AM13*1)="",FALSE,DATE(2028,3,1)=EDATE(DATE(2027,6,1),-'Model inputs'!AM13*1)),IF('POA — Monthly financial forecas'!S27="","",'POA — Monthly financial forecas'!S27),"")</f>
      </c>
    </row>
    <row r="1117">
      <c r="A1117" t="inlineStr" s="25">
        <is>
          <t xml:space="preserve">Calculation</t>
        </is>
      </c>
      <c r="B1117">
        <f>IF(IF(DATE(2028,4,1)=EDATE(DATE(2027,6,1),-'Model inputs'!AM13*1)="",FALSE,DATE(2028,4,1)=EDATE(DATE(2027,6,1),-'Model inputs'!AM13*1)),IF('POA — Monthly financial forecas'!T27="","",'POA — Monthly financial forecas'!T27),"")</f>
      </c>
    </row>
    <row r="1118">
      <c r="A1118" t="inlineStr" s="25">
        <is>
          <t xml:space="preserve">Calculation</t>
        </is>
      </c>
      <c r="B1118">
        <f>IF(IF(DATE(2028,5,1)=EDATE(DATE(2027,6,1),-'Model inputs'!AM13*1)="",FALSE,DATE(2028,5,1)=EDATE(DATE(2027,6,1),-'Model inputs'!AM13*1)),IF('POA — Monthly financial forecas'!U27="","",'POA — Monthly financial forecas'!U27),"")</f>
      </c>
    </row>
    <row r="1119">
      <c r="A1119" t="inlineStr" s="25">
        <is>
          <t xml:space="preserve">Calculation</t>
        </is>
      </c>
      <c r="B1119">
        <f>IF(IF(DATE(2028,6,1)=EDATE(DATE(2027,6,1),-'Model inputs'!AM13*1)="",FALSE,DATE(2028,6,1)=EDATE(DATE(2027,6,1),-'Model inputs'!AM13*1)),IF('POA — Monthly financial forecas'!V27="","",'POA — Monthly financial forecas'!V27),"")</f>
      </c>
    </row>
    <row r="1120">
      <c r="A1120" t="inlineStr" s="25">
        <is>
          <t xml:space="preserve">Calculation</t>
        </is>
      </c>
      <c r="B1120">
        <f>IF(IF(DATE(2028,7,1)=EDATE(DATE(2027,6,1),-'Model inputs'!AM13*1)="",FALSE,DATE(2028,7,1)=EDATE(DATE(2027,6,1),-'Model inputs'!AM13*1)),IF('POA — Monthly financial forecas'!W27="","",'POA — Monthly financial forecas'!W27),"")</f>
      </c>
    </row>
    <row r="1121">
      <c r="A1121" t="inlineStr" s="25">
        <is>
          <t xml:space="preserve">Calculation</t>
        </is>
      </c>
      <c r="B1121">
        <f>IF(IF(DATE(2028,8,1)=EDATE(DATE(2027,6,1),-'Model inputs'!AM13*1)="",FALSE,DATE(2028,8,1)=EDATE(DATE(2027,6,1),-'Model inputs'!AM13*1)),IF('POA — Monthly financial forecas'!X27="","",'POA — Monthly financial forecas'!X27),"")</f>
      </c>
    </row>
    <row r="1122">
      <c r="A1122" t="inlineStr" s="25">
        <is>
          <t xml:space="preserve">Calculation</t>
        </is>
      </c>
      <c r="B1122">
        <f>IF(IF(DATE(2028,9,1)=EDATE(DATE(2027,6,1),-'Model inputs'!AM13*1)="",FALSE,DATE(2028,9,1)=EDATE(DATE(2027,6,1),-'Model inputs'!AM13*1)),IF('POA — Monthly financial forecas'!Y27="","",'POA — Monthly financial forecas'!Y27),"")</f>
      </c>
    </row>
    <row r="1123">
      <c r="A1123" t="inlineStr" s="25">
        <is>
          <t xml:space="preserve">Calculation</t>
        </is>
      </c>
      <c r="B1123">
        <f>IF(IF(DATE(2028,10,1)=EDATE(DATE(2027,6,1),-'Model inputs'!AM13*1)="",FALSE,DATE(2028,10,1)=EDATE(DATE(2027,6,1),-'Model inputs'!AM13*1)),IF('POA — Monthly financial forecas'!Z27="","",'POA — Monthly financial forecas'!Z27),"")</f>
      </c>
    </row>
    <row r="1124">
      <c r="A1124" t="inlineStr" s="25">
        <is>
          <t xml:space="preserve">Calculation</t>
        </is>
      </c>
      <c r="B1124">
        <f>IF(IF(DATE(2028,11,1)=EDATE(DATE(2027,6,1),-'Model inputs'!AM13*1)="",FALSE,DATE(2028,11,1)=EDATE(DATE(2027,6,1),-'Model inputs'!AM13*1)),IF('POA — Monthly financial forecas'!AA27="","",'POA — Monthly financial forecas'!AA27),"")</f>
      </c>
    </row>
    <row r="1125">
      <c r="A1125" t="inlineStr" s="25">
        <is>
          <t xml:space="preserve">Calculation</t>
        </is>
      </c>
      <c r="B1125">
        <f>IF(IF(DATE(2028,12,1)=EDATE(DATE(2027,6,1),-'Model inputs'!AM13*1)="",FALSE,DATE(2028,12,1)=EDATE(DATE(2027,6,1),-'Model inputs'!AM13*1)),IF('POA — Monthly financial forecas'!AB27="","",'POA — Monthly financial forecas'!AB27),"")</f>
      </c>
    </row>
    <row r="1126">
      <c r="A1126" t="inlineStr" s="25">
        <is>
          <t xml:space="preserve">Calculation</t>
        </is>
      </c>
      <c r="B1126">
        <f>IF(IF(DATE(2029,1,1)=EDATE(DATE(2027,6,1),-'Model inputs'!AM13*1)="",FALSE,DATE(2029,1,1)=EDATE(DATE(2027,6,1),-'Model inputs'!AM13*1)),IF('POA — Monthly financial forecas'!AC27="","",'POA — Monthly financial forecas'!AC27),"")</f>
      </c>
    </row>
    <row r="1127">
      <c r="A1127" t="inlineStr" s="25">
        <is>
          <t xml:space="preserve">Calculation</t>
        </is>
      </c>
      <c r="B1127">
        <f>IF(IF(DATE(2029,2,1)=EDATE(DATE(2027,6,1),-'Model inputs'!AM13*1)="",FALSE,DATE(2029,2,1)=EDATE(DATE(2027,6,1),-'Model inputs'!AM13*1)),IF('POA — Monthly financial forecas'!AD27="","",'POA — Monthly financial forecas'!AD27),"")</f>
      </c>
    </row>
    <row r="1128">
      <c r="A1128" t="inlineStr" s="25">
        <is>
          <t xml:space="preserve">Calculation</t>
        </is>
      </c>
      <c r="B1128">
        <f>IF(IF(DATE(2029,3,1)=EDATE(DATE(2027,6,1),-'Model inputs'!AM13*1)="",FALSE,DATE(2029,3,1)=EDATE(DATE(2027,6,1),-'Model inputs'!AM13*1)),IF('POA — Monthly financial forecas'!AE27="","",'POA — Monthly financial forecas'!AE27),"")</f>
      </c>
    </row>
    <row r="1129">
      <c r="A1129" t="inlineStr" s="25">
        <is>
          <t xml:space="preserve">Calculation</t>
        </is>
      </c>
      <c r="B1129">
        <f>IF(IF(DATE(2029,4,1)=EDATE(DATE(2027,6,1),-'Model inputs'!AM13*1)="",FALSE,DATE(2029,4,1)=EDATE(DATE(2027,6,1),-'Model inputs'!AM13*1)),IF('POA — Monthly financial forecas'!AF27="","",'POA — Monthly financial forecas'!AF27),"")</f>
      </c>
    </row>
    <row r="1130">
      <c r="A1130" t="inlineStr" s="25">
        <is>
          <t xml:space="preserve">Calculation</t>
        </is>
      </c>
      <c r="B1130">
        <f>IF(IF(DATE(2029,5,1)=EDATE(DATE(2027,6,1),-'Model inputs'!AM13*1)="",FALSE,DATE(2029,5,1)=EDATE(DATE(2027,6,1),-'Model inputs'!AM13*1)),IF('POA — Monthly financial forecas'!AG27="","",'POA — Monthly financial forecas'!AG27),"")</f>
      </c>
    </row>
    <row r="1131">
      <c r="A1131" t="inlineStr" s="25">
        <is>
          <t xml:space="preserve">Calculation</t>
        </is>
      </c>
      <c r="B1131">
        <f>IF(IF(DATE(2029,6,1)=EDATE(DATE(2027,6,1),-'Model inputs'!AM13*1)="",FALSE,DATE(2029,6,1)=EDATE(DATE(2027,6,1),-'Model inputs'!AM13*1)),IF('POA — Monthly financial forecas'!AH27="","",'POA — Monthly financial forecas'!AH27),"")</f>
      </c>
    </row>
    <row r="1132">
      <c r="A1132" t="inlineStr" s="25">
        <is>
          <t xml:space="preserve">Calculation</t>
        </is>
      </c>
      <c r="B1132">
        <f>IF(IF(DATE(2029,7,1)=EDATE(DATE(2027,6,1),-'Model inputs'!AM13*1)="",FALSE,DATE(2029,7,1)=EDATE(DATE(2027,6,1),-'Model inputs'!AM13*1)),IF('POA — Monthly financial forecas'!AI27="","",'POA — Monthly financial forecas'!AI27),"")</f>
      </c>
    </row>
    <row r="1133">
      <c r="A1133" t="inlineStr" s="25">
        <is>
          <t xml:space="preserve">Calculation</t>
        </is>
      </c>
      <c r="B1133">
        <f>IF(IF(DATE(2029,8,1)=EDATE(DATE(2027,6,1),-'Model inputs'!AM13*1)="",FALSE,DATE(2029,8,1)=EDATE(DATE(2027,6,1),-'Model inputs'!AM13*1)),IF('POA — Monthly financial forecas'!AJ27="","",'POA — Monthly financial forecas'!AJ27),"")</f>
      </c>
    </row>
    <row r="1134">
      <c r="A1134" t="inlineStr" s="25">
        <is>
          <t xml:space="preserve">Calculation</t>
        </is>
      </c>
      <c r="B1134">
        <f>IF(IF(DATE(2029,9,1)=EDATE(DATE(2027,6,1),-'Model inputs'!AM13*1)="",FALSE,DATE(2029,9,1)=EDATE(DATE(2027,6,1),-'Model inputs'!AM13*1)),IF('POA — Monthly financial forecas'!AK27="","",'POA — Monthly financial forecas'!AK27),"")</f>
      </c>
    </row>
    <row r="1135">
      <c r="A1135" t="inlineStr" s="25">
        <is>
          <t xml:space="preserve">Calculation</t>
        </is>
      </c>
      <c r="B1135">
        <f>IF(IF(DATE(2026,9,1)=EDATE(DATE(2027,6,1),-'Model inputs'!AM13*1)="",FALSE,DATE(2026,9,1)=EDATE(DATE(2027,6,1),-'Model inputs'!AM13*1)),IF('Model inputs'!B85="","",'Model inputs'!B85),"")</f>
      </c>
    </row>
    <row r="1136">
      <c r="A1136" t="inlineStr" s="25">
        <is>
          <t xml:space="preserve">Calculation</t>
        </is>
      </c>
      <c r="B1136">
        <f>SUM(IF(IF('Model inputs'!B1099="",0,1)="",0,IF('Model inputs'!B1099="",0,1)),IF(IF('Model inputs'!B1100="",0,1)="",0,IF('Model inputs'!B1100="",0,1)),IF(IF('Model inputs'!B1101="",0,1)="",0,IF('Model inputs'!B1101="",0,1)),IF(IF('Model inputs'!B1102="",0,1)="",0,IF('Model inputs'!B1102="",0,1)),IF(IF('Model inputs'!B1103="",0,1)="",0,IF('Model inputs'!B1103="",0,1)),IF(IF('Model inputs'!B1104="",0,1)="",0,IF('Model inputs'!B1104="",0,1)),IF(IF('Model inputs'!B1105="",0,1)="",0,IF('Model inputs'!B1105="",0,1)),IF(IF('Model inputs'!B1106="",0,1)="",0,IF('Model inputs'!B1106="",0,1)),IF(IF('Model inputs'!B1107="",0,1)="",0,IF('Model inputs'!B1107="",0,1)),IF(IF('Model inputs'!B1108="",0,1)="",0,IF('Model inputs'!B1108="",0,1)),IF(IF('Model inputs'!B1109="",0,1)="",0,IF('Model inputs'!B1109="",0,1)),IF(IF('Model inputs'!B1110="",0,1)="",0,IF('Model inputs'!B1110="",0,1)),IF(IF('Model inputs'!B1111="",0,1)="",0,IF('Model inputs'!B1111="",0,1)),IF(IF('Model inputs'!B1112="",0,1)="",0,IF('Model inputs'!B1112="",0,1)),IF(IF('Model inputs'!B1113="",0,1)="",0,IF('Model inputs'!B1113="",0,1)),IF(IF('Model inputs'!B1114="",0,1)="",0,IF('Model inputs'!B1114="",0,1)),IF(IF('Model inputs'!B1115="",0,1)="",0,IF('Model inputs'!B1115="",0,1)),IF(IF('Model inputs'!B1116="",0,1)="",0,IF('Model inputs'!B1116="",0,1)),IF(IF('Model inputs'!B1117="",0,1)="",0,IF('Model inputs'!B1117="",0,1)),IF(IF('Model inputs'!B1118="",0,1)="",0,IF('Model inputs'!B1118="",0,1)),IF(IF('Model inputs'!B1119="",0,1)="",0,IF('Model inputs'!B1119="",0,1)),IF(IF('Model inputs'!B1120="",0,1)="",0,IF('Model inputs'!B1120="",0,1)),IF(IF('Model inputs'!B1121="",0,1)="",0,IF('Model inputs'!B1121="",0,1)),IF(IF('Model inputs'!B1122="",0,1)="",0,IF('Model inputs'!B1122="",0,1)),IF(IF('Model inputs'!B1123="",0,1)="",0,IF('Model inputs'!B1123="",0,1)),IF(IF('Model inputs'!B1124="",0,1)="",0,IF('Model inputs'!B1124="",0,1)),IF(IF('Model inputs'!B1125="",0,1)="",0,IF('Model inputs'!B1125="",0,1)),IF(IF('Model inputs'!B1126="",0,1)="",0,IF('Model inputs'!B1126="",0,1)),IF(IF('Model inputs'!B1127="",0,1)="",0,IF('Model inputs'!B1127="",0,1)),IF(IF('Model inputs'!B1128="",0,1)="",0,IF('Model inputs'!B1128="",0,1)),IF(IF('Model inputs'!B1129="",0,1)="",0,IF('Model inputs'!B1129="",0,1)),IF(IF('Model inputs'!B1130="",0,1)="",0,IF('Model inputs'!B1130="",0,1)),IF(IF('Model inputs'!B1131="",0,1)="",0,IF('Model inputs'!B1131="",0,1)),IF(IF('Model inputs'!B1132="",0,1)="",0,IF('Model inputs'!B1132="",0,1)),IF(IF('Model inputs'!B1133="",0,1)="",0,IF('Model inputs'!B1133="",0,1)),IF(IF('Model inputs'!B1134="",0,1)="",0,IF('Model inputs'!B1134="",0,1)),IF(IF('Model inputs'!B1135="",0,1)="",0,IF('Model inputs'!B1135="",0,1)))</f>
      </c>
    </row>
    <row r="1137">
      <c r="A1137" t="inlineStr" s="25">
        <is>
          <t xml:space="preserve">Calculation</t>
        </is>
      </c>
      <c r="B1137">
        <f>IF(IF(DATE(2026,10,1)=EDATE(DATE(2027,7,1),-'Model inputs'!AM13*1)="",FALSE,DATE(2026,10,1)=EDATE(DATE(2027,7,1),-'Model inputs'!AM13*1)),IF('POA — Monthly financial forecas'!B27="","",'POA — Monthly financial forecas'!B27),"")</f>
      </c>
    </row>
    <row r="1138">
      <c r="A1138" t="inlineStr" s="25">
        <is>
          <t xml:space="preserve">Calculation</t>
        </is>
      </c>
      <c r="B1138">
        <f>IF(IF(DATE(2026,11,1)=EDATE(DATE(2027,7,1),-'Model inputs'!AM13*1)="",FALSE,DATE(2026,11,1)=EDATE(DATE(2027,7,1),-'Model inputs'!AM13*1)),IF('POA — Monthly financial forecas'!C27="","",'POA — Monthly financial forecas'!C27),"")</f>
      </c>
    </row>
    <row r="1139">
      <c r="A1139" t="inlineStr" s="25">
        <is>
          <t xml:space="preserve">Calculation</t>
        </is>
      </c>
      <c r="B1139">
        <f>IF(IF(DATE(2026,12,1)=EDATE(DATE(2027,7,1),-'Model inputs'!AM13*1)="",FALSE,DATE(2026,12,1)=EDATE(DATE(2027,7,1),-'Model inputs'!AM13*1)),IF('POA — Monthly financial forecas'!D27="","",'POA — Monthly financial forecas'!D27),"")</f>
      </c>
    </row>
    <row r="1140">
      <c r="A1140" t="inlineStr" s="25">
        <is>
          <t xml:space="preserve">Calculation</t>
        </is>
      </c>
      <c r="B1140">
        <f>IF(IF(DATE(2027,1,1)=EDATE(DATE(2027,7,1),-'Model inputs'!AM13*1)="",FALSE,DATE(2027,1,1)=EDATE(DATE(2027,7,1),-'Model inputs'!AM13*1)),IF('POA — Monthly financial forecas'!E27="","",'POA — Monthly financial forecas'!E27),"")</f>
      </c>
    </row>
    <row r="1141">
      <c r="A1141" t="inlineStr" s="25">
        <is>
          <t xml:space="preserve">Calculation</t>
        </is>
      </c>
      <c r="B1141">
        <f>IF(IF(DATE(2027,2,1)=EDATE(DATE(2027,7,1),-'Model inputs'!AM13*1)="",FALSE,DATE(2027,2,1)=EDATE(DATE(2027,7,1),-'Model inputs'!AM13*1)),IF('POA — Monthly financial forecas'!F27="","",'POA — Monthly financial forecas'!F27),"")</f>
      </c>
    </row>
    <row r="1142">
      <c r="A1142" t="inlineStr" s="25">
        <is>
          <t xml:space="preserve">Calculation</t>
        </is>
      </c>
      <c r="B1142">
        <f>IF(IF(DATE(2027,3,1)=EDATE(DATE(2027,7,1),-'Model inputs'!AM13*1)="",FALSE,DATE(2027,3,1)=EDATE(DATE(2027,7,1),-'Model inputs'!AM13*1)),IF('POA — Monthly financial forecas'!G27="","",'POA — Monthly financial forecas'!G27),"")</f>
      </c>
    </row>
    <row r="1143">
      <c r="A1143" t="inlineStr" s="25">
        <is>
          <t xml:space="preserve">Calculation</t>
        </is>
      </c>
      <c r="B1143">
        <f>IF(IF(DATE(2027,4,1)=EDATE(DATE(2027,7,1),-'Model inputs'!AM13*1)="",FALSE,DATE(2027,4,1)=EDATE(DATE(2027,7,1),-'Model inputs'!AM13*1)),IF('POA — Monthly financial forecas'!H27="","",'POA — Monthly financial forecas'!H27),"")</f>
      </c>
    </row>
    <row r="1144">
      <c r="A1144" t="inlineStr" s="25">
        <is>
          <t xml:space="preserve">Calculation</t>
        </is>
      </c>
      <c r="B1144">
        <f>IF(IF(DATE(2027,5,1)=EDATE(DATE(2027,7,1),-'Model inputs'!AM13*1)="",FALSE,DATE(2027,5,1)=EDATE(DATE(2027,7,1),-'Model inputs'!AM13*1)),IF('POA — Monthly financial forecas'!I27="","",'POA — Monthly financial forecas'!I27),"")</f>
      </c>
    </row>
    <row r="1145">
      <c r="A1145" t="inlineStr" s="25">
        <is>
          <t xml:space="preserve">Calculation</t>
        </is>
      </c>
      <c r="B1145">
        <f>IF(IF(DATE(2027,6,1)=EDATE(DATE(2027,7,1),-'Model inputs'!AM13*1)="",FALSE,DATE(2027,6,1)=EDATE(DATE(2027,7,1),-'Model inputs'!AM13*1)),IF('POA — Monthly financial forecas'!J27="","",'POA — Monthly financial forecas'!J27),"")</f>
      </c>
    </row>
    <row r="1146">
      <c r="A1146" t="inlineStr" s="25">
        <is>
          <t xml:space="preserve">Calculation</t>
        </is>
      </c>
      <c r="B1146">
        <f>IF(IF(DATE(2027,7,1)=EDATE(DATE(2027,7,1),-'Model inputs'!AM13*1)="",FALSE,DATE(2027,7,1)=EDATE(DATE(2027,7,1),-'Model inputs'!AM13*1)),IF('POA — Monthly financial forecas'!K27="","",'POA — Monthly financial forecas'!K27),"")</f>
      </c>
    </row>
    <row r="1147">
      <c r="A1147" t="inlineStr" s="25">
        <is>
          <t xml:space="preserve">Calculation</t>
        </is>
      </c>
      <c r="B1147">
        <f>IF(IF(DATE(2027,8,1)=EDATE(DATE(2027,7,1),-'Model inputs'!AM13*1)="",FALSE,DATE(2027,8,1)=EDATE(DATE(2027,7,1),-'Model inputs'!AM13*1)),IF('POA — Monthly financial forecas'!L27="","",'POA — Monthly financial forecas'!L27),"")</f>
      </c>
    </row>
    <row r="1148">
      <c r="A1148" t="inlineStr" s="25">
        <is>
          <t xml:space="preserve">Calculation</t>
        </is>
      </c>
      <c r="B1148">
        <f>IF(IF(DATE(2027,9,1)=EDATE(DATE(2027,7,1),-'Model inputs'!AM13*1)="",FALSE,DATE(2027,9,1)=EDATE(DATE(2027,7,1),-'Model inputs'!AM13*1)),IF('POA — Monthly financial forecas'!M27="","",'POA — Monthly financial forecas'!M27),"")</f>
      </c>
    </row>
    <row r="1149">
      <c r="A1149" t="inlineStr" s="25">
        <is>
          <t xml:space="preserve">Calculation</t>
        </is>
      </c>
      <c r="B1149">
        <f>IF(IF(DATE(2027,10,1)=EDATE(DATE(2027,7,1),-'Model inputs'!AM13*1)="",FALSE,DATE(2027,10,1)=EDATE(DATE(2027,7,1),-'Model inputs'!AM13*1)),IF('POA — Monthly financial forecas'!N27="","",'POA — Monthly financial forecas'!N27),"")</f>
      </c>
    </row>
    <row r="1150">
      <c r="A1150" t="inlineStr" s="25">
        <is>
          <t xml:space="preserve">Calculation</t>
        </is>
      </c>
      <c r="B1150">
        <f>IF(IF(DATE(2027,11,1)=EDATE(DATE(2027,7,1),-'Model inputs'!AM13*1)="",FALSE,DATE(2027,11,1)=EDATE(DATE(2027,7,1),-'Model inputs'!AM13*1)),IF('POA — Monthly financial forecas'!O27="","",'POA — Monthly financial forecas'!O27),"")</f>
      </c>
    </row>
    <row r="1151">
      <c r="A1151" t="inlineStr" s="25">
        <is>
          <t xml:space="preserve">Calculation</t>
        </is>
      </c>
      <c r="B1151">
        <f>IF(IF(DATE(2027,12,1)=EDATE(DATE(2027,7,1),-'Model inputs'!AM13*1)="",FALSE,DATE(2027,12,1)=EDATE(DATE(2027,7,1),-'Model inputs'!AM13*1)),IF('POA — Monthly financial forecas'!P27="","",'POA — Monthly financial forecas'!P27),"")</f>
      </c>
    </row>
    <row r="1152">
      <c r="A1152" t="inlineStr" s="25">
        <is>
          <t xml:space="preserve">Calculation</t>
        </is>
      </c>
      <c r="B1152">
        <f>IF(IF(DATE(2028,1,1)=EDATE(DATE(2027,7,1),-'Model inputs'!AM13*1)="",FALSE,DATE(2028,1,1)=EDATE(DATE(2027,7,1),-'Model inputs'!AM13*1)),IF('POA — Monthly financial forecas'!Q27="","",'POA — Monthly financial forecas'!Q27),"")</f>
      </c>
    </row>
    <row r="1153">
      <c r="A1153" t="inlineStr" s="25">
        <is>
          <t xml:space="preserve">Calculation</t>
        </is>
      </c>
      <c r="B1153">
        <f>IF(IF(DATE(2028,2,1)=EDATE(DATE(2027,7,1),-'Model inputs'!AM13*1)="",FALSE,DATE(2028,2,1)=EDATE(DATE(2027,7,1),-'Model inputs'!AM13*1)),IF('POA — Monthly financial forecas'!R27="","",'POA — Monthly financial forecas'!R27),"")</f>
      </c>
    </row>
    <row r="1154">
      <c r="A1154" t="inlineStr" s="25">
        <is>
          <t xml:space="preserve">Calculation</t>
        </is>
      </c>
      <c r="B1154">
        <f>IF(IF(DATE(2028,3,1)=EDATE(DATE(2027,7,1),-'Model inputs'!AM13*1)="",FALSE,DATE(2028,3,1)=EDATE(DATE(2027,7,1),-'Model inputs'!AM13*1)),IF('POA — Monthly financial forecas'!S27="","",'POA — Monthly financial forecas'!S27),"")</f>
      </c>
    </row>
    <row r="1155">
      <c r="A1155" t="inlineStr" s="25">
        <is>
          <t xml:space="preserve">Calculation</t>
        </is>
      </c>
      <c r="B1155">
        <f>IF(IF(DATE(2028,4,1)=EDATE(DATE(2027,7,1),-'Model inputs'!AM13*1)="",FALSE,DATE(2028,4,1)=EDATE(DATE(2027,7,1),-'Model inputs'!AM13*1)),IF('POA — Monthly financial forecas'!T27="","",'POA — Monthly financial forecas'!T27),"")</f>
      </c>
    </row>
    <row r="1156">
      <c r="A1156" t="inlineStr" s="25">
        <is>
          <t xml:space="preserve">Calculation</t>
        </is>
      </c>
      <c r="B1156">
        <f>IF(IF(DATE(2028,5,1)=EDATE(DATE(2027,7,1),-'Model inputs'!AM13*1)="",FALSE,DATE(2028,5,1)=EDATE(DATE(2027,7,1),-'Model inputs'!AM13*1)),IF('POA — Monthly financial forecas'!U27="","",'POA — Monthly financial forecas'!U27),"")</f>
      </c>
    </row>
    <row r="1157">
      <c r="A1157" t="inlineStr" s="25">
        <is>
          <t xml:space="preserve">Calculation</t>
        </is>
      </c>
      <c r="B1157">
        <f>IF(IF(DATE(2028,6,1)=EDATE(DATE(2027,7,1),-'Model inputs'!AM13*1)="",FALSE,DATE(2028,6,1)=EDATE(DATE(2027,7,1),-'Model inputs'!AM13*1)),IF('POA — Monthly financial forecas'!V27="","",'POA — Monthly financial forecas'!V27),"")</f>
      </c>
    </row>
    <row r="1158">
      <c r="A1158" t="inlineStr" s="25">
        <is>
          <t xml:space="preserve">Calculation</t>
        </is>
      </c>
      <c r="B1158">
        <f>IF(IF(DATE(2028,7,1)=EDATE(DATE(2027,7,1),-'Model inputs'!AM13*1)="",FALSE,DATE(2028,7,1)=EDATE(DATE(2027,7,1),-'Model inputs'!AM13*1)),IF('POA — Monthly financial forecas'!W27="","",'POA — Monthly financial forecas'!W27),"")</f>
      </c>
    </row>
    <row r="1159">
      <c r="A1159" t="inlineStr" s="25">
        <is>
          <t xml:space="preserve">Calculation</t>
        </is>
      </c>
      <c r="B1159">
        <f>IF(IF(DATE(2028,8,1)=EDATE(DATE(2027,7,1),-'Model inputs'!AM13*1)="",FALSE,DATE(2028,8,1)=EDATE(DATE(2027,7,1),-'Model inputs'!AM13*1)),IF('POA — Monthly financial forecas'!X27="","",'POA — Monthly financial forecas'!X27),"")</f>
      </c>
    </row>
    <row r="1160">
      <c r="A1160" t="inlineStr" s="25">
        <is>
          <t xml:space="preserve">Calculation</t>
        </is>
      </c>
      <c r="B1160">
        <f>IF(IF(DATE(2028,9,1)=EDATE(DATE(2027,7,1),-'Model inputs'!AM13*1)="",FALSE,DATE(2028,9,1)=EDATE(DATE(2027,7,1),-'Model inputs'!AM13*1)),IF('POA — Monthly financial forecas'!Y27="","",'POA — Monthly financial forecas'!Y27),"")</f>
      </c>
    </row>
    <row r="1161">
      <c r="A1161" t="inlineStr" s="25">
        <is>
          <t xml:space="preserve">Calculation</t>
        </is>
      </c>
      <c r="B1161">
        <f>IF(IF(DATE(2028,10,1)=EDATE(DATE(2027,7,1),-'Model inputs'!AM13*1)="",FALSE,DATE(2028,10,1)=EDATE(DATE(2027,7,1),-'Model inputs'!AM13*1)),IF('POA — Monthly financial forecas'!Z27="","",'POA — Monthly financial forecas'!Z27),"")</f>
      </c>
    </row>
    <row r="1162">
      <c r="A1162" t="inlineStr" s="25">
        <is>
          <t xml:space="preserve">Calculation</t>
        </is>
      </c>
      <c r="B1162">
        <f>IF(IF(DATE(2028,11,1)=EDATE(DATE(2027,7,1),-'Model inputs'!AM13*1)="",FALSE,DATE(2028,11,1)=EDATE(DATE(2027,7,1),-'Model inputs'!AM13*1)),IF('POA — Monthly financial forecas'!AA27="","",'POA — Monthly financial forecas'!AA27),"")</f>
      </c>
    </row>
    <row r="1163">
      <c r="A1163" t="inlineStr" s="25">
        <is>
          <t xml:space="preserve">Calculation</t>
        </is>
      </c>
      <c r="B1163">
        <f>IF(IF(DATE(2028,12,1)=EDATE(DATE(2027,7,1),-'Model inputs'!AM13*1)="",FALSE,DATE(2028,12,1)=EDATE(DATE(2027,7,1),-'Model inputs'!AM13*1)),IF('POA — Monthly financial forecas'!AB27="","",'POA — Monthly financial forecas'!AB27),"")</f>
      </c>
    </row>
    <row r="1164">
      <c r="A1164" t="inlineStr" s="25">
        <is>
          <t xml:space="preserve">Calculation</t>
        </is>
      </c>
      <c r="B1164">
        <f>IF(IF(DATE(2029,1,1)=EDATE(DATE(2027,7,1),-'Model inputs'!AM13*1)="",FALSE,DATE(2029,1,1)=EDATE(DATE(2027,7,1),-'Model inputs'!AM13*1)),IF('POA — Monthly financial forecas'!AC27="","",'POA — Monthly financial forecas'!AC27),"")</f>
      </c>
    </row>
    <row r="1165">
      <c r="A1165" t="inlineStr" s="25">
        <is>
          <t xml:space="preserve">Calculation</t>
        </is>
      </c>
      <c r="B1165">
        <f>IF(IF(DATE(2029,2,1)=EDATE(DATE(2027,7,1),-'Model inputs'!AM13*1)="",FALSE,DATE(2029,2,1)=EDATE(DATE(2027,7,1),-'Model inputs'!AM13*1)),IF('POA — Monthly financial forecas'!AD27="","",'POA — Monthly financial forecas'!AD27),"")</f>
      </c>
    </row>
    <row r="1166">
      <c r="A1166" t="inlineStr" s="25">
        <is>
          <t xml:space="preserve">Calculation</t>
        </is>
      </c>
      <c r="B1166">
        <f>IF(IF(DATE(2029,3,1)=EDATE(DATE(2027,7,1),-'Model inputs'!AM13*1)="",FALSE,DATE(2029,3,1)=EDATE(DATE(2027,7,1),-'Model inputs'!AM13*1)),IF('POA — Monthly financial forecas'!AE27="","",'POA — Monthly financial forecas'!AE27),"")</f>
      </c>
    </row>
    <row r="1167">
      <c r="A1167" t="inlineStr" s="25">
        <is>
          <t xml:space="preserve">Calculation</t>
        </is>
      </c>
      <c r="B1167">
        <f>IF(IF(DATE(2029,4,1)=EDATE(DATE(2027,7,1),-'Model inputs'!AM13*1)="",FALSE,DATE(2029,4,1)=EDATE(DATE(2027,7,1),-'Model inputs'!AM13*1)),IF('POA — Monthly financial forecas'!AF27="","",'POA — Monthly financial forecas'!AF27),"")</f>
      </c>
    </row>
    <row r="1168">
      <c r="A1168" t="inlineStr" s="25">
        <is>
          <t xml:space="preserve">Calculation</t>
        </is>
      </c>
      <c r="B1168">
        <f>IF(IF(DATE(2029,5,1)=EDATE(DATE(2027,7,1),-'Model inputs'!AM13*1)="",FALSE,DATE(2029,5,1)=EDATE(DATE(2027,7,1),-'Model inputs'!AM13*1)),IF('POA — Monthly financial forecas'!AG27="","",'POA — Monthly financial forecas'!AG27),"")</f>
      </c>
    </row>
    <row r="1169">
      <c r="A1169" t="inlineStr" s="25">
        <is>
          <t xml:space="preserve">Calculation</t>
        </is>
      </c>
      <c r="B1169">
        <f>IF(IF(DATE(2029,6,1)=EDATE(DATE(2027,7,1),-'Model inputs'!AM13*1)="",FALSE,DATE(2029,6,1)=EDATE(DATE(2027,7,1),-'Model inputs'!AM13*1)),IF('POA — Monthly financial forecas'!AH27="","",'POA — Monthly financial forecas'!AH27),"")</f>
      </c>
    </row>
    <row r="1170">
      <c r="A1170" t="inlineStr" s="25">
        <is>
          <t xml:space="preserve">Calculation</t>
        </is>
      </c>
      <c r="B1170">
        <f>IF(IF(DATE(2029,7,1)=EDATE(DATE(2027,7,1),-'Model inputs'!AM13*1)="",FALSE,DATE(2029,7,1)=EDATE(DATE(2027,7,1),-'Model inputs'!AM13*1)),IF('POA — Monthly financial forecas'!AI27="","",'POA — Monthly financial forecas'!AI27),"")</f>
      </c>
    </row>
    <row r="1171">
      <c r="A1171" t="inlineStr" s="25">
        <is>
          <t xml:space="preserve">Calculation</t>
        </is>
      </c>
      <c r="B1171">
        <f>IF(IF(DATE(2029,8,1)=EDATE(DATE(2027,7,1),-'Model inputs'!AM13*1)="",FALSE,DATE(2029,8,1)=EDATE(DATE(2027,7,1),-'Model inputs'!AM13*1)),IF('POA — Monthly financial forecas'!AJ27="","",'POA — Monthly financial forecas'!AJ27),"")</f>
      </c>
    </row>
    <row r="1172">
      <c r="A1172" t="inlineStr" s="25">
        <is>
          <t xml:space="preserve">Calculation</t>
        </is>
      </c>
      <c r="B1172">
        <f>IF(IF(DATE(2029,9,1)=EDATE(DATE(2027,7,1),-'Model inputs'!AM13*1)="",FALSE,DATE(2029,9,1)=EDATE(DATE(2027,7,1),-'Model inputs'!AM13*1)),IF('POA — Monthly financial forecas'!AK27="","",'POA — Monthly financial forecas'!AK27),"")</f>
      </c>
    </row>
    <row r="1173">
      <c r="A1173" t="inlineStr" s="25">
        <is>
          <t xml:space="preserve">Calculation</t>
        </is>
      </c>
      <c r="B1173">
        <f>IF(IF(DATE(2026,9,1)=EDATE(DATE(2027,7,1),-'Model inputs'!AM13*1)="",FALSE,DATE(2026,9,1)=EDATE(DATE(2027,7,1),-'Model inputs'!AM13*1)),IF('Model inputs'!B85="","",'Model inputs'!B85),"")</f>
      </c>
    </row>
    <row r="1174">
      <c r="A1174" t="inlineStr" s="25">
        <is>
          <t xml:space="preserve">Calculation</t>
        </is>
      </c>
      <c r="B1174">
        <f>SUM(IF(IF('Model inputs'!B1137="",0,1)="",0,IF('Model inputs'!B1137="",0,1)),IF(IF('Model inputs'!B1138="",0,1)="",0,IF('Model inputs'!B1138="",0,1)),IF(IF('Model inputs'!B1139="",0,1)="",0,IF('Model inputs'!B1139="",0,1)),IF(IF('Model inputs'!B1140="",0,1)="",0,IF('Model inputs'!B1140="",0,1)),IF(IF('Model inputs'!B1141="",0,1)="",0,IF('Model inputs'!B1141="",0,1)),IF(IF('Model inputs'!B1142="",0,1)="",0,IF('Model inputs'!B1142="",0,1)),IF(IF('Model inputs'!B1143="",0,1)="",0,IF('Model inputs'!B1143="",0,1)),IF(IF('Model inputs'!B1144="",0,1)="",0,IF('Model inputs'!B1144="",0,1)),IF(IF('Model inputs'!B1145="",0,1)="",0,IF('Model inputs'!B1145="",0,1)),IF(IF('Model inputs'!B1146="",0,1)="",0,IF('Model inputs'!B1146="",0,1)),IF(IF('Model inputs'!B1147="",0,1)="",0,IF('Model inputs'!B1147="",0,1)),IF(IF('Model inputs'!B1148="",0,1)="",0,IF('Model inputs'!B1148="",0,1)),IF(IF('Model inputs'!B1149="",0,1)="",0,IF('Model inputs'!B1149="",0,1)),IF(IF('Model inputs'!B1150="",0,1)="",0,IF('Model inputs'!B1150="",0,1)),IF(IF('Model inputs'!B1151="",0,1)="",0,IF('Model inputs'!B1151="",0,1)),IF(IF('Model inputs'!B1152="",0,1)="",0,IF('Model inputs'!B1152="",0,1)),IF(IF('Model inputs'!B1153="",0,1)="",0,IF('Model inputs'!B1153="",0,1)),IF(IF('Model inputs'!B1154="",0,1)="",0,IF('Model inputs'!B1154="",0,1)),IF(IF('Model inputs'!B1155="",0,1)="",0,IF('Model inputs'!B1155="",0,1)),IF(IF('Model inputs'!B1156="",0,1)="",0,IF('Model inputs'!B1156="",0,1)),IF(IF('Model inputs'!B1157="",0,1)="",0,IF('Model inputs'!B1157="",0,1)),IF(IF('Model inputs'!B1158="",0,1)="",0,IF('Model inputs'!B1158="",0,1)),IF(IF('Model inputs'!B1159="",0,1)="",0,IF('Model inputs'!B1159="",0,1)),IF(IF('Model inputs'!B1160="",0,1)="",0,IF('Model inputs'!B1160="",0,1)),IF(IF('Model inputs'!B1161="",0,1)="",0,IF('Model inputs'!B1161="",0,1)),IF(IF('Model inputs'!B1162="",0,1)="",0,IF('Model inputs'!B1162="",0,1)),IF(IF('Model inputs'!B1163="",0,1)="",0,IF('Model inputs'!B1163="",0,1)),IF(IF('Model inputs'!B1164="",0,1)="",0,IF('Model inputs'!B1164="",0,1)),IF(IF('Model inputs'!B1165="",0,1)="",0,IF('Model inputs'!B1165="",0,1)),IF(IF('Model inputs'!B1166="",0,1)="",0,IF('Model inputs'!B1166="",0,1)),IF(IF('Model inputs'!B1167="",0,1)="",0,IF('Model inputs'!B1167="",0,1)),IF(IF('Model inputs'!B1168="",0,1)="",0,IF('Model inputs'!B1168="",0,1)),IF(IF('Model inputs'!B1169="",0,1)="",0,IF('Model inputs'!B1169="",0,1)),IF(IF('Model inputs'!B1170="",0,1)="",0,IF('Model inputs'!B1170="",0,1)),IF(IF('Model inputs'!B1171="",0,1)="",0,IF('Model inputs'!B1171="",0,1)),IF(IF('Model inputs'!B1172="",0,1)="",0,IF('Model inputs'!B1172="",0,1)),IF(IF('Model inputs'!B1173="",0,1)="",0,IF('Model inputs'!B1173="",0,1)))</f>
      </c>
    </row>
    <row r="1175">
      <c r="A1175" t="inlineStr" s="25">
        <is>
          <t xml:space="preserve">Calculation</t>
        </is>
      </c>
      <c r="B1175">
        <f>IF(IF(DATE(2026,10,1)=EDATE(DATE(2027,8,1),-'Model inputs'!AM13*1)="",FALSE,DATE(2026,10,1)=EDATE(DATE(2027,8,1),-'Model inputs'!AM13*1)),IF('POA — Monthly financial forecas'!B27="","",'POA — Monthly financial forecas'!B27),"")</f>
      </c>
    </row>
    <row r="1176">
      <c r="A1176" t="inlineStr" s="25">
        <is>
          <t xml:space="preserve">Calculation</t>
        </is>
      </c>
      <c r="B1176">
        <f>IF(IF(DATE(2026,11,1)=EDATE(DATE(2027,8,1),-'Model inputs'!AM13*1)="",FALSE,DATE(2026,11,1)=EDATE(DATE(2027,8,1),-'Model inputs'!AM13*1)),IF('POA — Monthly financial forecas'!C27="","",'POA — Monthly financial forecas'!C27),"")</f>
      </c>
    </row>
    <row r="1177">
      <c r="A1177" t="inlineStr" s="25">
        <is>
          <t xml:space="preserve">Calculation</t>
        </is>
      </c>
      <c r="B1177">
        <f>IF(IF(DATE(2026,12,1)=EDATE(DATE(2027,8,1),-'Model inputs'!AM13*1)="",FALSE,DATE(2026,12,1)=EDATE(DATE(2027,8,1),-'Model inputs'!AM13*1)),IF('POA — Monthly financial forecas'!D27="","",'POA — Monthly financial forecas'!D27),"")</f>
      </c>
    </row>
    <row r="1178">
      <c r="A1178" t="inlineStr" s="25">
        <is>
          <t xml:space="preserve">Calculation</t>
        </is>
      </c>
      <c r="B1178">
        <f>IF(IF(DATE(2027,1,1)=EDATE(DATE(2027,8,1),-'Model inputs'!AM13*1)="",FALSE,DATE(2027,1,1)=EDATE(DATE(2027,8,1),-'Model inputs'!AM13*1)),IF('POA — Monthly financial forecas'!E27="","",'POA — Monthly financial forecas'!E27),"")</f>
      </c>
    </row>
    <row r="1179">
      <c r="A1179" t="inlineStr" s="25">
        <is>
          <t xml:space="preserve">Calculation</t>
        </is>
      </c>
      <c r="B1179">
        <f>IF(IF(DATE(2027,2,1)=EDATE(DATE(2027,8,1),-'Model inputs'!AM13*1)="",FALSE,DATE(2027,2,1)=EDATE(DATE(2027,8,1),-'Model inputs'!AM13*1)),IF('POA — Monthly financial forecas'!F27="","",'POA — Monthly financial forecas'!F27),"")</f>
      </c>
    </row>
    <row r="1180">
      <c r="A1180" t="inlineStr" s="25">
        <is>
          <t xml:space="preserve">Calculation</t>
        </is>
      </c>
      <c r="B1180">
        <f>IF(IF(DATE(2027,3,1)=EDATE(DATE(2027,8,1),-'Model inputs'!AM13*1)="",FALSE,DATE(2027,3,1)=EDATE(DATE(2027,8,1),-'Model inputs'!AM13*1)),IF('POA — Monthly financial forecas'!G27="","",'POA — Monthly financial forecas'!G27),"")</f>
      </c>
    </row>
    <row r="1181">
      <c r="A1181" t="inlineStr" s="25">
        <is>
          <t xml:space="preserve">Calculation</t>
        </is>
      </c>
      <c r="B1181">
        <f>IF(IF(DATE(2027,4,1)=EDATE(DATE(2027,8,1),-'Model inputs'!AM13*1)="",FALSE,DATE(2027,4,1)=EDATE(DATE(2027,8,1),-'Model inputs'!AM13*1)),IF('POA — Monthly financial forecas'!H27="","",'POA — Monthly financial forecas'!H27),"")</f>
      </c>
    </row>
    <row r="1182">
      <c r="A1182" t="inlineStr" s="25">
        <is>
          <t xml:space="preserve">Calculation</t>
        </is>
      </c>
      <c r="B1182">
        <f>IF(IF(DATE(2027,5,1)=EDATE(DATE(2027,8,1),-'Model inputs'!AM13*1)="",FALSE,DATE(2027,5,1)=EDATE(DATE(2027,8,1),-'Model inputs'!AM13*1)),IF('POA — Monthly financial forecas'!I27="","",'POA — Monthly financial forecas'!I27),"")</f>
      </c>
    </row>
    <row r="1183">
      <c r="A1183" t="inlineStr" s="25">
        <is>
          <t xml:space="preserve">Calculation</t>
        </is>
      </c>
      <c r="B1183">
        <f>IF(IF(DATE(2027,6,1)=EDATE(DATE(2027,8,1),-'Model inputs'!AM13*1)="",FALSE,DATE(2027,6,1)=EDATE(DATE(2027,8,1),-'Model inputs'!AM13*1)),IF('POA — Monthly financial forecas'!J27="","",'POA — Monthly financial forecas'!J27),"")</f>
      </c>
    </row>
    <row r="1184">
      <c r="A1184" t="inlineStr" s="25">
        <is>
          <t xml:space="preserve">Calculation</t>
        </is>
      </c>
      <c r="B1184">
        <f>IF(IF(DATE(2027,7,1)=EDATE(DATE(2027,8,1),-'Model inputs'!AM13*1)="",FALSE,DATE(2027,7,1)=EDATE(DATE(2027,8,1),-'Model inputs'!AM13*1)),IF('POA — Monthly financial forecas'!K27="","",'POA — Monthly financial forecas'!K27),"")</f>
      </c>
    </row>
    <row r="1185">
      <c r="A1185" t="inlineStr" s="25">
        <is>
          <t xml:space="preserve">Calculation</t>
        </is>
      </c>
      <c r="B1185">
        <f>IF(IF(DATE(2027,8,1)=EDATE(DATE(2027,8,1),-'Model inputs'!AM13*1)="",FALSE,DATE(2027,8,1)=EDATE(DATE(2027,8,1),-'Model inputs'!AM13*1)),IF('POA — Monthly financial forecas'!L27="","",'POA — Monthly financial forecas'!L27),"")</f>
      </c>
    </row>
    <row r="1186">
      <c r="A1186" t="inlineStr" s="25">
        <is>
          <t xml:space="preserve">Calculation</t>
        </is>
      </c>
      <c r="B1186">
        <f>IF(IF(DATE(2027,9,1)=EDATE(DATE(2027,8,1),-'Model inputs'!AM13*1)="",FALSE,DATE(2027,9,1)=EDATE(DATE(2027,8,1),-'Model inputs'!AM13*1)),IF('POA — Monthly financial forecas'!M27="","",'POA — Monthly financial forecas'!M27),"")</f>
      </c>
    </row>
    <row r="1187">
      <c r="A1187" t="inlineStr" s="25">
        <is>
          <t xml:space="preserve">Calculation</t>
        </is>
      </c>
      <c r="B1187">
        <f>IF(IF(DATE(2027,10,1)=EDATE(DATE(2027,8,1),-'Model inputs'!AM13*1)="",FALSE,DATE(2027,10,1)=EDATE(DATE(2027,8,1),-'Model inputs'!AM13*1)),IF('POA — Monthly financial forecas'!N27="","",'POA — Monthly financial forecas'!N27),"")</f>
      </c>
    </row>
    <row r="1188">
      <c r="A1188" t="inlineStr" s="25">
        <is>
          <t xml:space="preserve">Calculation</t>
        </is>
      </c>
      <c r="B1188">
        <f>IF(IF(DATE(2027,11,1)=EDATE(DATE(2027,8,1),-'Model inputs'!AM13*1)="",FALSE,DATE(2027,11,1)=EDATE(DATE(2027,8,1),-'Model inputs'!AM13*1)),IF('POA — Monthly financial forecas'!O27="","",'POA — Monthly financial forecas'!O27),"")</f>
      </c>
    </row>
    <row r="1189">
      <c r="A1189" t="inlineStr" s="25">
        <is>
          <t xml:space="preserve">Calculation</t>
        </is>
      </c>
      <c r="B1189">
        <f>IF(IF(DATE(2027,12,1)=EDATE(DATE(2027,8,1),-'Model inputs'!AM13*1)="",FALSE,DATE(2027,12,1)=EDATE(DATE(2027,8,1),-'Model inputs'!AM13*1)),IF('POA — Monthly financial forecas'!P27="","",'POA — Monthly financial forecas'!P27),"")</f>
      </c>
    </row>
    <row r="1190">
      <c r="A1190" t="inlineStr" s="25">
        <is>
          <t xml:space="preserve">Calculation</t>
        </is>
      </c>
      <c r="B1190">
        <f>IF(IF(DATE(2028,1,1)=EDATE(DATE(2027,8,1),-'Model inputs'!AM13*1)="",FALSE,DATE(2028,1,1)=EDATE(DATE(2027,8,1),-'Model inputs'!AM13*1)),IF('POA — Monthly financial forecas'!Q27="","",'POA — Monthly financial forecas'!Q27),"")</f>
      </c>
    </row>
    <row r="1191">
      <c r="A1191" t="inlineStr" s="25">
        <is>
          <t xml:space="preserve">Calculation</t>
        </is>
      </c>
      <c r="B1191">
        <f>IF(IF(DATE(2028,2,1)=EDATE(DATE(2027,8,1),-'Model inputs'!AM13*1)="",FALSE,DATE(2028,2,1)=EDATE(DATE(2027,8,1),-'Model inputs'!AM13*1)),IF('POA — Monthly financial forecas'!R27="","",'POA — Monthly financial forecas'!R27),"")</f>
      </c>
    </row>
    <row r="1192">
      <c r="A1192" t="inlineStr" s="25">
        <is>
          <t xml:space="preserve">Calculation</t>
        </is>
      </c>
      <c r="B1192">
        <f>IF(IF(DATE(2028,3,1)=EDATE(DATE(2027,8,1),-'Model inputs'!AM13*1)="",FALSE,DATE(2028,3,1)=EDATE(DATE(2027,8,1),-'Model inputs'!AM13*1)),IF('POA — Monthly financial forecas'!S27="","",'POA — Monthly financial forecas'!S27),"")</f>
      </c>
    </row>
    <row r="1193">
      <c r="A1193" t="inlineStr" s="25">
        <is>
          <t xml:space="preserve">Calculation</t>
        </is>
      </c>
      <c r="B1193">
        <f>IF(IF(DATE(2028,4,1)=EDATE(DATE(2027,8,1),-'Model inputs'!AM13*1)="",FALSE,DATE(2028,4,1)=EDATE(DATE(2027,8,1),-'Model inputs'!AM13*1)),IF('POA — Monthly financial forecas'!T27="","",'POA — Monthly financial forecas'!T27),"")</f>
      </c>
    </row>
    <row r="1194">
      <c r="A1194" t="inlineStr" s="25">
        <is>
          <t xml:space="preserve">Calculation</t>
        </is>
      </c>
      <c r="B1194">
        <f>IF(IF(DATE(2028,5,1)=EDATE(DATE(2027,8,1),-'Model inputs'!AM13*1)="",FALSE,DATE(2028,5,1)=EDATE(DATE(2027,8,1),-'Model inputs'!AM13*1)),IF('POA — Monthly financial forecas'!U27="","",'POA — Monthly financial forecas'!U27),"")</f>
      </c>
    </row>
    <row r="1195">
      <c r="A1195" t="inlineStr" s="25">
        <is>
          <t xml:space="preserve">Calculation</t>
        </is>
      </c>
      <c r="B1195">
        <f>IF(IF(DATE(2028,6,1)=EDATE(DATE(2027,8,1),-'Model inputs'!AM13*1)="",FALSE,DATE(2028,6,1)=EDATE(DATE(2027,8,1),-'Model inputs'!AM13*1)),IF('POA — Monthly financial forecas'!V27="","",'POA — Monthly financial forecas'!V27),"")</f>
      </c>
    </row>
    <row r="1196">
      <c r="A1196" t="inlineStr" s="25">
        <is>
          <t xml:space="preserve">Calculation</t>
        </is>
      </c>
      <c r="B1196">
        <f>IF(IF(DATE(2028,7,1)=EDATE(DATE(2027,8,1),-'Model inputs'!AM13*1)="",FALSE,DATE(2028,7,1)=EDATE(DATE(2027,8,1),-'Model inputs'!AM13*1)),IF('POA — Monthly financial forecas'!W27="","",'POA — Monthly financial forecas'!W27),"")</f>
      </c>
    </row>
    <row r="1197">
      <c r="A1197" t="inlineStr" s="25">
        <is>
          <t xml:space="preserve">Calculation</t>
        </is>
      </c>
      <c r="B1197">
        <f>IF(IF(DATE(2028,8,1)=EDATE(DATE(2027,8,1),-'Model inputs'!AM13*1)="",FALSE,DATE(2028,8,1)=EDATE(DATE(2027,8,1),-'Model inputs'!AM13*1)),IF('POA — Monthly financial forecas'!X27="","",'POA — Monthly financial forecas'!X27),"")</f>
      </c>
    </row>
    <row r="1198">
      <c r="A1198" t="inlineStr" s="25">
        <is>
          <t xml:space="preserve">Calculation</t>
        </is>
      </c>
      <c r="B1198">
        <f>IF(IF(DATE(2028,9,1)=EDATE(DATE(2027,8,1),-'Model inputs'!AM13*1)="",FALSE,DATE(2028,9,1)=EDATE(DATE(2027,8,1),-'Model inputs'!AM13*1)),IF('POA — Monthly financial forecas'!Y27="","",'POA — Monthly financial forecas'!Y27),"")</f>
      </c>
    </row>
    <row r="1199">
      <c r="A1199" t="inlineStr" s="25">
        <is>
          <t xml:space="preserve">Calculation</t>
        </is>
      </c>
      <c r="B1199">
        <f>IF(IF(DATE(2028,10,1)=EDATE(DATE(2027,8,1),-'Model inputs'!AM13*1)="",FALSE,DATE(2028,10,1)=EDATE(DATE(2027,8,1),-'Model inputs'!AM13*1)),IF('POA — Monthly financial forecas'!Z27="","",'POA — Monthly financial forecas'!Z27),"")</f>
      </c>
    </row>
    <row r="1200">
      <c r="A1200" t="inlineStr" s="25">
        <is>
          <t xml:space="preserve">Calculation</t>
        </is>
      </c>
      <c r="B1200">
        <f>IF(IF(DATE(2028,11,1)=EDATE(DATE(2027,8,1),-'Model inputs'!AM13*1)="",FALSE,DATE(2028,11,1)=EDATE(DATE(2027,8,1),-'Model inputs'!AM13*1)),IF('POA — Monthly financial forecas'!AA27="","",'POA — Monthly financial forecas'!AA27),"")</f>
      </c>
    </row>
    <row r="1201">
      <c r="A1201" t="inlineStr" s="25">
        <is>
          <t xml:space="preserve">Calculation</t>
        </is>
      </c>
      <c r="B1201">
        <f>IF(IF(DATE(2028,12,1)=EDATE(DATE(2027,8,1),-'Model inputs'!AM13*1)="",FALSE,DATE(2028,12,1)=EDATE(DATE(2027,8,1),-'Model inputs'!AM13*1)),IF('POA — Monthly financial forecas'!AB27="","",'POA — Monthly financial forecas'!AB27),"")</f>
      </c>
    </row>
    <row r="1202">
      <c r="A1202" t="inlineStr" s="25">
        <is>
          <t xml:space="preserve">Calculation</t>
        </is>
      </c>
      <c r="B1202">
        <f>IF(IF(DATE(2029,1,1)=EDATE(DATE(2027,8,1),-'Model inputs'!AM13*1)="",FALSE,DATE(2029,1,1)=EDATE(DATE(2027,8,1),-'Model inputs'!AM13*1)),IF('POA — Monthly financial forecas'!AC27="","",'POA — Monthly financial forecas'!AC27),"")</f>
      </c>
    </row>
    <row r="1203">
      <c r="A1203" t="inlineStr" s="25">
        <is>
          <t xml:space="preserve">Calculation</t>
        </is>
      </c>
      <c r="B1203">
        <f>IF(IF(DATE(2029,2,1)=EDATE(DATE(2027,8,1),-'Model inputs'!AM13*1)="",FALSE,DATE(2029,2,1)=EDATE(DATE(2027,8,1),-'Model inputs'!AM13*1)),IF('POA — Monthly financial forecas'!AD27="","",'POA — Monthly financial forecas'!AD27),"")</f>
      </c>
    </row>
    <row r="1204">
      <c r="A1204" t="inlineStr" s="25">
        <is>
          <t xml:space="preserve">Calculation</t>
        </is>
      </c>
      <c r="B1204">
        <f>IF(IF(DATE(2029,3,1)=EDATE(DATE(2027,8,1),-'Model inputs'!AM13*1)="",FALSE,DATE(2029,3,1)=EDATE(DATE(2027,8,1),-'Model inputs'!AM13*1)),IF('POA — Monthly financial forecas'!AE27="","",'POA — Monthly financial forecas'!AE27),"")</f>
      </c>
    </row>
    <row r="1205">
      <c r="A1205" t="inlineStr" s="25">
        <is>
          <t xml:space="preserve">Calculation</t>
        </is>
      </c>
      <c r="B1205">
        <f>IF(IF(DATE(2029,4,1)=EDATE(DATE(2027,8,1),-'Model inputs'!AM13*1)="",FALSE,DATE(2029,4,1)=EDATE(DATE(2027,8,1),-'Model inputs'!AM13*1)),IF('POA — Monthly financial forecas'!AF27="","",'POA — Monthly financial forecas'!AF27),"")</f>
      </c>
    </row>
    <row r="1206">
      <c r="A1206" t="inlineStr" s="25">
        <is>
          <t xml:space="preserve">Calculation</t>
        </is>
      </c>
      <c r="B1206">
        <f>IF(IF(DATE(2029,5,1)=EDATE(DATE(2027,8,1),-'Model inputs'!AM13*1)="",FALSE,DATE(2029,5,1)=EDATE(DATE(2027,8,1),-'Model inputs'!AM13*1)),IF('POA — Monthly financial forecas'!AG27="","",'POA — Monthly financial forecas'!AG27),"")</f>
      </c>
    </row>
    <row r="1207">
      <c r="A1207" t="inlineStr" s="25">
        <is>
          <t xml:space="preserve">Calculation</t>
        </is>
      </c>
      <c r="B1207">
        <f>IF(IF(DATE(2029,6,1)=EDATE(DATE(2027,8,1),-'Model inputs'!AM13*1)="",FALSE,DATE(2029,6,1)=EDATE(DATE(2027,8,1),-'Model inputs'!AM13*1)),IF('POA — Monthly financial forecas'!AH27="","",'POA — Monthly financial forecas'!AH27),"")</f>
      </c>
    </row>
    <row r="1208">
      <c r="A1208" t="inlineStr" s="25">
        <is>
          <t xml:space="preserve">Calculation</t>
        </is>
      </c>
      <c r="B1208">
        <f>IF(IF(DATE(2029,7,1)=EDATE(DATE(2027,8,1),-'Model inputs'!AM13*1)="",FALSE,DATE(2029,7,1)=EDATE(DATE(2027,8,1),-'Model inputs'!AM13*1)),IF('POA — Monthly financial forecas'!AI27="","",'POA — Monthly financial forecas'!AI27),"")</f>
      </c>
    </row>
    <row r="1209">
      <c r="A1209" t="inlineStr" s="25">
        <is>
          <t xml:space="preserve">Calculation</t>
        </is>
      </c>
      <c r="B1209">
        <f>IF(IF(DATE(2029,8,1)=EDATE(DATE(2027,8,1),-'Model inputs'!AM13*1)="",FALSE,DATE(2029,8,1)=EDATE(DATE(2027,8,1),-'Model inputs'!AM13*1)),IF('POA — Monthly financial forecas'!AJ27="","",'POA — Monthly financial forecas'!AJ27),"")</f>
      </c>
    </row>
    <row r="1210">
      <c r="A1210" t="inlineStr" s="25">
        <is>
          <t xml:space="preserve">Calculation</t>
        </is>
      </c>
      <c r="B1210">
        <f>IF(IF(DATE(2029,9,1)=EDATE(DATE(2027,8,1),-'Model inputs'!AM13*1)="",FALSE,DATE(2029,9,1)=EDATE(DATE(2027,8,1),-'Model inputs'!AM13*1)),IF('POA — Monthly financial forecas'!AK27="","",'POA — Monthly financial forecas'!AK27),"")</f>
      </c>
    </row>
    <row r="1211">
      <c r="A1211" t="inlineStr" s="25">
        <is>
          <t xml:space="preserve">Calculation</t>
        </is>
      </c>
      <c r="B1211">
        <f>IF(IF(DATE(2026,9,1)=EDATE(DATE(2027,8,1),-'Model inputs'!AM13*1)="",FALSE,DATE(2026,9,1)=EDATE(DATE(2027,8,1),-'Model inputs'!AM13*1)),IF('Model inputs'!B85="","",'Model inputs'!B85),"")</f>
      </c>
    </row>
    <row r="1212">
      <c r="A1212" t="inlineStr" s="25">
        <is>
          <t xml:space="preserve">Calculation</t>
        </is>
      </c>
      <c r="B1212">
        <f>SUM(IF(IF('Model inputs'!B1175="",0,1)="",0,IF('Model inputs'!B1175="",0,1)),IF(IF('Model inputs'!B1176="",0,1)="",0,IF('Model inputs'!B1176="",0,1)),IF(IF('Model inputs'!B1177="",0,1)="",0,IF('Model inputs'!B1177="",0,1)),IF(IF('Model inputs'!B1178="",0,1)="",0,IF('Model inputs'!B1178="",0,1)),IF(IF('Model inputs'!B1179="",0,1)="",0,IF('Model inputs'!B1179="",0,1)),IF(IF('Model inputs'!B1180="",0,1)="",0,IF('Model inputs'!B1180="",0,1)),IF(IF('Model inputs'!B1181="",0,1)="",0,IF('Model inputs'!B1181="",0,1)),IF(IF('Model inputs'!B1182="",0,1)="",0,IF('Model inputs'!B1182="",0,1)),IF(IF('Model inputs'!B1183="",0,1)="",0,IF('Model inputs'!B1183="",0,1)),IF(IF('Model inputs'!B1184="",0,1)="",0,IF('Model inputs'!B1184="",0,1)),IF(IF('Model inputs'!B1185="",0,1)="",0,IF('Model inputs'!B1185="",0,1)),IF(IF('Model inputs'!B1186="",0,1)="",0,IF('Model inputs'!B1186="",0,1)),IF(IF('Model inputs'!B1187="",0,1)="",0,IF('Model inputs'!B1187="",0,1)),IF(IF('Model inputs'!B1188="",0,1)="",0,IF('Model inputs'!B1188="",0,1)),IF(IF('Model inputs'!B1189="",0,1)="",0,IF('Model inputs'!B1189="",0,1)),IF(IF('Model inputs'!B1190="",0,1)="",0,IF('Model inputs'!B1190="",0,1)),IF(IF('Model inputs'!B1191="",0,1)="",0,IF('Model inputs'!B1191="",0,1)),IF(IF('Model inputs'!B1192="",0,1)="",0,IF('Model inputs'!B1192="",0,1)),IF(IF('Model inputs'!B1193="",0,1)="",0,IF('Model inputs'!B1193="",0,1)),IF(IF('Model inputs'!B1194="",0,1)="",0,IF('Model inputs'!B1194="",0,1)),IF(IF('Model inputs'!B1195="",0,1)="",0,IF('Model inputs'!B1195="",0,1)),IF(IF('Model inputs'!B1196="",0,1)="",0,IF('Model inputs'!B1196="",0,1)),IF(IF('Model inputs'!B1197="",0,1)="",0,IF('Model inputs'!B1197="",0,1)),IF(IF('Model inputs'!B1198="",0,1)="",0,IF('Model inputs'!B1198="",0,1)),IF(IF('Model inputs'!B1199="",0,1)="",0,IF('Model inputs'!B1199="",0,1)),IF(IF('Model inputs'!B1200="",0,1)="",0,IF('Model inputs'!B1200="",0,1)),IF(IF('Model inputs'!B1201="",0,1)="",0,IF('Model inputs'!B1201="",0,1)),IF(IF('Model inputs'!B1202="",0,1)="",0,IF('Model inputs'!B1202="",0,1)),IF(IF('Model inputs'!B1203="",0,1)="",0,IF('Model inputs'!B1203="",0,1)),IF(IF('Model inputs'!B1204="",0,1)="",0,IF('Model inputs'!B1204="",0,1)),IF(IF('Model inputs'!B1205="",0,1)="",0,IF('Model inputs'!B1205="",0,1)),IF(IF('Model inputs'!B1206="",0,1)="",0,IF('Model inputs'!B1206="",0,1)),IF(IF('Model inputs'!B1207="",0,1)="",0,IF('Model inputs'!B1207="",0,1)),IF(IF('Model inputs'!B1208="",0,1)="",0,IF('Model inputs'!B1208="",0,1)),IF(IF('Model inputs'!B1209="",0,1)="",0,IF('Model inputs'!B1209="",0,1)),IF(IF('Model inputs'!B1210="",0,1)="",0,IF('Model inputs'!B1210="",0,1)),IF(IF('Model inputs'!B1211="",0,1)="",0,IF('Model inputs'!B1211="",0,1)))</f>
      </c>
    </row>
    <row r="1213">
      <c r="A1213" t="inlineStr" s="25">
        <is>
          <t xml:space="preserve">Calculation</t>
        </is>
      </c>
      <c r="B1213">
        <f>IF(IF(DATE(2026,10,1)=EDATE(DATE(2027,9,1),-'Model inputs'!AM13*1)="",FALSE,DATE(2026,10,1)=EDATE(DATE(2027,9,1),-'Model inputs'!AM13*1)),IF('POA — Monthly financial forecas'!B27="","",'POA — Monthly financial forecas'!B27),"")</f>
      </c>
    </row>
    <row r="1214">
      <c r="A1214" t="inlineStr" s="25">
        <is>
          <t xml:space="preserve">Calculation</t>
        </is>
      </c>
      <c r="B1214">
        <f>IF(IF(DATE(2026,11,1)=EDATE(DATE(2027,9,1),-'Model inputs'!AM13*1)="",FALSE,DATE(2026,11,1)=EDATE(DATE(2027,9,1),-'Model inputs'!AM13*1)),IF('POA — Monthly financial forecas'!C27="","",'POA — Monthly financial forecas'!C27),"")</f>
      </c>
    </row>
    <row r="1215">
      <c r="A1215" t="inlineStr" s="25">
        <is>
          <t xml:space="preserve">Calculation</t>
        </is>
      </c>
      <c r="B1215">
        <f>IF(IF(DATE(2026,12,1)=EDATE(DATE(2027,9,1),-'Model inputs'!AM13*1)="",FALSE,DATE(2026,12,1)=EDATE(DATE(2027,9,1),-'Model inputs'!AM13*1)),IF('POA — Monthly financial forecas'!D27="","",'POA — Monthly financial forecas'!D27),"")</f>
      </c>
    </row>
    <row r="1216">
      <c r="A1216" t="inlineStr" s="25">
        <is>
          <t xml:space="preserve">Calculation</t>
        </is>
      </c>
      <c r="B1216">
        <f>IF(IF(DATE(2027,1,1)=EDATE(DATE(2027,9,1),-'Model inputs'!AM13*1)="",FALSE,DATE(2027,1,1)=EDATE(DATE(2027,9,1),-'Model inputs'!AM13*1)),IF('POA — Monthly financial forecas'!E27="","",'POA — Monthly financial forecas'!E27),"")</f>
      </c>
    </row>
    <row r="1217">
      <c r="A1217" t="inlineStr" s="25">
        <is>
          <t xml:space="preserve">Calculation</t>
        </is>
      </c>
      <c r="B1217">
        <f>IF(IF(DATE(2027,2,1)=EDATE(DATE(2027,9,1),-'Model inputs'!AM13*1)="",FALSE,DATE(2027,2,1)=EDATE(DATE(2027,9,1),-'Model inputs'!AM13*1)),IF('POA — Monthly financial forecas'!F27="","",'POA — Monthly financial forecas'!F27),"")</f>
      </c>
    </row>
    <row r="1218">
      <c r="A1218" t="inlineStr" s="25">
        <is>
          <t xml:space="preserve">Calculation</t>
        </is>
      </c>
      <c r="B1218">
        <f>IF(IF(DATE(2027,3,1)=EDATE(DATE(2027,9,1),-'Model inputs'!AM13*1)="",FALSE,DATE(2027,3,1)=EDATE(DATE(2027,9,1),-'Model inputs'!AM13*1)),IF('POA — Monthly financial forecas'!G27="","",'POA — Monthly financial forecas'!G27),"")</f>
      </c>
    </row>
    <row r="1219">
      <c r="A1219" t="inlineStr" s="25">
        <is>
          <t xml:space="preserve">Calculation</t>
        </is>
      </c>
      <c r="B1219">
        <f>IF(IF(DATE(2027,4,1)=EDATE(DATE(2027,9,1),-'Model inputs'!AM13*1)="",FALSE,DATE(2027,4,1)=EDATE(DATE(2027,9,1),-'Model inputs'!AM13*1)),IF('POA — Monthly financial forecas'!H27="","",'POA — Monthly financial forecas'!H27),"")</f>
      </c>
    </row>
    <row r="1220">
      <c r="A1220" t="inlineStr" s="25">
        <is>
          <t xml:space="preserve">Calculation</t>
        </is>
      </c>
      <c r="B1220">
        <f>IF(IF(DATE(2027,5,1)=EDATE(DATE(2027,9,1),-'Model inputs'!AM13*1)="",FALSE,DATE(2027,5,1)=EDATE(DATE(2027,9,1),-'Model inputs'!AM13*1)),IF('POA — Monthly financial forecas'!I27="","",'POA — Monthly financial forecas'!I27),"")</f>
      </c>
    </row>
    <row r="1221">
      <c r="A1221" t="inlineStr" s="25">
        <is>
          <t xml:space="preserve">Calculation</t>
        </is>
      </c>
      <c r="B1221">
        <f>IF(IF(DATE(2027,6,1)=EDATE(DATE(2027,9,1),-'Model inputs'!AM13*1)="",FALSE,DATE(2027,6,1)=EDATE(DATE(2027,9,1),-'Model inputs'!AM13*1)),IF('POA — Monthly financial forecas'!J27="","",'POA — Monthly financial forecas'!J27),"")</f>
      </c>
    </row>
    <row r="1222">
      <c r="A1222" t="inlineStr" s="25">
        <is>
          <t xml:space="preserve">Calculation</t>
        </is>
      </c>
      <c r="B1222">
        <f>IF(IF(DATE(2027,7,1)=EDATE(DATE(2027,9,1),-'Model inputs'!AM13*1)="",FALSE,DATE(2027,7,1)=EDATE(DATE(2027,9,1),-'Model inputs'!AM13*1)),IF('POA — Monthly financial forecas'!K27="","",'POA — Monthly financial forecas'!K27),"")</f>
      </c>
    </row>
    <row r="1223">
      <c r="A1223" t="inlineStr" s="25">
        <is>
          <t xml:space="preserve">Calculation</t>
        </is>
      </c>
      <c r="B1223">
        <f>IF(IF(DATE(2027,8,1)=EDATE(DATE(2027,9,1),-'Model inputs'!AM13*1)="",FALSE,DATE(2027,8,1)=EDATE(DATE(2027,9,1),-'Model inputs'!AM13*1)),IF('POA — Monthly financial forecas'!L27="","",'POA — Monthly financial forecas'!L27),"")</f>
      </c>
    </row>
    <row r="1224">
      <c r="A1224" t="inlineStr" s="25">
        <is>
          <t xml:space="preserve">Calculation</t>
        </is>
      </c>
      <c r="B1224">
        <f>IF(IF(DATE(2027,9,1)=EDATE(DATE(2027,9,1),-'Model inputs'!AM13*1)="",FALSE,DATE(2027,9,1)=EDATE(DATE(2027,9,1),-'Model inputs'!AM13*1)),IF('POA — Monthly financial forecas'!M27="","",'POA — Monthly financial forecas'!M27),"")</f>
      </c>
    </row>
    <row r="1225">
      <c r="A1225" t="inlineStr" s="25">
        <is>
          <t xml:space="preserve">Calculation</t>
        </is>
      </c>
      <c r="B1225">
        <f>IF(IF(DATE(2027,10,1)=EDATE(DATE(2027,9,1),-'Model inputs'!AM13*1)="",FALSE,DATE(2027,10,1)=EDATE(DATE(2027,9,1),-'Model inputs'!AM13*1)),IF('POA — Monthly financial forecas'!N27="","",'POA — Monthly financial forecas'!N27),"")</f>
      </c>
    </row>
    <row r="1226">
      <c r="A1226" t="inlineStr" s="25">
        <is>
          <t xml:space="preserve">Calculation</t>
        </is>
      </c>
      <c r="B1226">
        <f>IF(IF(DATE(2027,11,1)=EDATE(DATE(2027,9,1),-'Model inputs'!AM13*1)="",FALSE,DATE(2027,11,1)=EDATE(DATE(2027,9,1),-'Model inputs'!AM13*1)),IF('POA — Monthly financial forecas'!O27="","",'POA — Monthly financial forecas'!O27),"")</f>
      </c>
    </row>
    <row r="1227">
      <c r="A1227" t="inlineStr" s="25">
        <is>
          <t xml:space="preserve">Calculation</t>
        </is>
      </c>
      <c r="B1227">
        <f>IF(IF(DATE(2027,12,1)=EDATE(DATE(2027,9,1),-'Model inputs'!AM13*1)="",FALSE,DATE(2027,12,1)=EDATE(DATE(2027,9,1),-'Model inputs'!AM13*1)),IF('POA — Monthly financial forecas'!P27="","",'POA — Monthly financial forecas'!P27),"")</f>
      </c>
    </row>
    <row r="1228">
      <c r="A1228" t="inlineStr" s="25">
        <is>
          <t xml:space="preserve">Calculation</t>
        </is>
      </c>
      <c r="B1228">
        <f>IF(IF(DATE(2028,1,1)=EDATE(DATE(2027,9,1),-'Model inputs'!AM13*1)="",FALSE,DATE(2028,1,1)=EDATE(DATE(2027,9,1),-'Model inputs'!AM13*1)),IF('POA — Monthly financial forecas'!Q27="","",'POA — Monthly financial forecas'!Q27),"")</f>
      </c>
    </row>
    <row r="1229">
      <c r="A1229" t="inlineStr" s="25">
        <is>
          <t xml:space="preserve">Calculation</t>
        </is>
      </c>
      <c r="B1229">
        <f>IF(IF(DATE(2028,2,1)=EDATE(DATE(2027,9,1),-'Model inputs'!AM13*1)="",FALSE,DATE(2028,2,1)=EDATE(DATE(2027,9,1),-'Model inputs'!AM13*1)),IF('POA — Monthly financial forecas'!R27="","",'POA — Monthly financial forecas'!R27),"")</f>
      </c>
    </row>
    <row r="1230">
      <c r="A1230" t="inlineStr" s="25">
        <is>
          <t xml:space="preserve">Calculation</t>
        </is>
      </c>
      <c r="B1230">
        <f>IF(IF(DATE(2028,3,1)=EDATE(DATE(2027,9,1),-'Model inputs'!AM13*1)="",FALSE,DATE(2028,3,1)=EDATE(DATE(2027,9,1),-'Model inputs'!AM13*1)),IF('POA — Monthly financial forecas'!S27="","",'POA — Monthly financial forecas'!S27),"")</f>
      </c>
    </row>
    <row r="1231">
      <c r="A1231" t="inlineStr" s="25">
        <is>
          <t xml:space="preserve">Calculation</t>
        </is>
      </c>
      <c r="B1231">
        <f>IF(IF(DATE(2028,4,1)=EDATE(DATE(2027,9,1),-'Model inputs'!AM13*1)="",FALSE,DATE(2028,4,1)=EDATE(DATE(2027,9,1),-'Model inputs'!AM13*1)),IF('POA — Monthly financial forecas'!T27="","",'POA — Monthly financial forecas'!T27),"")</f>
      </c>
    </row>
    <row r="1232">
      <c r="A1232" t="inlineStr" s="25">
        <is>
          <t xml:space="preserve">Calculation</t>
        </is>
      </c>
      <c r="B1232">
        <f>IF(IF(DATE(2028,5,1)=EDATE(DATE(2027,9,1),-'Model inputs'!AM13*1)="",FALSE,DATE(2028,5,1)=EDATE(DATE(2027,9,1),-'Model inputs'!AM13*1)),IF('POA — Monthly financial forecas'!U27="","",'POA — Monthly financial forecas'!U27),"")</f>
      </c>
    </row>
    <row r="1233">
      <c r="A1233" t="inlineStr" s="25">
        <is>
          <t xml:space="preserve">Calculation</t>
        </is>
      </c>
      <c r="B1233">
        <f>IF(IF(DATE(2028,6,1)=EDATE(DATE(2027,9,1),-'Model inputs'!AM13*1)="",FALSE,DATE(2028,6,1)=EDATE(DATE(2027,9,1),-'Model inputs'!AM13*1)),IF('POA — Monthly financial forecas'!V27="","",'POA — Monthly financial forecas'!V27),"")</f>
      </c>
    </row>
    <row r="1234">
      <c r="A1234" t="inlineStr" s="25">
        <is>
          <t xml:space="preserve">Calculation</t>
        </is>
      </c>
      <c r="B1234">
        <f>IF(IF(DATE(2028,7,1)=EDATE(DATE(2027,9,1),-'Model inputs'!AM13*1)="",FALSE,DATE(2028,7,1)=EDATE(DATE(2027,9,1),-'Model inputs'!AM13*1)),IF('POA — Monthly financial forecas'!W27="","",'POA — Monthly financial forecas'!W27),"")</f>
      </c>
    </row>
    <row r="1235">
      <c r="A1235" t="inlineStr" s="25">
        <is>
          <t xml:space="preserve">Calculation</t>
        </is>
      </c>
      <c r="B1235">
        <f>IF(IF(DATE(2028,8,1)=EDATE(DATE(2027,9,1),-'Model inputs'!AM13*1)="",FALSE,DATE(2028,8,1)=EDATE(DATE(2027,9,1),-'Model inputs'!AM13*1)),IF('POA — Monthly financial forecas'!X27="","",'POA — Monthly financial forecas'!X27),"")</f>
      </c>
    </row>
    <row r="1236">
      <c r="A1236" t="inlineStr" s="25">
        <is>
          <t xml:space="preserve">Calculation</t>
        </is>
      </c>
      <c r="B1236">
        <f>IF(IF(DATE(2028,9,1)=EDATE(DATE(2027,9,1),-'Model inputs'!AM13*1)="",FALSE,DATE(2028,9,1)=EDATE(DATE(2027,9,1),-'Model inputs'!AM13*1)),IF('POA — Monthly financial forecas'!Y27="","",'POA — Monthly financial forecas'!Y27),"")</f>
      </c>
    </row>
    <row r="1237">
      <c r="A1237" t="inlineStr" s="25">
        <is>
          <t xml:space="preserve">Calculation</t>
        </is>
      </c>
      <c r="B1237">
        <f>IF(IF(DATE(2028,10,1)=EDATE(DATE(2027,9,1),-'Model inputs'!AM13*1)="",FALSE,DATE(2028,10,1)=EDATE(DATE(2027,9,1),-'Model inputs'!AM13*1)),IF('POA — Monthly financial forecas'!Z27="","",'POA — Monthly financial forecas'!Z27),"")</f>
      </c>
    </row>
    <row r="1238">
      <c r="A1238" t="inlineStr" s="25">
        <is>
          <t xml:space="preserve">Calculation</t>
        </is>
      </c>
      <c r="B1238">
        <f>IF(IF(DATE(2028,11,1)=EDATE(DATE(2027,9,1),-'Model inputs'!AM13*1)="",FALSE,DATE(2028,11,1)=EDATE(DATE(2027,9,1),-'Model inputs'!AM13*1)),IF('POA — Monthly financial forecas'!AA27="","",'POA — Monthly financial forecas'!AA27),"")</f>
      </c>
    </row>
    <row r="1239">
      <c r="A1239" t="inlineStr" s="25">
        <is>
          <t xml:space="preserve">Calculation</t>
        </is>
      </c>
      <c r="B1239">
        <f>IF(IF(DATE(2028,12,1)=EDATE(DATE(2027,9,1),-'Model inputs'!AM13*1)="",FALSE,DATE(2028,12,1)=EDATE(DATE(2027,9,1),-'Model inputs'!AM13*1)),IF('POA — Monthly financial forecas'!AB27="","",'POA — Monthly financial forecas'!AB27),"")</f>
      </c>
    </row>
    <row r="1240">
      <c r="A1240" t="inlineStr" s="25">
        <is>
          <t xml:space="preserve">Calculation</t>
        </is>
      </c>
      <c r="B1240">
        <f>IF(IF(DATE(2029,1,1)=EDATE(DATE(2027,9,1),-'Model inputs'!AM13*1)="",FALSE,DATE(2029,1,1)=EDATE(DATE(2027,9,1),-'Model inputs'!AM13*1)),IF('POA — Monthly financial forecas'!AC27="","",'POA — Monthly financial forecas'!AC27),"")</f>
      </c>
    </row>
    <row r="1241">
      <c r="A1241" t="inlineStr" s="25">
        <is>
          <t xml:space="preserve">Calculation</t>
        </is>
      </c>
      <c r="B1241">
        <f>IF(IF(DATE(2029,2,1)=EDATE(DATE(2027,9,1),-'Model inputs'!AM13*1)="",FALSE,DATE(2029,2,1)=EDATE(DATE(2027,9,1),-'Model inputs'!AM13*1)),IF('POA — Monthly financial forecas'!AD27="","",'POA — Monthly financial forecas'!AD27),"")</f>
      </c>
    </row>
    <row r="1242">
      <c r="A1242" t="inlineStr" s="25">
        <is>
          <t xml:space="preserve">Calculation</t>
        </is>
      </c>
      <c r="B1242">
        <f>IF(IF(DATE(2029,3,1)=EDATE(DATE(2027,9,1),-'Model inputs'!AM13*1)="",FALSE,DATE(2029,3,1)=EDATE(DATE(2027,9,1),-'Model inputs'!AM13*1)),IF('POA — Monthly financial forecas'!AE27="","",'POA — Monthly financial forecas'!AE27),"")</f>
      </c>
    </row>
    <row r="1243">
      <c r="A1243" t="inlineStr" s="25">
        <is>
          <t xml:space="preserve">Calculation</t>
        </is>
      </c>
      <c r="B1243">
        <f>IF(IF(DATE(2029,4,1)=EDATE(DATE(2027,9,1),-'Model inputs'!AM13*1)="",FALSE,DATE(2029,4,1)=EDATE(DATE(2027,9,1),-'Model inputs'!AM13*1)),IF('POA — Monthly financial forecas'!AF27="","",'POA — Monthly financial forecas'!AF27),"")</f>
      </c>
    </row>
    <row r="1244">
      <c r="A1244" t="inlineStr" s="25">
        <is>
          <t xml:space="preserve">Calculation</t>
        </is>
      </c>
      <c r="B1244">
        <f>IF(IF(DATE(2029,5,1)=EDATE(DATE(2027,9,1),-'Model inputs'!AM13*1)="",FALSE,DATE(2029,5,1)=EDATE(DATE(2027,9,1),-'Model inputs'!AM13*1)),IF('POA — Monthly financial forecas'!AG27="","",'POA — Monthly financial forecas'!AG27),"")</f>
      </c>
    </row>
    <row r="1245">
      <c r="A1245" t="inlineStr" s="25">
        <is>
          <t xml:space="preserve">Calculation</t>
        </is>
      </c>
      <c r="B1245">
        <f>IF(IF(DATE(2029,6,1)=EDATE(DATE(2027,9,1),-'Model inputs'!AM13*1)="",FALSE,DATE(2029,6,1)=EDATE(DATE(2027,9,1),-'Model inputs'!AM13*1)),IF('POA — Monthly financial forecas'!AH27="","",'POA — Monthly financial forecas'!AH27),"")</f>
      </c>
    </row>
    <row r="1246">
      <c r="A1246" t="inlineStr" s="25">
        <is>
          <t xml:space="preserve">Calculation</t>
        </is>
      </c>
      <c r="B1246">
        <f>IF(IF(DATE(2029,7,1)=EDATE(DATE(2027,9,1),-'Model inputs'!AM13*1)="",FALSE,DATE(2029,7,1)=EDATE(DATE(2027,9,1),-'Model inputs'!AM13*1)),IF('POA — Monthly financial forecas'!AI27="","",'POA — Monthly financial forecas'!AI27),"")</f>
      </c>
    </row>
    <row r="1247">
      <c r="A1247" t="inlineStr" s="25">
        <is>
          <t xml:space="preserve">Calculation</t>
        </is>
      </c>
      <c r="B1247">
        <f>IF(IF(DATE(2029,8,1)=EDATE(DATE(2027,9,1),-'Model inputs'!AM13*1)="",FALSE,DATE(2029,8,1)=EDATE(DATE(2027,9,1),-'Model inputs'!AM13*1)),IF('POA — Monthly financial forecas'!AJ27="","",'POA — Monthly financial forecas'!AJ27),"")</f>
      </c>
    </row>
    <row r="1248">
      <c r="A1248" t="inlineStr" s="25">
        <is>
          <t xml:space="preserve">Calculation</t>
        </is>
      </c>
      <c r="B1248">
        <f>IF(IF(DATE(2029,9,1)=EDATE(DATE(2027,9,1),-'Model inputs'!AM13*1)="",FALSE,DATE(2029,9,1)=EDATE(DATE(2027,9,1),-'Model inputs'!AM13*1)),IF('POA — Monthly financial forecas'!AK27="","",'POA — Monthly financial forecas'!AK27),"")</f>
      </c>
    </row>
    <row r="1249">
      <c r="A1249" t="inlineStr" s="25">
        <is>
          <t xml:space="preserve">Calculation</t>
        </is>
      </c>
      <c r="B1249">
        <f>IF(IF(DATE(2026,9,1)=EDATE(DATE(2027,9,1),-'Model inputs'!AM13*1)="",FALSE,DATE(2026,9,1)=EDATE(DATE(2027,9,1),-'Model inputs'!AM13*1)),IF('Model inputs'!B85="","",'Model inputs'!B85),"")</f>
      </c>
    </row>
    <row r="1250">
      <c r="A1250" t="inlineStr" s="25">
        <is>
          <t xml:space="preserve">Calculation</t>
        </is>
      </c>
      <c r="B1250">
        <f>SUM(IF(IF('Model inputs'!B1213="",0,1)="",0,IF('Model inputs'!B1213="",0,1)),IF(IF('Model inputs'!B1214="",0,1)="",0,IF('Model inputs'!B1214="",0,1)),IF(IF('Model inputs'!B1215="",0,1)="",0,IF('Model inputs'!B1215="",0,1)),IF(IF('Model inputs'!B1216="",0,1)="",0,IF('Model inputs'!B1216="",0,1)),IF(IF('Model inputs'!B1217="",0,1)="",0,IF('Model inputs'!B1217="",0,1)),IF(IF('Model inputs'!B1218="",0,1)="",0,IF('Model inputs'!B1218="",0,1)),IF(IF('Model inputs'!B1219="",0,1)="",0,IF('Model inputs'!B1219="",0,1)),IF(IF('Model inputs'!B1220="",0,1)="",0,IF('Model inputs'!B1220="",0,1)),IF(IF('Model inputs'!B1221="",0,1)="",0,IF('Model inputs'!B1221="",0,1)),IF(IF('Model inputs'!B1222="",0,1)="",0,IF('Model inputs'!B1222="",0,1)),IF(IF('Model inputs'!B1223="",0,1)="",0,IF('Model inputs'!B1223="",0,1)),IF(IF('Model inputs'!B1224="",0,1)="",0,IF('Model inputs'!B1224="",0,1)),IF(IF('Model inputs'!B1225="",0,1)="",0,IF('Model inputs'!B1225="",0,1)),IF(IF('Model inputs'!B1226="",0,1)="",0,IF('Model inputs'!B1226="",0,1)),IF(IF('Model inputs'!B1227="",0,1)="",0,IF('Model inputs'!B1227="",0,1)),IF(IF('Model inputs'!B1228="",0,1)="",0,IF('Model inputs'!B1228="",0,1)),IF(IF('Model inputs'!B1229="",0,1)="",0,IF('Model inputs'!B1229="",0,1)),IF(IF('Model inputs'!B1230="",0,1)="",0,IF('Model inputs'!B1230="",0,1)),IF(IF('Model inputs'!B1231="",0,1)="",0,IF('Model inputs'!B1231="",0,1)),IF(IF('Model inputs'!B1232="",0,1)="",0,IF('Model inputs'!B1232="",0,1)),IF(IF('Model inputs'!B1233="",0,1)="",0,IF('Model inputs'!B1233="",0,1)),IF(IF('Model inputs'!B1234="",0,1)="",0,IF('Model inputs'!B1234="",0,1)),IF(IF('Model inputs'!B1235="",0,1)="",0,IF('Model inputs'!B1235="",0,1)),IF(IF('Model inputs'!B1236="",0,1)="",0,IF('Model inputs'!B1236="",0,1)),IF(IF('Model inputs'!B1237="",0,1)="",0,IF('Model inputs'!B1237="",0,1)),IF(IF('Model inputs'!B1238="",0,1)="",0,IF('Model inputs'!B1238="",0,1)),IF(IF('Model inputs'!B1239="",0,1)="",0,IF('Model inputs'!B1239="",0,1)),IF(IF('Model inputs'!B1240="",0,1)="",0,IF('Model inputs'!B1240="",0,1)),IF(IF('Model inputs'!B1241="",0,1)="",0,IF('Model inputs'!B1241="",0,1)),IF(IF('Model inputs'!B1242="",0,1)="",0,IF('Model inputs'!B1242="",0,1)),IF(IF('Model inputs'!B1243="",0,1)="",0,IF('Model inputs'!B1243="",0,1)),IF(IF('Model inputs'!B1244="",0,1)="",0,IF('Model inputs'!B1244="",0,1)),IF(IF('Model inputs'!B1245="",0,1)="",0,IF('Model inputs'!B1245="",0,1)),IF(IF('Model inputs'!B1246="",0,1)="",0,IF('Model inputs'!B1246="",0,1)),IF(IF('Model inputs'!B1247="",0,1)="",0,IF('Model inputs'!B1247="",0,1)),IF(IF('Model inputs'!B1248="",0,1)="",0,IF('Model inputs'!B1248="",0,1)),IF(IF('Model inputs'!B1249="",0,1)="",0,IF('Model inputs'!B1249="",0,1)))</f>
      </c>
    </row>
    <row r="1251">
      <c r="A1251" t="inlineStr" s="25">
        <is>
          <t xml:space="preserve">Calculation</t>
        </is>
      </c>
      <c r="B1251">
        <f>IF(IF(DATE(2026,10,1)=EDATE(DATE(2027,10,1),-'Model inputs'!AM13*1)="",FALSE,DATE(2026,10,1)=EDATE(DATE(2027,10,1),-'Model inputs'!AM13*1)),IF('POA — Monthly financial forecas'!B27="","",'POA — Monthly financial forecas'!B27),"")</f>
      </c>
    </row>
    <row r="1252">
      <c r="A1252" t="inlineStr" s="25">
        <is>
          <t xml:space="preserve">Calculation</t>
        </is>
      </c>
      <c r="B1252">
        <f>IF(IF(DATE(2026,11,1)=EDATE(DATE(2027,10,1),-'Model inputs'!AM13*1)="",FALSE,DATE(2026,11,1)=EDATE(DATE(2027,10,1),-'Model inputs'!AM13*1)),IF('POA — Monthly financial forecas'!C27="","",'POA — Monthly financial forecas'!C27),"")</f>
      </c>
    </row>
    <row r="1253">
      <c r="A1253" t="inlineStr" s="25">
        <is>
          <t xml:space="preserve">Calculation</t>
        </is>
      </c>
      <c r="B1253">
        <f>IF(IF(DATE(2026,12,1)=EDATE(DATE(2027,10,1),-'Model inputs'!AM13*1)="",FALSE,DATE(2026,12,1)=EDATE(DATE(2027,10,1),-'Model inputs'!AM13*1)),IF('POA — Monthly financial forecas'!D27="","",'POA — Monthly financial forecas'!D27),"")</f>
      </c>
    </row>
    <row r="1254">
      <c r="A1254" t="inlineStr" s="25">
        <is>
          <t xml:space="preserve">Calculation</t>
        </is>
      </c>
      <c r="B1254">
        <f>IF(IF(DATE(2027,1,1)=EDATE(DATE(2027,10,1),-'Model inputs'!AM13*1)="",FALSE,DATE(2027,1,1)=EDATE(DATE(2027,10,1),-'Model inputs'!AM13*1)),IF('POA — Monthly financial forecas'!E27="","",'POA — Monthly financial forecas'!E27),"")</f>
      </c>
    </row>
    <row r="1255">
      <c r="A1255" t="inlineStr" s="25">
        <is>
          <t xml:space="preserve">Calculation</t>
        </is>
      </c>
      <c r="B1255">
        <f>IF(IF(DATE(2027,2,1)=EDATE(DATE(2027,10,1),-'Model inputs'!AM13*1)="",FALSE,DATE(2027,2,1)=EDATE(DATE(2027,10,1),-'Model inputs'!AM13*1)),IF('POA — Monthly financial forecas'!F27="","",'POA — Monthly financial forecas'!F27),"")</f>
      </c>
    </row>
    <row r="1256">
      <c r="A1256" t="inlineStr" s="25">
        <is>
          <t xml:space="preserve">Calculation</t>
        </is>
      </c>
      <c r="B1256">
        <f>IF(IF(DATE(2027,3,1)=EDATE(DATE(2027,10,1),-'Model inputs'!AM13*1)="",FALSE,DATE(2027,3,1)=EDATE(DATE(2027,10,1),-'Model inputs'!AM13*1)),IF('POA — Monthly financial forecas'!G27="","",'POA — Monthly financial forecas'!G27),"")</f>
      </c>
    </row>
    <row r="1257">
      <c r="A1257" t="inlineStr" s="25">
        <is>
          <t xml:space="preserve">Calculation</t>
        </is>
      </c>
      <c r="B1257">
        <f>IF(IF(DATE(2027,4,1)=EDATE(DATE(2027,10,1),-'Model inputs'!AM13*1)="",FALSE,DATE(2027,4,1)=EDATE(DATE(2027,10,1),-'Model inputs'!AM13*1)),IF('POA — Monthly financial forecas'!H27="","",'POA — Monthly financial forecas'!H27),"")</f>
      </c>
    </row>
    <row r="1258">
      <c r="A1258" t="inlineStr" s="25">
        <is>
          <t xml:space="preserve">Calculation</t>
        </is>
      </c>
      <c r="B1258">
        <f>IF(IF(DATE(2027,5,1)=EDATE(DATE(2027,10,1),-'Model inputs'!AM13*1)="",FALSE,DATE(2027,5,1)=EDATE(DATE(2027,10,1),-'Model inputs'!AM13*1)),IF('POA — Monthly financial forecas'!I27="","",'POA — Monthly financial forecas'!I27),"")</f>
      </c>
    </row>
    <row r="1259">
      <c r="A1259" t="inlineStr" s="25">
        <is>
          <t xml:space="preserve">Calculation</t>
        </is>
      </c>
      <c r="B1259">
        <f>IF(IF(DATE(2027,6,1)=EDATE(DATE(2027,10,1),-'Model inputs'!AM13*1)="",FALSE,DATE(2027,6,1)=EDATE(DATE(2027,10,1),-'Model inputs'!AM13*1)),IF('POA — Monthly financial forecas'!J27="","",'POA — Monthly financial forecas'!J27),"")</f>
      </c>
    </row>
    <row r="1260">
      <c r="A1260" t="inlineStr" s="25">
        <is>
          <t xml:space="preserve">Calculation</t>
        </is>
      </c>
      <c r="B1260">
        <f>IF(IF(DATE(2027,7,1)=EDATE(DATE(2027,10,1),-'Model inputs'!AM13*1)="",FALSE,DATE(2027,7,1)=EDATE(DATE(2027,10,1),-'Model inputs'!AM13*1)),IF('POA — Monthly financial forecas'!K27="","",'POA — Monthly financial forecas'!K27),"")</f>
      </c>
    </row>
    <row r="1261">
      <c r="A1261" t="inlineStr" s="25">
        <is>
          <t xml:space="preserve">Calculation</t>
        </is>
      </c>
      <c r="B1261">
        <f>IF(IF(DATE(2027,8,1)=EDATE(DATE(2027,10,1),-'Model inputs'!AM13*1)="",FALSE,DATE(2027,8,1)=EDATE(DATE(2027,10,1),-'Model inputs'!AM13*1)),IF('POA — Monthly financial forecas'!L27="","",'POA — Monthly financial forecas'!L27),"")</f>
      </c>
    </row>
    <row r="1262">
      <c r="A1262" t="inlineStr" s="25">
        <is>
          <t xml:space="preserve">Calculation</t>
        </is>
      </c>
      <c r="B1262">
        <f>IF(IF(DATE(2027,9,1)=EDATE(DATE(2027,10,1),-'Model inputs'!AM13*1)="",FALSE,DATE(2027,9,1)=EDATE(DATE(2027,10,1),-'Model inputs'!AM13*1)),IF('POA — Monthly financial forecas'!M27="","",'POA — Monthly financial forecas'!M27),"")</f>
      </c>
    </row>
    <row r="1263">
      <c r="A1263" t="inlineStr" s="25">
        <is>
          <t xml:space="preserve">Calculation</t>
        </is>
      </c>
      <c r="B1263">
        <f>IF(IF(DATE(2027,10,1)=EDATE(DATE(2027,10,1),-'Model inputs'!AM13*1)="",FALSE,DATE(2027,10,1)=EDATE(DATE(2027,10,1),-'Model inputs'!AM13*1)),IF('POA — Monthly financial forecas'!N27="","",'POA — Monthly financial forecas'!N27),"")</f>
      </c>
    </row>
    <row r="1264">
      <c r="A1264" t="inlineStr" s="25">
        <is>
          <t xml:space="preserve">Calculation</t>
        </is>
      </c>
      <c r="B1264">
        <f>IF(IF(DATE(2027,11,1)=EDATE(DATE(2027,10,1),-'Model inputs'!AM13*1)="",FALSE,DATE(2027,11,1)=EDATE(DATE(2027,10,1),-'Model inputs'!AM13*1)),IF('POA — Monthly financial forecas'!O27="","",'POA — Monthly financial forecas'!O27),"")</f>
      </c>
    </row>
    <row r="1265">
      <c r="A1265" t="inlineStr" s="25">
        <is>
          <t xml:space="preserve">Calculation</t>
        </is>
      </c>
      <c r="B1265">
        <f>IF(IF(DATE(2027,12,1)=EDATE(DATE(2027,10,1),-'Model inputs'!AM13*1)="",FALSE,DATE(2027,12,1)=EDATE(DATE(2027,10,1),-'Model inputs'!AM13*1)),IF('POA — Monthly financial forecas'!P27="","",'POA — Monthly financial forecas'!P27),"")</f>
      </c>
    </row>
    <row r="1266">
      <c r="A1266" t="inlineStr" s="25">
        <is>
          <t xml:space="preserve">Calculation</t>
        </is>
      </c>
      <c r="B1266">
        <f>IF(IF(DATE(2028,1,1)=EDATE(DATE(2027,10,1),-'Model inputs'!AM13*1)="",FALSE,DATE(2028,1,1)=EDATE(DATE(2027,10,1),-'Model inputs'!AM13*1)),IF('POA — Monthly financial forecas'!Q27="","",'POA — Monthly financial forecas'!Q27),"")</f>
      </c>
    </row>
    <row r="1267">
      <c r="A1267" t="inlineStr" s="25">
        <is>
          <t xml:space="preserve">Calculation</t>
        </is>
      </c>
      <c r="B1267">
        <f>IF(IF(DATE(2028,2,1)=EDATE(DATE(2027,10,1),-'Model inputs'!AM13*1)="",FALSE,DATE(2028,2,1)=EDATE(DATE(2027,10,1),-'Model inputs'!AM13*1)),IF('POA — Monthly financial forecas'!R27="","",'POA — Monthly financial forecas'!R27),"")</f>
      </c>
    </row>
    <row r="1268">
      <c r="A1268" t="inlineStr" s="25">
        <is>
          <t xml:space="preserve">Calculation</t>
        </is>
      </c>
      <c r="B1268">
        <f>IF(IF(DATE(2028,3,1)=EDATE(DATE(2027,10,1),-'Model inputs'!AM13*1)="",FALSE,DATE(2028,3,1)=EDATE(DATE(2027,10,1),-'Model inputs'!AM13*1)),IF('POA — Monthly financial forecas'!S27="","",'POA — Monthly financial forecas'!S27),"")</f>
      </c>
    </row>
    <row r="1269">
      <c r="A1269" t="inlineStr" s="25">
        <is>
          <t xml:space="preserve">Calculation</t>
        </is>
      </c>
      <c r="B1269">
        <f>IF(IF(DATE(2028,4,1)=EDATE(DATE(2027,10,1),-'Model inputs'!AM13*1)="",FALSE,DATE(2028,4,1)=EDATE(DATE(2027,10,1),-'Model inputs'!AM13*1)),IF('POA — Monthly financial forecas'!T27="","",'POA — Monthly financial forecas'!T27),"")</f>
      </c>
    </row>
    <row r="1270">
      <c r="A1270" t="inlineStr" s="25">
        <is>
          <t xml:space="preserve">Calculation</t>
        </is>
      </c>
      <c r="B1270">
        <f>IF(IF(DATE(2028,5,1)=EDATE(DATE(2027,10,1),-'Model inputs'!AM13*1)="",FALSE,DATE(2028,5,1)=EDATE(DATE(2027,10,1),-'Model inputs'!AM13*1)),IF('POA — Monthly financial forecas'!U27="","",'POA — Monthly financial forecas'!U27),"")</f>
      </c>
    </row>
    <row r="1271">
      <c r="A1271" t="inlineStr" s="25">
        <is>
          <t xml:space="preserve">Calculation</t>
        </is>
      </c>
      <c r="B1271">
        <f>IF(IF(DATE(2028,6,1)=EDATE(DATE(2027,10,1),-'Model inputs'!AM13*1)="",FALSE,DATE(2028,6,1)=EDATE(DATE(2027,10,1),-'Model inputs'!AM13*1)),IF('POA — Monthly financial forecas'!V27="","",'POA — Monthly financial forecas'!V27),"")</f>
      </c>
    </row>
    <row r="1272">
      <c r="A1272" t="inlineStr" s="25">
        <is>
          <t xml:space="preserve">Calculation</t>
        </is>
      </c>
      <c r="B1272">
        <f>IF(IF(DATE(2028,7,1)=EDATE(DATE(2027,10,1),-'Model inputs'!AM13*1)="",FALSE,DATE(2028,7,1)=EDATE(DATE(2027,10,1),-'Model inputs'!AM13*1)),IF('POA — Monthly financial forecas'!W27="","",'POA — Monthly financial forecas'!W27),"")</f>
      </c>
    </row>
    <row r="1273">
      <c r="A1273" t="inlineStr" s="25">
        <is>
          <t xml:space="preserve">Calculation</t>
        </is>
      </c>
      <c r="B1273">
        <f>IF(IF(DATE(2028,8,1)=EDATE(DATE(2027,10,1),-'Model inputs'!AM13*1)="",FALSE,DATE(2028,8,1)=EDATE(DATE(2027,10,1),-'Model inputs'!AM13*1)),IF('POA — Monthly financial forecas'!X27="","",'POA — Monthly financial forecas'!X27),"")</f>
      </c>
    </row>
    <row r="1274">
      <c r="A1274" t="inlineStr" s="25">
        <is>
          <t xml:space="preserve">Calculation</t>
        </is>
      </c>
      <c r="B1274">
        <f>IF(IF(DATE(2028,9,1)=EDATE(DATE(2027,10,1),-'Model inputs'!AM13*1)="",FALSE,DATE(2028,9,1)=EDATE(DATE(2027,10,1),-'Model inputs'!AM13*1)),IF('POA — Monthly financial forecas'!Y27="","",'POA — Monthly financial forecas'!Y27),"")</f>
      </c>
    </row>
    <row r="1275">
      <c r="A1275" t="inlineStr" s="25">
        <is>
          <t xml:space="preserve">Calculation</t>
        </is>
      </c>
      <c r="B1275">
        <f>IF(IF(DATE(2028,10,1)=EDATE(DATE(2027,10,1),-'Model inputs'!AM13*1)="",FALSE,DATE(2028,10,1)=EDATE(DATE(2027,10,1),-'Model inputs'!AM13*1)),IF('POA — Monthly financial forecas'!Z27="","",'POA — Monthly financial forecas'!Z27),"")</f>
      </c>
    </row>
    <row r="1276">
      <c r="A1276" t="inlineStr" s="25">
        <is>
          <t xml:space="preserve">Calculation</t>
        </is>
      </c>
      <c r="B1276">
        <f>IF(IF(DATE(2028,11,1)=EDATE(DATE(2027,10,1),-'Model inputs'!AM13*1)="",FALSE,DATE(2028,11,1)=EDATE(DATE(2027,10,1),-'Model inputs'!AM13*1)),IF('POA — Monthly financial forecas'!AA27="","",'POA — Monthly financial forecas'!AA27),"")</f>
      </c>
    </row>
    <row r="1277">
      <c r="A1277" t="inlineStr" s="25">
        <is>
          <t xml:space="preserve">Calculation</t>
        </is>
      </c>
      <c r="B1277">
        <f>IF(IF(DATE(2028,12,1)=EDATE(DATE(2027,10,1),-'Model inputs'!AM13*1)="",FALSE,DATE(2028,12,1)=EDATE(DATE(2027,10,1),-'Model inputs'!AM13*1)),IF('POA — Monthly financial forecas'!AB27="","",'POA — Monthly financial forecas'!AB27),"")</f>
      </c>
    </row>
    <row r="1278">
      <c r="A1278" t="inlineStr" s="25">
        <is>
          <t xml:space="preserve">Calculation</t>
        </is>
      </c>
      <c r="B1278">
        <f>IF(IF(DATE(2029,1,1)=EDATE(DATE(2027,10,1),-'Model inputs'!AM13*1)="",FALSE,DATE(2029,1,1)=EDATE(DATE(2027,10,1),-'Model inputs'!AM13*1)),IF('POA — Monthly financial forecas'!AC27="","",'POA — Monthly financial forecas'!AC27),"")</f>
      </c>
    </row>
    <row r="1279">
      <c r="A1279" t="inlineStr" s="25">
        <is>
          <t xml:space="preserve">Calculation</t>
        </is>
      </c>
      <c r="B1279">
        <f>IF(IF(DATE(2029,2,1)=EDATE(DATE(2027,10,1),-'Model inputs'!AM13*1)="",FALSE,DATE(2029,2,1)=EDATE(DATE(2027,10,1),-'Model inputs'!AM13*1)),IF('POA — Monthly financial forecas'!AD27="","",'POA — Monthly financial forecas'!AD27),"")</f>
      </c>
    </row>
    <row r="1280">
      <c r="A1280" t="inlineStr" s="25">
        <is>
          <t xml:space="preserve">Calculation</t>
        </is>
      </c>
      <c r="B1280">
        <f>IF(IF(DATE(2029,3,1)=EDATE(DATE(2027,10,1),-'Model inputs'!AM13*1)="",FALSE,DATE(2029,3,1)=EDATE(DATE(2027,10,1),-'Model inputs'!AM13*1)),IF('POA — Monthly financial forecas'!AE27="","",'POA — Monthly financial forecas'!AE27),"")</f>
      </c>
    </row>
    <row r="1281">
      <c r="A1281" t="inlineStr" s="25">
        <is>
          <t xml:space="preserve">Calculation</t>
        </is>
      </c>
      <c r="B1281">
        <f>IF(IF(DATE(2029,4,1)=EDATE(DATE(2027,10,1),-'Model inputs'!AM13*1)="",FALSE,DATE(2029,4,1)=EDATE(DATE(2027,10,1),-'Model inputs'!AM13*1)),IF('POA — Monthly financial forecas'!AF27="","",'POA — Monthly financial forecas'!AF27),"")</f>
      </c>
    </row>
    <row r="1282">
      <c r="A1282" t="inlineStr" s="25">
        <is>
          <t xml:space="preserve">Calculation</t>
        </is>
      </c>
      <c r="B1282">
        <f>IF(IF(DATE(2029,5,1)=EDATE(DATE(2027,10,1),-'Model inputs'!AM13*1)="",FALSE,DATE(2029,5,1)=EDATE(DATE(2027,10,1),-'Model inputs'!AM13*1)),IF('POA — Monthly financial forecas'!AG27="","",'POA — Monthly financial forecas'!AG27),"")</f>
      </c>
    </row>
    <row r="1283">
      <c r="A1283" t="inlineStr" s="25">
        <is>
          <t xml:space="preserve">Calculation</t>
        </is>
      </c>
      <c r="B1283">
        <f>IF(IF(DATE(2029,6,1)=EDATE(DATE(2027,10,1),-'Model inputs'!AM13*1)="",FALSE,DATE(2029,6,1)=EDATE(DATE(2027,10,1),-'Model inputs'!AM13*1)),IF('POA — Monthly financial forecas'!AH27="","",'POA — Monthly financial forecas'!AH27),"")</f>
      </c>
    </row>
    <row r="1284">
      <c r="A1284" t="inlineStr" s="25">
        <is>
          <t xml:space="preserve">Calculation</t>
        </is>
      </c>
      <c r="B1284">
        <f>IF(IF(DATE(2029,7,1)=EDATE(DATE(2027,10,1),-'Model inputs'!AM13*1)="",FALSE,DATE(2029,7,1)=EDATE(DATE(2027,10,1),-'Model inputs'!AM13*1)),IF('POA — Monthly financial forecas'!AI27="","",'POA — Monthly financial forecas'!AI27),"")</f>
      </c>
    </row>
    <row r="1285">
      <c r="A1285" t="inlineStr" s="25">
        <is>
          <t xml:space="preserve">Calculation</t>
        </is>
      </c>
      <c r="B1285">
        <f>IF(IF(DATE(2029,8,1)=EDATE(DATE(2027,10,1),-'Model inputs'!AM13*1)="",FALSE,DATE(2029,8,1)=EDATE(DATE(2027,10,1),-'Model inputs'!AM13*1)),IF('POA — Monthly financial forecas'!AJ27="","",'POA — Monthly financial forecas'!AJ27),"")</f>
      </c>
    </row>
    <row r="1286">
      <c r="A1286" t="inlineStr" s="25">
        <is>
          <t xml:space="preserve">Calculation</t>
        </is>
      </c>
      <c r="B1286">
        <f>IF(IF(DATE(2029,9,1)=EDATE(DATE(2027,10,1),-'Model inputs'!AM13*1)="",FALSE,DATE(2029,9,1)=EDATE(DATE(2027,10,1),-'Model inputs'!AM13*1)),IF('POA — Monthly financial forecas'!AK27="","",'POA — Monthly financial forecas'!AK27),"")</f>
      </c>
    </row>
    <row r="1287">
      <c r="A1287" t="inlineStr" s="25">
        <is>
          <t xml:space="preserve">Calculation</t>
        </is>
      </c>
      <c r="B1287">
        <f>IF(IF(DATE(2026,9,1)=EDATE(DATE(2027,10,1),-'Model inputs'!AM13*1)="",FALSE,DATE(2026,9,1)=EDATE(DATE(2027,10,1),-'Model inputs'!AM13*1)),IF('Model inputs'!B85="","",'Model inputs'!B85),"")</f>
      </c>
    </row>
    <row r="1288">
      <c r="A1288" t="inlineStr" s="25">
        <is>
          <t xml:space="preserve">Calculation</t>
        </is>
      </c>
      <c r="B1288">
        <f>SUM(IF(IF('Model inputs'!B1251="",0,1)="",0,IF('Model inputs'!B1251="",0,1)),IF(IF('Model inputs'!B1252="",0,1)="",0,IF('Model inputs'!B1252="",0,1)),IF(IF('Model inputs'!B1253="",0,1)="",0,IF('Model inputs'!B1253="",0,1)),IF(IF('Model inputs'!B1254="",0,1)="",0,IF('Model inputs'!B1254="",0,1)),IF(IF('Model inputs'!B1255="",0,1)="",0,IF('Model inputs'!B1255="",0,1)),IF(IF('Model inputs'!B1256="",0,1)="",0,IF('Model inputs'!B1256="",0,1)),IF(IF('Model inputs'!B1257="",0,1)="",0,IF('Model inputs'!B1257="",0,1)),IF(IF('Model inputs'!B1258="",0,1)="",0,IF('Model inputs'!B1258="",0,1)),IF(IF('Model inputs'!B1259="",0,1)="",0,IF('Model inputs'!B1259="",0,1)),IF(IF('Model inputs'!B1260="",0,1)="",0,IF('Model inputs'!B1260="",0,1)),IF(IF('Model inputs'!B1261="",0,1)="",0,IF('Model inputs'!B1261="",0,1)),IF(IF('Model inputs'!B1262="",0,1)="",0,IF('Model inputs'!B1262="",0,1)),IF(IF('Model inputs'!B1263="",0,1)="",0,IF('Model inputs'!B1263="",0,1)),IF(IF('Model inputs'!B1264="",0,1)="",0,IF('Model inputs'!B1264="",0,1)),IF(IF('Model inputs'!B1265="",0,1)="",0,IF('Model inputs'!B1265="",0,1)),IF(IF('Model inputs'!B1266="",0,1)="",0,IF('Model inputs'!B1266="",0,1)),IF(IF('Model inputs'!B1267="",0,1)="",0,IF('Model inputs'!B1267="",0,1)),IF(IF('Model inputs'!B1268="",0,1)="",0,IF('Model inputs'!B1268="",0,1)),IF(IF('Model inputs'!B1269="",0,1)="",0,IF('Model inputs'!B1269="",0,1)),IF(IF('Model inputs'!B1270="",0,1)="",0,IF('Model inputs'!B1270="",0,1)),IF(IF('Model inputs'!B1271="",0,1)="",0,IF('Model inputs'!B1271="",0,1)),IF(IF('Model inputs'!B1272="",0,1)="",0,IF('Model inputs'!B1272="",0,1)),IF(IF('Model inputs'!B1273="",0,1)="",0,IF('Model inputs'!B1273="",0,1)),IF(IF('Model inputs'!B1274="",0,1)="",0,IF('Model inputs'!B1274="",0,1)),IF(IF('Model inputs'!B1275="",0,1)="",0,IF('Model inputs'!B1275="",0,1)),IF(IF('Model inputs'!B1276="",0,1)="",0,IF('Model inputs'!B1276="",0,1)),IF(IF('Model inputs'!B1277="",0,1)="",0,IF('Model inputs'!B1277="",0,1)),IF(IF('Model inputs'!B1278="",0,1)="",0,IF('Model inputs'!B1278="",0,1)),IF(IF('Model inputs'!B1279="",0,1)="",0,IF('Model inputs'!B1279="",0,1)),IF(IF('Model inputs'!B1280="",0,1)="",0,IF('Model inputs'!B1280="",0,1)),IF(IF('Model inputs'!B1281="",0,1)="",0,IF('Model inputs'!B1281="",0,1)),IF(IF('Model inputs'!B1282="",0,1)="",0,IF('Model inputs'!B1282="",0,1)),IF(IF('Model inputs'!B1283="",0,1)="",0,IF('Model inputs'!B1283="",0,1)),IF(IF('Model inputs'!B1284="",0,1)="",0,IF('Model inputs'!B1284="",0,1)),IF(IF('Model inputs'!B1285="",0,1)="",0,IF('Model inputs'!B1285="",0,1)),IF(IF('Model inputs'!B1286="",0,1)="",0,IF('Model inputs'!B1286="",0,1)),IF(IF('Model inputs'!B1287="",0,1)="",0,IF('Model inputs'!B1287="",0,1)))</f>
      </c>
    </row>
    <row r="1289">
      <c r="A1289" t="inlineStr" s="25">
        <is>
          <t xml:space="preserve">Calculation</t>
        </is>
      </c>
      <c r="B1289">
        <f>IF(IF(DATE(2026,10,1)=EDATE(DATE(2027,11,1),-'Model inputs'!AM13*1)="",FALSE,DATE(2026,10,1)=EDATE(DATE(2027,11,1),-'Model inputs'!AM13*1)),IF('POA — Monthly financial forecas'!B27="","",'POA — Monthly financial forecas'!B27),"")</f>
      </c>
    </row>
    <row r="1290">
      <c r="A1290" t="inlineStr" s="25">
        <is>
          <t xml:space="preserve">Calculation</t>
        </is>
      </c>
      <c r="B1290">
        <f>IF(IF(DATE(2026,11,1)=EDATE(DATE(2027,11,1),-'Model inputs'!AM13*1)="",FALSE,DATE(2026,11,1)=EDATE(DATE(2027,11,1),-'Model inputs'!AM13*1)),IF('POA — Monthly financial forecas'!C27="","",'POA — Monthly financial forecas'!C27),"")</f>
      </c>
    </row>
    <row r="1291">
      <c r="A1291" t="inlineStr" s="25">
        <is>
          <t xml:space="preserve">Calculation</t>
        </is>
      </c>
      <c r="B1291">
        <f>IF(IF(DATE(2026,12,1)=EDATE(DATE(2027,11,1),-'Model inputs'!AM13*1)="",FALSE,DATE(2026,12,1)=EDATE(DATE(2027,11,1),-'Model inputs'!AM13*1)),IF('POA — Monthly financial forecas'!D27="","",'POA — Monthly financial forecas'!D27),"")</f>
      </c>
    </row>
    <row r="1292">
      <c r="A1292" t="inlineStr" s="25">
        <is>
          <t xml:space="preserve">Calculation</t>
        </is>
      </c>
      <c r="B1292">
        <f>IF(IF(DATE(2027,1,1)=EDATE(DATE(2027,11,1),-'Model inputs'!AM13*1)="",FALSE,DATE(2027,1,1)=EDATE(DATE(2027,11,1),-'Model inputs'!AM13*1)),IF('POA — Monthly financial forecas'!E27="","",'POA — Monthly financial forecas'!E27),"")</f>
      </c>
    </row>
    <row r="1293">
      <c r="A1293" t="inlineStr" s="25">
        <is>
          <t xml:space="preserve">Calculation</t>
        </is>
      </c>
      <c r="B1293">
        <f>IF(IF(DATE(2027,2,1)=EDATE(DATE(2027,11,1),-'Model inputs'!AM13*1)="",FALSE,DATE(2027,2,1)=EDATE(DATE(2027,11,1),-'Model inputs'!AM13*1)),IF('POA — Monthly financial forecas'!F27="","",'POA — Monthly financial forecas'!F27),"")</f>
      </c>
    </row>
    <row r="1294">
      <c r="A1294" t="inlineStr" s="25">
        <is>
          <t xml:space="preserve">Calculation</t>
        </is>
      </c>
      <c r="B1294">
        <f>IF(IF(DATE(2027,3,1)=EDATE(DATE(2027,11,1),-'Model inputs'!AM13*1)="",FALSE,DATE(2027,3,1)=EDATE(DATE(2027,11,1),-'Model inputs'!AM13*1)),IF('POA — Monthly financial forecas'!G27="","",'POA — Monthly financial forecas'!G27),"")</f>
      </c>
    </row>
    <row r="1295">
      <c r="A1295" t="inlineStr" s="25">
        <is>
          <t xml:space="preserve">Calculation</t>
        </is>
      </c>
      <c r="B1295">
        <f>IF(IF(DATE(2027,4,1)=EDATE(DATE(2027,11,1),-'Model inputs'!AM13*1)="",FALSE,DATE(2027,4,1)=EDATE(DATE(2027,11,1),-'Model inputs'!AM13*1)),IF('POA — Monthly financial forecas'!H27="","",'POA — Monthly financial forecas'!H27),"")</f>
      </c>
    </row>
    <row r="1296">
      <c r="A1296" t="inlineStr" s="25">
        <is>
          <t xml:space="preserve">Calculation</t>
        </is>
      </c>
      <c r="B1296">
        <f>IF(IF(DATE(2027,5,1)=EDATE(DATE(2027,11,1),-'Model inputs'!AM13*1)="",FALSE,DATE(2027,5,1)=EDATE(DATE(2027,11,1),-'Model inputs'!AM13*1)),IF('POA — Monthly financial forecas'!I27="","",'POA — Monthly financial forecas'!I27),"")</f>
      </c>
    </row>
    <row r="1297">
      <c r="A1297" t="inlineStr" s="25">
        <is>
          <t xml:space="preserve">Calculation</t>
        </is>
      </c>
      <c r="B1297">
        <f>IF(IF(DATE(2027,6,1)=EDATE(DATE(2027,11,1),-'Model inputs'!AM13*1)="",FALSE,DATE(2027,6,1)=EDATE(DATE(2027,11,1),-'Model inputs'!AM13*1)),IF('POA — Monthly financial forecas'!J27="","",'POA — Monthly financial forecas'!J27),"")</f>
      </c>
    </row>
    <row r="1298">
      <c r="A1298" t="inlineStr" s="25">
        <is>
          <t xml:space="preserve">Calculation</t>
        </is>
      </c>
      <c r="B1298">
        <f>IF(IF(DATE(2027,7,1)=EDATE(DATE(2027,11,1),-'Model inputs'!AM13*1)="",FALSE,DATE(2027,7,1)=EDATE(DATE(2027,11,1),-'Model inputs'!AM13*1)),IF('POA — Monthly financial forecas'!K27="","",'POA — Monthly financial forecas'!K27),"")</f>
      </c>
    </row>
    <row r="1299">
      <c r="A1299" t="inlineStr" s="25">
        <is>
          <t xml:space="preserve">Calculation</t>
        </is>
      </c>
      <c r="B1299">
        <f>IF(IF(DATE(2027,8,1)=EDATE(DATE(2027,11,1),-'Model inputs'!AM13*1)="",FALSE,DATE(2027,8,1)=EDATE(DATE(2027,11,1),-'Model inputs'!AM13*1)),IF('POA — Monthly financial forecas'!L27="","",'POA — Monthly financial forecas'!L27),"")</f>
      </c>
    </row>
    <row r="1300">
      <c r="A1300" t="inlineStr" s="25">
        <is>
          <t xml:space="preserve">Calculation</t>
        </is>
      </c>
      <c r="B1300">
        <f>IF(IF(DATE(2027,9,1)=EDATE(DATE(2027,11,1),-'Model inputs'!AM13*1)="",FALSE,DATE(2027,9,1)=EDATE(DATE(2027,11,1),-'Model inputs'!AM13*1)),IF('POA — Monthly financial forecas'!M27="","",'POA — Monthly financial forecas'!M27),"")</f>
      </c>
    </row>
    <row r="1301">
      <c r="A1301" t="inlineStr" s="25">
        <is>
          <t xml:space="preserve">Calculation</t>
        </is>
      </c>
      <c r="B1301">
        <f>IF(IF(DATE(2027,10,1)=EDATE(DATE(2027,11,1),-'Model inputs'!AM13*1)="",FALSE,DATE(2027,10,1)=EDATE(DATE(2027,11,1),-'Model inputs'!AM13*1)),IF('POA — Monthly financial forecas'!N27="","",'POA — Monthly financial forecas'!N27),"")</f>
      </c>
    </row>
    <row r="1302">
      <c r="A1302" t="inlineStr" s="25">
        <is>
          <t xml:space="preserve">Calculation</t>
        </is>
      </c>
      <c r="B1302">
        <f>IF(IF(DATE(2027,11,1)=EDATE(DATE(2027,11,1),-'Model inputs'!AM13*1)="",FALSE,DATE(2027,11,1)=EDATE(DATE(2027,11,1),-'Model inputs'!AM13*1)),IF('POA — Monthly financial forecas'!O27="","",'POA — Monthly financial forecas'!O27),"")</f>
      </c>
    </row>
    <row r="1303">
      <c r="A1303" t="inlineStr" s="25">
        <is>
          <t xml:space="preserve">Calculation</t>
        </is>
      </c>
      <c r="B1303">
        <f>IF(IF(DATE(2027,12,1)=EDATE(DATE(2027,11,1),-'Model inputs'!AM13*1)="",FALSE,DATE(2027,12,1)=EDATE(DATE(2027,11,1),-'Model inputs'!AM13*1)),IF('POA — Monthly financial forecas'!P27="","",'POA — Monthly financial forecas'!P27),"")</f>
      </c>
    </row>
    <row r="1304">
      <c r="A1304" t="inlineStr" s="25">
        <is>
          <t xml:space="preserve">Calculation</t>
        </is>
      </c>
      <c r="B1304">
        <f>IF(IF(DATE(2028,1,1)=EDATE(DATE(2027,11,1),-'Model inputs'!AM13*1)="",FALSE,DATE(2028,1,1)=EDATE(DATE(2027,11,1),-'Model inputs'!AM13*1)),IF('POA — Monthly financial forecas'!Q27="","",'POA — Monthly financial forecas'!Q27),"")</f>
      </c>
    </row>
    <row r="1305">
      <c r="A1305" t="inlineStr" s="25">
        <is>
          <t xml:space="preserve">Calculation</t>
        </is>
      </c>
      <c r="B1305">
        <f>IF(IF(DATE(2028,2,1)=EDATE(DATE(2027,11,1),-'Model inputs'!AM13*1)="",FALSE,DATE(2028,2,1)=EDATE(DATE(2027,11,1),-'Model inputs'!AM13*1)),IF('POA — Monthly financial forecas'!R27="","",'POA — Monthly financial forecas'!R27),"")</f>
      </c>
    </row>
    <row r="1306">
      <c r="A1306" t="inlineStr" s="25">
        <is>
          <t xml:space="preserve">Calculation</t>
        </is>
      </c>
      <c r="B1306">
        <f>IF(IF(DATE(2028,3,1)=EDATE(DATE(2027,11,1),-'Model inputs'!AM13*1)="",FALSE,DATE(2028,3,1)=EDATE(DATE(2027,11,1),-'Model inputs'!AM13*1)),IF('POA — Monthly financial forecas'!S27="","",'POA — Monthly financial forecas'!S27),"")</f>
      </c>
    </row>
    <row r="1307">
      <c r="A1307" t="inlineStr" s="25">
        <is>
          <t xml:space="preserve">Calculation</t>
        </is>
      </c>
      <c r="B1307">
        <f>IF(IF(DATE(2028,4,1)=EDATE(DATE(2027,11,1),-'Model inputs'!AM13*1)="",FALSE,DATE(2028,4,1)=EDATE(DATE(2027,11,1),-'Model inputs'!AM13*1)),IF('POA — Monthly financial forecas'!T27="","",'POA — Monthly financial forecas'!T27),"")</f>
      </c>
    </row>
    <row r="1308">
      <c r="A1308" t="inlineStr" s="25">
        <is>
          <t xml:space="preserve">Calculation</t>
        </is>
      </c>
      <c r="B1308">
        <f>IF(IF(DATE(2028,5,1)=EDATE(DATE(2027,11,1),-'Model inputs'!AM13*1)="",FALSE,DATE(2028,5,1)=EDATE(DATE(2027,11,1),-'Model inputs'!AM13*1)),IF('POA — Monthly financial forecas'!U27="","",'POA — Monthly financial forecas'!U27),"")</f>
      </c>
    </row>
    <row r="1309">
      <c r="A1309" t="inlineStr" s="25">
        <is>
          <t xml:space="preserve">Calculation</t>
        </is>
      </c>
      <c r="B1309">
        <f>IF(IF(DATE(2028,6,1)=EDATE(DATE(2027,11,1),-'Model inputs'!AM13*1)="",FALSE,DATE(2028,6,1)=EDATE(DATE(2027,11,1),-'Model inputs'!AM13*1)),IF('POA — Monthly financial forecas'!V27="","",'POA — Monthly financial forecas'!V27),"")</f>
      </c>
    </row>
    <row r="1310">
      <c r="A1310" t="inlineStr" s="25">
        <is>
          <t xml:space="preserve">Calculation</t>
        </is>
      </c>
      <c r="B1310">
        <f>IF(IF(DATE(2028,7,1)=EDATE(DATE(2027,11,1),-'Model inputs'!AM13*1)="",FALSE,DATE(2028,7,1)=EDATE(DATE(2027,11,1),-'Model inputs'!AM13*1)),IF('POA — Monthly financial forecas'!W27="","",'POA — Monthly financial forecas'!W27),"")</f>
      </c>
    </row>
    <row r="1311">
      <c r="A1311" t="inlineStr" s="25">
        <is>
          <t xml:space="preserve">Calculation</t>
        </is>
      </c>
      <c r="B1311">
        <f>IF(IF(DATE(2028,8,1)=EDATE(DATE(2027,11,1),-'Model inputs'!AM13*1)="",FALSE,DATE(2028,8,1)=EDATE(DATE(2027,11,1),-'Model inputs'!AM13*1)),IF('POA — Monthly financial forecas'!X27="","",'POA — Monthly financial forecas'!X27),"")</f>
      </c>
    </row>
    <row r="1312">
      <c r="A1312" t="inlineStr" s="25">
        <is>
          <t xml:space="preserve">Calculation</t>
        </is>
      </c>
      <c r="B1312">
        <f>IF(IF(DATE(2028,9,1)=EDATE(DATE(2027,11,1),-'Model inputs'!AM13*1)="",FALSE,DATE(2028,9,1)=EDATE(DATE(2027,11,1),-'Model inputs'!AM13*1)),IF('POA — Monthly financial forecas'!Y27="","",'POA — Monthly financial forecas'!Y27),"")</f>
      </c>
    </row>
    <row r="1313">
      <c r="A1313" t="inlineStr" s="25">
        <is>
          <t xml:space="preserve">Calculation</t>
        </is>
      </c>
      <c r="B1313">
        <f>IF(IF(DATE(2028,10,1)=EDATE(DATE(2027,11,1),-'Model inputs'!AM13*1)="",FALSE,DATE(2028,10,1)=EDATE(DATE(2027,11,1),-'Model inputs'!AM13*1)),IF('POA — Monthly financial forecas'!Z27="","",'POA — Monthly financial forecas'!Z27),"")</f>
      </c>
    </row>
    <row r="1314">
      <c r="A1314" t="inlineStr" s="25">
        <is>
          <t xml:space="preserve">Calculation</t>
        </is>
      </c>
      <c r="B1314">
        <f>IF(IF(DATE(2028,11,1)=EDATE(DATE(2027,11,1),-'Model inputs'!AM13*1)="",FALSE,DATE(2028,11,1)=EDATE(DATE(2027,11,1),-'Model inputs'!AM13*1)),IF('POA — Monthly financial forecas'!AA27="","",'POA — Monthly financial forecas'!AA27),"")</f>
      </c>
    </row>
    <row r="1315">
      <c r="A1315" t="inlineStr" s="25">
        <is>
          <t xml:space="preserve">Calculation</t>
        </is>
      </c>
      <c r="B1315">
        <f>IF(IF(DATE(2028,12,1)=EDATE(DATE(2027,11,1),-'Model inputs'!AM13*1)="",FALSE,DATE(2028,12,1)=EDATE(DATE(2027,11,1),-'Model inputs'!AM13*1)),IF('POA — Monthly financial forecas'!AB27="","",'POA — Monthly financial forecas'!AB27),"")</f>
      </c>
    </row>
    <row r="1316">
      <c r="A1316" t="inlineStr" s="25">
        <is>
          <t xml:space="preserve">Calculation</t>
        </is>
      </c>
      <c r="B1316">
        <f>IF(IF(DATE(2029,1,1)=EDATE(DATE(2027,11,1),-'Model inputs'!AM13*1)="",FALSE,DATE(2029,1,1)=EDATE(DATE(2027,11,1),-'Model inputs'!AM13*1)),IF('POA — Monthly financial forecas'!AC27="","",'POA — Monthly financial forecas'!AC27),"")</f>
      </c>
    </row>
    <row r="1317">
      <c r="A1317" t="inlineStr" s="25">
        <is>
          <t xml:space="preserve">Calculation</t>
        </is>
      </c>
      <c r="B1317">
        <f>IF(IF(DATE(2029,2,1)=EDATE(DATE(2027,11,1),-'Model inputs'!AM13*1)="",FALSE,DATE(2029,2,1)=EDATE(DATE(2027,11,1),-'Model inputs'!AM13*1)),IF('POA — Monthly financial forecas'!AD27="","",'POA — Monthly financial forecas'!AD27),"")</f>
      </c>
    </row>
    <row r="1318">
      <c r="A1318" t="inlineStr" s="25">
        <is>
          <t xml:space="preserve">Calculation</t>
        </is>
      </c>
      <c r="B1318">
        <f>IF(IF(DATE(2029,3,1)=EDATE(DATE(2027,11,1),-'Model inputs'!AM13*1)="",FALSE,DATE(2029,3,1)=EDATE(DATE(2027,11,1),-'Model inputs'!AM13*1)),IF('POA — Monthly financial forecas'!AE27="","",'POA — Monthly financial forecas'!AE27),"")</f>
      </c>
    </row>
    <row r="1319">
      <c r="A1319" t="inlineStr" s="25">
        <is>
          <t xml:space="preserve">Calculation</t>
        </is>
      </c>
      <c r="B1319">
        <f>IF(IF(DATE(2029,4,1)=EDATE(DATE(2027,11,1),-'Model inputs'!AM13*1)="",FALSE,DATE(2029,4,1)=EDATE(DATE(2027,11,1),-'Model inputs'!AM13*1)),IF('POA — Monthly financial forecas'!AF27="","",'POA — Monthly financial forecas'!AF27),"")</f>
      </c>
    </row>
    <row r="1320">
      <c r="A1320" t="inlineStr" s="25">
        <is>
          <t xml:space="preserve">Calculation</t>
        </is>
      </c>
      <c r="B1320">
        <f>IF(IF(DATE(2029,5,1)=EDATE(DATE(2027,11,1),-'Model inputs'!AM13*1)="",FALSE,DATE(2029,5,1)=EDATE(DATE(2027,11,1),-'Model inputs'!AM13*1)),IF('POA — Monthly financial forecas'!AG27="","",'POA — Monthly financial forecas'!AG27),"")</f>
      </c>
    </row>
    <row r="1321">
      <c r="A1321" t="inlineStr" s="25">
        <is>
          <t xml:space="preserve">Calculation</t>
        </is>
      </c>
      <c r="B1321">
        <f>IF(IF(DATE(2029,6,1)=EDATE(DATE(2027,11,1),-'Model inputs'!AM13*1)="",FALSE,DATE(2029,6,1)=EDATE(DATE(2027,11,1),-'Model inputs'!AM13*1)),IF('POA — Monthly financial forecas'!AH27="","",'POA — Monthly financial forecas'!AH27),"")</f>
      </c>
    </row>
    <row r="1322">
      <c r="A1322" t="inlineStr" s="25">
        <is>
          <t xml:space="preserve">Calculation</t>
        </is>
      </c>
      <c r="B1322">
        <f>IF(IF(DATE(2029,7,1)=EDATE(DATE(2027,11,1),-'Model inputs'!AM13*1)="",FALSE,DATE(2029,7,1)=EDATE(DATE(2027,11,1),-'Model inputs'!AM13*1)),IF('POA — Monthly financial forecas'!AI27="","",'POA — Monthly financial forecas'!AI27),"")</f>
      </c>
    </row>
    <row r="1323">
      <c r="A1323" t="inlineStr" s="25">
        <is>
          <t xml:space="preserve">Calculation</t>
        </is>
      </c>
      <c r="B1323">
        <f>IF(IF(DATE(2029,8,1)=EDATE(DATE(2027,11,1),-'Model inputs'!AM13*1)="",FALSE,DATE(2029,8,1)=EDATE(DATE(2027,11,1),-'Model inputs'!AM13*1)),IF('POA — Monthly financial forecas'!AJ27="","",'POA — Monthly financial forecas'!AJ27),"")</f>
      </c>
    </row>
    <row r="1324">
      <c r="A1324" t="inlineStr" s="25">
        <is>
          <t xml:space="preserve">Calculation</t>
        </is>
      </c>
      <c r="B1324">
        <f>IF(IF(DATE(2029,9,1)=EDATE(DATE(2027,11,1),-'Model inputs'!AM13*1)="",FALSE,DATE(2029,9,1)=EDATE(DATE(2027,11,1),-'Model inputs'!AM13*1)),IF('POA — Monthly financial forecas'!AK27="","",'POA — Monthly financial forecas'!AK27),"")</f>
      </c>
    </row>
    <row r="1325">
      <c r="A1325" t="inlineStr" s="25">
        <is>
          <t xml:space="preserve">Calculation</t>
        </is>
      </c>
      <c r="B1325">
        <f>IF(IF(DATE(2026,9,1)=EDATE(DATE(2027,11,1),-'Model inputs'!AM13*1)="",FALSE,DATE(2026,9,1)=EDATE(DATE(2027,11,1),-'Model inputs'!AM13*1)),IF('Model inputs'!B85="","",'Model inputs'!B85),"")</f>
      </c>
    </row>
    <row r="1326">
      <c r="A1326" t="inlineStr" s="25">
        <is>
          <t xml:space="preserve">Calculation</t>
        </is>
      </c>
      <c r="B1326">
        <f>SUM(IF(IF('Model inputs'!B1289="",0,1)="",0,IF('Model inputs'!B1289="",0,1)),IF(IF('Model inputs'!B1290="",0,1)="",0,IF('Model inputs'!B1290="",0,1)),IF(IF('Model inputs'!B1291="",0,1)="",0,IF('Model inputs'!B1291="",0,1)),IF(IF('Model inputs'!B1292="",0,1)="",0,IF('Model inputs'!B1292="",0,1)),IF(IF('Model inputs'!B1293="",0,1)="",0,IF('Model inputs'!B1293="",0,1)),IF(IF('Model inputs'!B1294="",0,1)="",0,IF('Model inputs'!B1294="",0,1)),IF(IF('Model inputs'!B1295="",0,1)="",0,IF('Model inputs'!B1295="",0,1)),IF(IF('Model inputs'!B1296="",0,1)="",0,IF('Model inputs'!B1296="",0,1)),IF(IF('Model inputs'!B1297="",0,1)="",0,IF('Model inputs'!B1297="",0,1)),IF(IF('Model inputs'!B1298="",0,1)="",0,IF('Model inputs'!B1298="",0,1)),IF(IF('Model inputs'!B1299="",0,1)="",0,IF('Model inputs'!B1299="",0,1)),IF(IF('Model inputs'!B1300="",0,1)="",0,IF('Model inputs'!B1300="",0,1)),IF(IF('Model inputs'!B1301="",0,1)="",0,IF('Model inputs'!B1301="",0,1)),IF(IF('Model inputs'!B1302="",0,1)="",0,IF('Model inputs'!B1302="",0,1)),IF(IF('Model inputs'!B1303="",0,1)="",0,IF('Model inputs'!B1303="",0,1)),IF(IF('Model inputs'!B1304="",0,1)="",0,IF('Model inputs'!B1304="",0,1)),IF(IF('Model inputs'!B1305="",0,1)="",0,IF('Model inputs'!B1305="",0,1)),IF(IF('Model inputs'!B1306="",0,1)="",0,IF('Model inputs'!B1306="",0,1)),IF(IF('Model inputs'!B1307="",0,1)="",0,IF('Model inputs'!B1307="",0,1)),IF(IF('Model inputs'!B1308="",0,1)="",0,IF('Model inputs'!B1308="",0,1)),IF(IF('Model inputs'!B1309="",0,1)="",0,IF('Model inputs'!B1309="",0,1)),IF(IF('Model inputs'!B1310="",0,1)="",0,IF('Model inputs'!B1310="",0,1)),IF(IF('Model inputs'!B1311="",0,1)="",0,IF('Model inputs'!B1311="",0,1)),IF(IF('Model inputs'!B1312="",0,1)="",0,IF('Model inputs'!B1312="",0,1)),IF(IF('Model inputs'!B1313="",0,1)="",0,IF('Model inputs'!B1313="",0,1)),IF(IF('Model inputs'!B1314="",0,1)="",0,IF('Model inputs'!B1314="",0,1)),IF(IF('Model inputs'!B1315="",0,1)="",0,IF('Model inputs'!B1315="",0,1)),IF(IF('Model inputs'!B1316="",0,1)="",0,IF('Model inputs'!B1316="",0,1)),IF(IF('Model inputs'!B1317="",0,1)="",0,IF('Model inputs'!B1317="",0,1)),IF(IF('Model inputs'!B1318="",0,1)="",0,IF('Model inputs'!B1318="",0,1)),IF(IF('Model inputs'!B1319="",0,1)="",0,IF('Model inputs'!B1319="",0,1)),IF(IF('Model inputs'!B1320="",0,1)="",0,IF('Model inputs'!B1320="",0,1)),IF(IF('Model inputs'!B1321="",0,1)="",0,IF('Model inputs'!B1321="",0,1)),IF(IF('Model inputs'!B1322="",0,1)="",0,IF('Model inputs'!B1322="",0,1)),IF(IF('Model inputs'!B1323="",0,1)="",0,IF('Model inputs'!B1323="",0,1)),IF(IF('Model inputs'!B1324="",0,1)="",0,IF('Model inputs'!B1324="",0,1)),IF(IF('Model inputs'!B1325="",0,1)="",0,IF('Model inputs'!B1325="",0,1)))</f>
      </c>
    </row>
    <row r="1327">
      <c r="A1327" t="inlineStr" s="25">
        <is>
          <t xml:space="preserve">Calculation</t>
        </is>
      </c>
      <c r="B1327">
        <f>IF(IF(DATE(2026,10,1)=EDATE(DATE(2027,12,1),-'Model inputs'!AM13*1)="",FALSE,DATE(2026,10,1)=EDATE(DATE(2027,12,1),-'Model inputs'!AM13*1)),IF('POA — Monthly financial forecas'!B27="","",'POA — Monthly financial forecas'!B27),"")</f>
      </c>
    </row>
    <row r="1328">
      <c r="A1328" t="inlineStr" s="25">
        <is>
          <t xml:space="preserve">Calculation</t>
        </is>
      </c>
      <c r="B1328">
        <f>IF(IF(DATE(2026,11,1)=EDATE(DATE(2027,12,1),-'Model inputs'!AM13*1)="",FALSE,DATE(2026,11,1)=EDATE(DATE(2027,12,1),-'Model inputs'!AM13*1)),IF('POA — Monthly financial forecas'!C27="","",'POA — Monthly financial forecas'!C27),"")</f>
      </c>
    </row>
    <row r="1329">
      <c r="A1329" t="inlineStr" s="25">
        <is>
          <t xml:space="preserve">Calculation</t>
        </is>
      </c>
      <c r="B1329">
        <f>IF(IF(DATE(2026,12,1)=EDATE(DATE(2027,12,1),-'Model inputs'!AM13*1)="",FALSE,DATE(2026,12,1)=EDATE(DATE(2027,12,1),-'Model inputs'!AM13*1)),IF('POA — Monthly financial forecas'!D27="","",'POA — Monthly financial forecas'!D27),"")</f>
      </c>
    </row>
    <row r="1330">
      <c r="A1330" t="inlineStr" s="25">
        <is>
          <t xml:space="preserve">Calculation</t>
        </is>
      </c>
      <c r="B1330">
        <f>IF(IF(DATE(2027,1,1)=EDATE(DATE(2027,12,1),-'Model inputs'!AM13*1)="",FALSE,DATE(2027,1,1)=EDATE(DATE(2027,12,1),-'Model inputs'!AM13*1)),IF('POA — Monthly financial forecas'!E27="","",'POA — Monthly financial forecas'!E27),"")</f>
      </c>
    </row>
    <row r="1331">
      <c r="A1331" t="inlineStr" s="25">
        <is>
          <t xml:space="preserve">Calculation</t>
        </is>
      </c>
      <c r="B1331">
        <f>IF(IF(DATE(2027,2,1)=EDATE(DATE(2027,12,1),-'Model inputs'!AM13*1)="",FALSE,DATE(2027,2,1)=EDATE(DATE(2027,12,1),-'Model inputs'!AM13*1)),IF('POA — Monthly financial forecas'!F27="","",'POA — Monthly financial forecas'!F27),"")</f>
      </c>
    </row>
    <row r="1332">
      <c r="A1332" t="inlineStr" s="25">
        <is>
          <t xml:space="preserve">Calculation</t>
        </is>
      </c>
      <c r="B1332">
        <f>IF(IF(DATE(2027,3,1)=EDATE(DATE(2027,12,1),-'Model inputs'!AM13*1)="",FALSE,DATE(2027,3,1)=EDATE(DATE(2027,12,1),-'Model inputs'!AM13*1)),IF('POA — Monthly financial forecas'!G27="","",'POA — Monthly financial forecas'!G27),"")</f>
      </c>
    </row>
    <row r="1333">
      <c r="A1333" t="inlineStr" s="25">
        <is>
          <t xml:space="preserve">Calculation</t>
        </is>
      </c>
      <c r="B1333">
        <f>IF(IF(DATE(2027,4,1)=EDATE(DATE(2027,12,1),-'Model inputs'!AM13*1)="",FALSE,DATE(2027,4,1)=EDATE(DATE(2027,12,1),-'Model inputs'!AM13*1)),IF('POA — Monthly financial forecas'!H27="","",'POA — Monthly financial forecas'!H27),"")</f>
      </c>
    </row>
    <row r="1334">
      <c r="A1334" t="inlineStr" s="25">
        <is>
          <t xml:space="preserve">Calculation</t>
        </is>
      </c>
      <c r="B1334">
        <f>IF(IF(DATE(2027,5,1)=EDATE(DATE(2027,12,1),-'Model inputs'!AM13*1)="",FALSE,DATE(2027,5,1)=EDATE(DATE(2027,12,1),-'Model inputs'!AM13*1)),IF('POA — Monthly financial forecas'!I27="","",'POA — Monthly financial forecas'!I27),"")</f>
      </c>
    </row>
    <row r="1335">
      <c r="A1335" t="inlineStr" s="25">
        <is>
          <t xml:space="preserve">Calculation</t>
        </is>
      </c>
      <c r="B1335">
        <f>IF(IF(DATE(2027,6,1)=EDATE(DATE(2027,12,1),-'Model inputs'!AM13*1)="",FALSE,DATE(2027,6,1)=EDATE(DATE(2027,12,1),-'Model inputs'!AM13*1)),IF('POA — Monthly financial forecas'!J27="","",'POA — Monthly financial forecas'!J27),"")</f>
      </c>
    </row>
    <row r="1336">
      <c r="A1336" t="inlineStr" s="25">
        <is>
          <t xml:space="preserve">Calculation</t>
        </is>
      </c>
      <c r="B1336">
        <f>IF(IF(DATE(2027,7,1)=EDATE(DATE(2027,12,1),-'Model inputs'!AM13*1)="",FALSE,DATE(2027,7,1)=EDATE(DATE(2027,12,1),-'Model inputs'!AM13*1)),IF('POA — Monthly financial forecas'!K27="","",'POA — Monthly financial forecas'!K27),"")</f>
      </c>
    </row>
    <row r="1337">
      <c r="A1337" t="inlineStr" s="25">
        <is>
          <t xml:space="preserve">Calculation</t>
        </is>
      </c>
      <c r="B1337">
        <f>IF(IF(DATE(2027,8,1)=EDATE(DATE(2027,12,1),-'Model inputs'!AM13*1)="",FALSE,DATE(2027,8,1)=EDATE(DATE(2027,12,1),-'Model inputs'!AM13*1)),IF('POA — Monthly financial forecas'!L27="","",'POA — Monthly financial forecas'!L27),"")</f>
      </c>
    </row>
    <row r="1338">
      <c r="A1338" t="inlineStr" s="25">
        <is>
          <t xml:space="preserve">Calculation</t>
        </is>
      </c>
      <c r="B1338">
        <f>IF(IF(DATE(2027,9,1)=EDATE(DATE(2027,12,1),-'Model inputs'!AM13*1)="",FALSE,DATE(2027,9,1)=EDATE(DATE(2027,12,1),-'Model inputs'!AM13*1)),IF('POA — Monthly financial forecas'!M27="","",'POA — Monthly financial forecas'!M27),"")</f>
      </c>
    </row>
    <row r="1339">
      <c r="A1339" t="inlineStr" s="25">
        <is>
          <t xml:space="preserve">Calculation</t>
        </is>
      </c>
      <c r="B1339">
        <f>IF(IF(DATE(2027,10,1)=EDATE(DATE(2027,12,1),-'Model inputs'!AM13*1)="",FALSE,DATE(2027,10,1)=EDATE(DATE(2027,12,1),-'Model inputs'!AM13*1)),IF('POA — Monthly financial forecas'!N27="","",'POA — Monthly financial forecas'!N27),"")</f>
      </c>
    </row>
    <row r="1340">
      <c r="A1340" t="inlineStr" s="25">
        <is>
          <t xml:space="preserve">Calculation</t>
        </is>
      </c>
      <c r="B1340">
        <f>IF(IF(DATE(2027,11,1)=EDATE(DATE(2027,12,1),-'Model inputs'!AM13*1)="",FALSE,DATE(2027,11,1)=EDATE(DATE(2027,12,1),-'Model inputs'!AM13*1)),IF('POA — Monthly financial forecas'!O27="","",'POA — Monthly financial forecas'!O27),"")</f>
      </c>
    </row>
    <row r="1341">
      <c r="A1341" t="inlineStr" s="25">
        <is>
          <t xml:space="preserve">Calculation</t>
        </is>
      </c>
      <c r="B1341">
        <f>IF(IF(DATE(2027,12,1)=EDATE(DATE(2027,12,1),-'Model inputs'!AM13*1)="",FALSE,DATE(2027,12,1)=EDATE(DATE(2027,12,1),-'Model inputs'!AM13*1)),IF('POA — Monthly financial forecas'!P27="","",'POA — Monthly financial forecas'!P27),"")</f>
      </c>
    </row>
    <row r="1342">
      <c r="A1342" t="inlineStr" s="25">
        <is>
          <t xml:space="preserve">Calculation</t>
        </is>
      </c>
      <c r="B1342">
        <f>IF(IF(DATE(2028,1,1)=EDATE(DATE(2027,12,1),-'Model inputs'!AM13*1)="",FALSE,DATE(2028,1,1)=EDATE(DATE(2027,12,1),-'Model inputs'!AM13*1)),IF('POA — Monthly financial forecas'!Q27="","",'POA — Monthly financial forecas'!Q27),"")</f>
      </c>
    </row>
    <row r="1343">
      <c r="A1343" t="inlineStr" s="25">
        <is>
          <t xml:space="preserve">Calculation</t>
        </is>
      </c>
      <c r="B1343">
        <f>IF(IF(DATE(2028,2,1)=EDATE(DATE(2027,12,1),-'Model inputs'!AM13*1)="",FALSE,DATE(2028,2,1)=EDATE(DATE(2027,12,1),-'Model inputs'!AM13*1)),IF('POA — Monthly financial forecas'!R27="","",'POA — Monthly financial forecas'!R27),"")</f>
      </c>
    </row>
    <row r="1344">
      <c r="A1344" t="inlineStr" s="25">
        <is>
          <t xml:space="preserve">Calculation</t>
        </is>
      </c>
      <c r="B1344">
        <f>IF(IF(DATE(2028,3,1)=EDATE(DATE(2027,12,1),-'Model inputs'!AM13*1)="",FALSE,DATE(2028,3,1)=EDATE(DATE(2027,12,1),-'Model inputs'!AM13*1)),IF('POA — Monthly financial forecas'!S27="","",'POA — Monthly financial forecas'!S27),"")</f>
      </c>
    </row>
    <row r="1345">
      <c r="A1345" t="inlineStr" s="25">
        <is>
          <t xml:space="preserve">Calculation</t>
        </is>
      </c>
      <c r="B1345">
        <f>IF(IF(DATE(2028,4,1)=EDATE(DATE(2027,12,1),-'Model inputs'!AM13*1)="",FALSE,DATE(2028,4,1)=EDATE(DATE(2027,12,1),-'Model inputs'!AM13*1)),IF('POA — Monthly financial forecas'!T27="","",'POA — Monthly financial forecas'!T27),"")</f>
      </c>
    </row>
    <row r="1346">
      <c r="A1346" t="inlineStr" s="25">
        <is>
          <t xml:space="preserve">Calculation</t>
        </is>
      </c>
      <c r="B1346">
        <f>IF(IF(DATE(2028,5,1)=EDATE(DATE(2027,12,1),-'Model inputs'!AM13*1)="",FALSE,DATE(2028,5,1)=EDATE(DATE(2027,12,1),-'Model inputs'!AM13*1)),IF('POA — Monthly financial forecas'!U27="","",'POA — Monthly financial forecas'!U27),"")</f>
      </c>
    </row>
    <row r="1347">
      <c r="A1347" t="inlineStr" s="25">
        <is>
          <t xml:space="preserve">Calculation</t>
        </is>
      </c>
      <c r="B1347">
        <f>IF(IF(DATE(2028,6,1)=EDATE(DATE(2027,12,1),-'Model inputs'!AM13*1)="",FALSE,DATE(2028,6,1)=EDATE(DATE(2027,12,1),-'Model inputs'!AM13*1)),IF('POA — Monthly financial forecas'!V27="","",'POA — Monthly financial forecas'!V27),"")</f>
      </c>
    </row>
    <row r="1348">
      <c r="A1348" t="inlineStr" s="25">
        <is>
          <t xml:space="preserve">Calculation</t>
        </is>
      </c>
      <c r="B1348">
        <f>IF(IF(DATE(2028,7,1)=EDATE(DATE(2027,12,1),-'Model inputs'!AM13*1)="",FALSE,DATE(2028,7,1)=EDATE(DATE(2027,12,1),-'Model inputs'!AM13*1)),IF('POA — Monthly financial forecas'!W27="","",'POA — Monthly financial forecas'!W27),"")</f>
      </c>
    </row>
    <row r="1349">
      <c r="A1349" t="inlineStr" s="25">
        <is>
          <t xml:space="preserve">Calculation</t>
        </is>
      </c>
      <c r="B1349">
        <f>IF(IF(DATE(2028,8,1)=EDATE(DATE(2027,12,1),-'Model inputs'!AM13*1)="",FALSE,DATE(2028,8,1)=EDATE(DATE(2027,12,1),-'Model inputs'!AM13*1)),IF('POA — Monthly financial forecas'!X27="","",'POA — Monthly financial forecas'!X27),"")</f>
      </c>
    </row>
    <row r="1350">
      <c r="A1350" t="inlineStr" s="25">
        <is>
          <t xml:space="preserve">Calculation</t>
        </is>
      </c>
      <c r="B1350">
        <f>IF(IF(DATE(2028,9,1)=EDATE(DATE(2027,12,1),-'Model inputs'!AM13*1)="",FALSE,DATE(2028,9,1)=EDATE(DATE(2027,12,1),-'Model inputs'!AM13*1)),IF('POA — Monthly financial forecas'!Y27="","",'POA — Monthly financial forecas'!Y27),"")</f>
      </c>
    </row>
    <row r="1351">
      <c r="A1351" t="inlineStr" s="25">
        <is>
          <t xml:space="preserve">Calculation</t>
        </is>
      </c>
      <c r="B1351">
        <f>IF(IF(DATE(2028,10,1)=EDATE(DATE(2027,12,1),-'Model inputs'!AM13*1)="",FALSE,DATE(2028,10,1)=EDATE(DATE(2027,12,1),-'Model inputs'!AM13*1)),IF('POA — Monthly financial forecas'!Z27="","",'POA — Monthly financial forecas'!Z27),"")</f>
      </c>
    </row>
    <row r="1352">
      <c r="A1352" t="inlineStr" s="25">
        <is>
          <t xml:space="preserve">Calculation</t>
        </is>
      </c>
      <c r="B1352">
        <f>IF(IF(DATE(2028,11,1)=EDATE(DATE(2027,12,1),-'Model inputs'!AM13*1)="",FALSE,DATE(2028,11,1)=EDATE(DATE(2027,12,1),-'Model inputs'!AM13*1)),IF('POA — Monthly financial forecas'!AA27="","",'POA — Monthly financial forecas'!AA27),"")</f>
      </c>
    </row>
    <row r="1353">
      <c r="A1353" t="inlineStr" s="25">
        <is>
          <t xml:space="preserve">Calculation</t>
        </is>
      </c>
      <c r="B1353">
        <f>IF(IF(DATE(2028,12,1)=EDATE(DATE(2027,12,1),-'Model inputs'!AM13*1)="",FALSE,DATE(2028,12,1)=EDATE(DATE(2027,12,1),-'Model inputs'!AM13*1)),IF('POA — Monthly financial forecas'!AB27="","",'POA — Monthly financial forecas'!AB27),"")</f>
      </c>
    </row>
    <row r="1354">
      <c r="A1354" t="inlineStr" s="25">
        <is>
          <t xml:space="preserve">Calculation</t>
        </is>
      </c>
      <c r="B1354">
        <f>IF(IF(DATE(2029,1,1)=EDATE(DATE(2027,12,1),-'Model inputs'!AM13*1)="",FALSE,DATE(2029,1,1)=EDATE(DATE(2027,12,1),-'Model inputs'!AM13*1)),IF('POA — Monthly financial forecas'!AC27="","",'POA — Monthly financial forecas'!AC27),"")</f>
      </c>
    </row>
    <row r="1355">
      <c r="A1355" t="inlineStr" s="25">
        <is>
          <t xml:space="preserve">Calculation</t>
        </is>
      </c>
      <c r="B1355">
        <f>IF(IF(DATE(2029,2,1)=EDATE(DATE(2027,12,1),-'Model inputs'!AM13*1)="",FALSE,DATE(2029,2,1)=EDATE(DATE(2027,12,1),-'Model inputs'!AM13*1)),IF('POA — Monthly financial forecas'!AD27="","",'POA — Monthly financial forecas'!AD27),"")</f>
      </c>
    </row>
    <row r="1356">
      <c r="A1356" t="inlineStr" s="25">
        <is>
          <t xml:space="preserve">Calculation</t>
        </is>
      </c>
      <c r="B1356">
        <f>IF(IF(DATE(2029,3,1)=EDATE(DATE(2027,12,1),-'Model inputs'!AM13*1)="",FALSE,DATE(2029,3,1)=EDATE(DATE(2027,12,1),-'Model inputs'!AM13*1)),IF('POA — Monthly financial forecas'!AE27="","",'POA — Monthly financial forecas'!AE27),"")</f>
      </c>
    </row>
    <row r="1357">
      <c r="A1357" t="inlineStr" s="25">
        <is>
          <t xml:space="preserve">Calculation</t>
        </is>
      </c>
      <c r="B1357">
        <f>IF(IF(DATE(2029,4,1)=EDATE(DATE(2027,12,1),-'Model inputs'!AM13*1)="",FALSE,DATE(2029,4,1)=EDATE(DATE(2027,12,1),-'Model inputs'!AM13*1)),IF('POA — Monthly financial forecas'!AF27="","",'POA — Monthly financial forecas'!AF27),"")</f>
      </c>
    </row>
    <row r="1358">
      <c r="A1358" t="inlineStr" s="25">
        <is>
          <t xml:space="preserve">Calculation</t>
        </is>
      </c>
      <c r="B1358">
        <f>IF(IF(DATE(2029,5,1)=EDATE(DATE(2027,12,1),-'Model inputs'!AM13*1)="",FALSE,DATE(2029,5,1)=EDATE(DATE(2027,12,1),-'Model inputs'!AM13*1)),IF('POA — Monthly financial forecas'!AG27="","",'POA — Monthly financial forecas'!AG27),"")</f>
      </c>
    </row>
    <row r="1359">
      <c r="A1359" t="inlineStr" s="25">
        <is>
          <t xml:space="preserve">Calculation</t>
        </is>
      </c>
      <c r="B1359">
        <f>IF(IF(DATE(2029,6,1)=EDATE(DATE(2027,12,1),-'Model inputs'!AM13*1)="",FALSE,DATE(2029,6,1)=EDATE(DATE(2027,12,1),-'Model inputs'!AM13*1)),IF('POA — Monthly financial forecas'!AH27="","",'POA — Monthly financial forecas'!AH27),"")</f>
      </c>
    </row>
    <row r="1360">
      <c r="A1360" t="inlineStr" s="25">
        <is>
          <t xml:space="preserve">Calculation</t>
        </is>
      </c>
      <c r="B1360">
        <f>IF(IF(DATE(2029,7,1)=EDATE(DATE(2027,12,1),-'Model inputs'!AM13*1)="",FALSE,DATE(2029,7,1)=EDATE(DATE(2027,12,1),-'Model inputs'!AM13*1)),IF('POA — Monthly financial forecas'!AI27="","",'POA — Monthly financial forecas'!AI27),"")</f>
      </c>
    </row>
    <row r="1361">
      <c r="A1361" t="inlineStr" s="25">
        <is>
          <t xml:space="preserve">Calculation</t>
        </is>
      </c>
      <c r="B1361">
        <f>IF(IF(DATE(2029,8,1)=EDATE(DATE(2027,12,1),-'Model inputs'!AM13*1)="",FALSE,DATE(2029,8,1)=EDATE(DATE(2027,12,1),-'Model inputs'!AM13*1)),IF('POA — Monthly financial forecas'!AJ27="","",'POA — Monthly financial forecas'!AJ27),"")</f>
      </c>
    </row>
    <row r="1362">
      <c r="A1362" t="inlineStr" s="25">
        <is>
          <t xml:space="preserve">Calculation</t>
        </is>
      </c>
      <c r="B1362">
        <f>IF(IF(DATE(2029,9,1)=EDATE(DATE(2027,12,1),-'Model inputs'!AM13*1)="",FALSE,DATE(2029,9,1)=EDATE(DATE(2027,12,1),-'Model inputs'!AM13*1)),IF('POA — Monthly financial forecas'!AK27="","",'POA — Monthly financial forecas'!AK27),"")</f>
      </c>
    </row>
    <row r="1363">
      <c r="A1363" t="inlineStr" s="25">
        <is>
          <t xml:space="preserve">Calculation</t>
        </is>
      </c>
      <c r="B1363">
        <f>IF(IF(DATE(2026,9,1)=EDATE(DATE(2027,12,1),-'Model inputs'!AM13*1)="",FALSE,DATE(2026,9,1)=EDATE(DATE(2027,12,1),-'Model inputs'!AM13*1)),IF('Model inputs'!B85="","",'Model inputs'!B85),"")</f>
      </c>
    </row>
    <row r="1364">
      <c r="A1364" t="inlineStr" s="25">
        <is>
          <t xml:space="preserve">Calculation</t>
        </is>
      </c>
      <c r="B1364">
        <f>SUM(IF(IF('Model inputs'!B1327="",0,1)="",0,IF('Model inputs'!B1327="",0,1)),IF(IF('Model inputs'!B1328="",0,1)="",0,IF('Model inputs'!B1328="",0,1)),IF(IF('Model inputs'!B1329="",0,1)="",0,IF('Model inputs'!B1329="",0,1)),IF(IF('Model inputs'!B1330="",0,1)="",0,IF('Model inputs'!B1330="",0,1)),IF(IF('Model inputs'!B1331="",0,1)="",0,IF('Model inputs'!B1331="",0,1)),IF(IF('Model inputs'!B1332="",0,1)="",0,IF('Model inputs'!B1332="",0,1)),IF(IF('Model inputs'!B1333="",0,1)="",0,IF('Model inputs'!B1333="",0,1)),IF(IF('Model inputs'!B1334="",0,1)="",0,IF('Model inputs'!B1334="",0,1)),IF(IF('Model inputs'!B1335="",0,1)="",0,IF('Model inputs'!B1335="",0,1)),IF(IF('Model inputs'!B1336="",0,1)="",0,IF('Model inputs'!B1336="",0,1)),IF(IF('Model inputs'!B1337="",0,1)="",0,IF('Model inputs'!B1337="",0,1)),IF(IF('Model inputs'!B1338="",0,1)="",0,IF('Model inputs'!B1338="",0,1)),IF(IF('Model inputs'!B1339="",0,1)="",0,IF('Model inputs'!B1339="",0,1)),IF(IF('Model inputs'!B1340="",0,1)="",0,IF('Model inputs'!B1340="",0,1)),IF(IF('Model inputs'!B1341="",0,1)="",0,IF('Model inputs'!B1341="",0,1)),IF(IF('Model inputs'!B1342="",0,1)="",0,IF('Model inputs'!B1342="",0,1)),IF(IF('Model inputs'!B1343="",0,1)="",0,IF('Model inputs'!B1343="",0,1)),IF(IF('Model inputs'!B1344="",0,1)="",0,IF('Model inputs'!B1344="",0,1)),IF(IF('Model inputs'!B1345="",0,1)="",0,IF('Model inputs'!B1345="",0,1)),IF(IF('Model inputs'!B1346="",0,1)="",0,IF('Model inputs'!B1346="",0,1)),IF(IF('Model inputs'!B1347="",0,1)="",0,IF('Model inputs'!B1347="",0,1)),IF(IF('Model inputs'!B1348="",0,1)="",0,IF('Model inputs'!B1348="",0,1)),IF(IF('Model inputs'!B1349="",0,1)="",0,IF('Model inputs'!B1349="",0,1)),IF(IF('Model inputs'!B1350="",0,1)="",0,IF('Model inputs'!B1350="",0,1)),IF(IF('Model inputs'!B1351="",0,1)="",0,IF('Model inputs'!B1351="",0,1)),IF(IF('Model inputs'!B1352="",0,1)="",0,IF('Model inputs'!B1352="",0,1)),IF(IF('Model inputs'!B1353="",0,1)="",0,IF('Model inputs'!B1353="",0,1)),IF(IF('Model inputs'!B1354="",0,1)="",0,IF('Model inputs'!B1354="",0,1)),IF(IF('Model inputs'!B1355="",0,1)="",0,IF('Model inputs'!B1355="",0,1)),IF(IF('Model inputs'!B1356="",0,1)="",0,IF('Model inputs'!B1356="",0,1)),IF(IF('Model inputs'!B1357="",0,1)="",0,IF('Model inputs'!B1357="",0,1)),IF(IF('Model inputs'!B1358="",0,1)="",0,IF('Model inputs'!B1358="",0,1)),IF(IF('Model inputs'!B1359="",0,1)="",0,IF('Model inputs'!B1359="",0,1)),IF(IF('Model inputs'!B1360="",0,1)="",0,IF('Model inputs'!B1360="",0,1)),IF(IF('Model inputs'!B1361="",0,1)="",0,IF('Model inputs'!B1361="",0,1)),IF(IF('Model inputs'!B1362="",0,1)="",0,IF('Model inputs'!B1362="",0,1)),IF(IF('Model inputs'!B1363="",0,1)="",0,IF('Model inputs'!B1363="",0,1)))</f>
      </c>
    </row>
    <row r="1365">
      <c r="A1365" t="inlineStr" s="25">
        <is>
          <t xml:space="preserve">Calculation</t>
        </is>
      </c>
      <c r="B1365">
        <f>IF(IF(DATE(2026,10,1)=EDATE(DATE(2028,1,1),-'Model inputs'!AM13*1)="",FALSE,DATE(2026,10,1)=EDATE(DATE(2028,1,1),-'Model inputs'!AM13*1)),IF('POA — Monthly financial forecas'!B27="","",'POA — Monthly financial forecas'!B27),"")</f>
      </c>
    </row>
    <row r="1366">
      <c r="A1366" t="inlineStr" s="25">
        <is>
          <t xml:space="preserve">Calculation</t>
        </is>
      </c>
      <c r="B1366">
        <f>IF(IF(DATE(2026,11,1)=EDATE(DATE(2028,1,1),-'Model inputs'!AM13*1)="",FALSE,DATE(2026,11,1)=EDATE(DATE(2028,1,1),-'Model inputs'!AM13*1)),IF('POA — Monthly financial forecas'!C27="","",'POA — Monthly financial forecas'!C27),"")</f>
      </c>
    </row>
    <row r="1367">
      <c r="A1367" t="inlineStr" s="25">
        <is>
          <t xml:space="preserve">Calculation</t>
        </is>
      </c>
      <c r="B1367">
        <f>IF(IF(DATE(2026,12,1)=EDATE(DATE(2028,1,1),-'Model inputs'!AM13*1)="",FALSE,DATE(2026,12,1)=EDATE(DATE(2028,1,1),-'Model inputs'!AM13*1)),IF('POA — Monthly financial forecas'!D27="","",'POA — Monthly financial forecas'!D27),"")</f>
      </c>
    </row>
    <row r="1368">
      <c r="A1368" t="inlineStr" s="25">
        <is>
          <t xml:space="preserve">Calculation</t>
        </is>
      </c>
      <c r="B1368">
        <f>IF(IF(DATE(2027,1,1)=EDATE(DATE(2028,1,1),-'Model inputs'!AM13*1)="",FALSE,DATE(2027,1,1)=EDATE(DATE(2028,1,1),-'Model inputs'!AM13*1)),IF('POA — Monthly financial forecas'!E27="","",'POA — Monthly financial forecas'!E27),"")</f>
      </c>
    </row>
    <row r="1369">
      <c r="A1369" t="inlineStr" s="25">
        <is>
          <t xml:space="preserve">Calculation</t>
        </is>
      </c>
      <c r="B1369">
        <f>IF(IF(DATE(2027,2,1)=EDATE(DATE(2028,1,1),-'Model inputs'!AM13*1)="",FALSE,DATE(2027,2,1)=EDATE(DATE(2028,1,1),-'Model inputs'!AM13*1)),IF('POA — Monthly financial forecas'!F27="","",'POA — Monthly financial forecas'!F27),"")</f>
      </c>
    </row>
    <row r="1370">
      <c r="A1370" t="inlineStr" s="25">
        <is>
          <t xml:space="preserve">Calculation</t>
        </is>
      </c>
      <c r="B1370">
        <f>IF(IF(DATE(2027,3,1)=EDATE(DATE(2028,1,1),-'Model inputs'!AM13*1)="",FALSE,DATE(2027,3,1)=EDATE(DATE(2028,1,1),-'Model inputs'!AM13*1)),IF('POA — Monthly financial forecas'!G27="","",'POA — Monthly financial forecas'!G27),"")</f>
      </c>
    </row>
    <row r="1371">
      <c r="A1371" t="inlineStr" s="25">
        <is>
          <t xml:space="preserve">Calculation</t>
        </is>
      </c>
      <c r="B1371">
        <f>IF(IF(DATE(2027,4,1)=EDATE(DATE(2028,1,1),-'Model inputs'!AM13*1)="",FALSE,DATE(2027,4,1)=EDATE(DATE(2028,1,1),-'Model inputs'!AM13*1)),IF('POA — Monthly financial forecas'!H27="","",'POA — Monthly financial forecas'!H27),"")</f>
      </c>
    </row>
    <row r="1372">
      <c r="A1372" t="inlineStr" s="25">
        <is>
          <t xml:space="preserve">Calculation</t>
        </is>
      </c>
      <c r="B1372">
        <f>IF(IF(DATE(2027,5,1)=EDATE(DATE(2028,1,1),-'Model inputs'!AM13*1)="",FALSE,DATE(2027,5,1)=EDATE(DATE(2028,1,1),-'Model inputs'!AM13*1)),IF('POA — Monthly financial forecas'!I27="","",'POA — Monthly financial forecas'!I27),"")</f>
      </c>
    </row>
    <row r="1373">
      <c r="A1373" t="inlineStr" s="25">
        <is>
          <t xml:space="preserve">Calculation</t>
        </is>
      </c>
      <c r="B1373">
        <f>IF(IF(DATE(2027,6,1)=EDATE(DATE(2028,1,1),-'Model inputs'!AM13*1)="",FALSE,DATE(2027,6,1)=EDATE(DATE(2028,1,1),-'Model inputs'!AM13*1)),IF('POA — Monthly financial forecas'!J27="","",'POA — Monthly financial forecas'!J27),"")</f>
      </c>
    </row>
    <row r="1374">
      <c r="A1374" t="inlineStr" s="25">
        <is>
          <t xml:space="preserve">Calculation</t>
        </is>
      </c>
      <c r="B1374">
        <f>IF(IF(DATE(2027,7,1)=EDATE(DATE(2028,1,1),-'Model inputs'!AM13*1)="",FALSE,DATE(2027,7,1)=EDATE(DATE(2028,1,1),-'Model inputs'!AM13*1)),IF('POA — Monthly financial forecas'!K27="","",'POA — Monthly financial forecas'!K27),"")</f>
      </c>
    </row>
    <row r="1375">
      <c r="A1375" t="inlineStr" s="25">
        <is>
          <t xml:space="preserve">Calculation</t>
        </is>
      </c>
      <c r="B1375">
        <f>IF(IF(DATE(2027,8,1)=EDATE(DATE(2028,1,1),-'Model inputs'!AM13*1)="",FALSE,DATE(2027,8,1)=EDATE(DATE(2028,1,1),-'Model inputs'!AM13*1)),IF('POA — Monthly financial forecas'!L27="","",'POA — Monthly financial forecas'!L27),"")</f>
      </c>
    </row>
    <row r="1376">
      <c r="A1376" t="inlineStr" s="25">
        <is>
          <t xml:space="preserve">Calculation</t>
        </is>
      </c>
      <c r="B1376">
        <f>IF(IF(DATE(2027,9,1)=EDATE(DATE(2028,1,1),-'Model inputs'!AM13*1)="",FALSE,DATE(2027,9,1)=EDATE(DATE(2028,1,1),-'Model inputs'!AM13*1)),IF('POA — Monthly financial forecas'!M27="","",'POA — Monthly financial forecas'!M27),"")</f>
      </c>
    </row>
    <row r="1377">
      <c r="A1377" t="inlineStr" s="25">
        <is>
          <t xml:space="preserve">Calculation</t>
        </is>
      </c>
      <c r="B1377">
        <f>IF(IF(DATE(2027,10,1)=EDATE(DATE(2028,1,1),-'Model inputs'!AM13*1)="",FALSE,DATE(2027,10,1)=EDATE(DATE(2028,1,1),-'Model inputs'!AM13*1)),IF('POA — Monthly financial forecas'!N27="","",'POA — Monthly financial forecas'!N27),"")</f>
      </c>
    </row>
    <row r="1378">
      <c r="A1378" t="inlineStr" s="25">
        <is>
          <t xml:space="preserve">Calculation</t>
        </is>
      </c>
      <c r="B1378">
        <f>IF(IF(DATE(2027,11,1)=EDATE(DATE(2028,1,1),-'Model inputs'!AM13*1)="",FALSE,DATE(2027,11,1)=EDATE(DATE(2028,1,1),-'Model inputs'!AM13*1)),IF('POA — Monthly financial forecas'!O27="","",'POA — Monthly financial forecas'!O27),"")</f>
      </c>
    </row>
    <row r="1379">
      <c r="A1379" t="inlineStr" s="25">
        <is>
          <t xml:space="preserve">Calculation</t>
        </is>
      </c>
      <c r="B1379">
        <f>IF(IF(DATE(2027,12,1)=EDATE(DATE(2028,1,1),-'Model inputs'!AM13*1)="",FALSE,DATE(2027,12,1)=EDATE(DATE(2028,1,1),-'Model inputs'!AM13*1)),IF('POA — Monthly financial forecas'!P27="","",'POA — Monthly financial forecas'!P27),"")</f>
      </c>
    </row>
    <row r="1380">
      <c r="A1380" t="inlineStr" s="25">
        <is>
          <t xml:space="preserve">Calculation</t>
        </is>
      </c>
      <c r="B1380">
        <f>IF(IF(DATE(2028,1,1)=EDATE(DATE(2028,1,1),-'Model inputs'!AM13*1)="",FALSE,DATE(2028,1,1)=EDATE(DATE(2028,1,1),-'Model inputs'!AM13*1)),IF('POA — Monthly financial forecas'!Q27="","",'POA — Monthly financial forecas'!Q27),"")</f>
      </c>
    </row>
    <row r="1381">
      <c r="A1381" t="inlineStr" s="25">
        <is>
          <t xml:space="preserve">Calculation</t>
        </is>
      </c>
      <c r="B1381">
        <f>IF(IF(DATE(2028,2,1)=EDATE(DATE(2028,1,1),-'Model inputs'!AM13*1)="",FALSE,DATE(2028,2,1)=EDATE(DATE(2028,1,1),-'Model inputs'!AM13*1)),IF('POA — Monthly financial forecas'!R27="","",'POA — Monthly financial forecas'!R27),"")</f>
      </c>
    </row>
    <row r="1382">
      <c r="A1382" t="inlineStr" s="25">
        <is>
          <t xml:space="preserve">Calculation</t>
        </is>
      </c>
      <c r="B1382">
        <f>IF(IF(DATE(2028,3,1)=EDATE(DATE(2028,1,1),-'Model inputs'!AM13*1)="",FALSE,DATE(2028,3,1)=EDATE(DATE(2028,1,1),-'Model inputs'!AM13*1)),IF('POA — Monthly financial forecas'!S27="","",'POA — Monthly financial forecas'!S27),"")</f>
      </c>
    </row>
    <row r="1383">
      <c r="A1383" t="inlineStr" s="25">
        <is>
          <t xml:space="preserve">Calculation</t>
        </is>
      </c>
      <c r="B1383">
        <f>IF(IF(DATE(2028,4,1)=EDATE(DATE(2028,1,1),-'Model inputs'!AM13*1)="",FALSE,DATE(2028,4,1)=EDATE(DATE(2028,1,1),-'Model inputs'!AM13*1)),IF('POA — Monthly financial forecas'!T27="","",'POA — Monthly financial forecas'!T27),"")</f>
      </c>
    </row>
    <row r="1384">
      <c r="A1384" t="inlineStr" s="25">
        <is>
          <t xml:space="preserve">Calculation</t>
        </is>
      </c>
      <c r="B1384">
        <f>IF(IF(DATE(2028,5,1)=EDATE(DATE(2028,1,1),-'Model inputs'!AM13*1)="",FALSE,DATE(2028,5,1)=EDATE(DATE(2028,1,1),-'Model inputs'!AM13*1)),IF('POA — Monthly financial forecas'!U27="","",'POA — Monthly financial forecas'!U27),"")</f>
      </c>
    </row>
    <row r="1385">
      <c r="A1385" t="inlineStr" s="25">
        <is>
          <t xml:space="preserve">Calculation</t>
        </is>
      </c>
      <c r="B1385">
        <f>IF(IF(DATE(2028,6,1)=EDATE(DATE(2028,1,1),-'Model inputs'!AM13*1)="",FALSE,DATE(2028,6,1)=EDATE(DATE(2028,1,1),-'Model inputs'!AM13*1)),IF('POA — Monthly financial forecas'!V27="","",'POA — Monthly financial forecas'!V27),"")</f>
      </c>
    </row>
    <row r="1386">
      <c r="A1386" t="inlineStr" s="25">
        <is>
          <t xml:space="preserve">Calculation</t>
        </is>
      </c>
      <c r="B1386">
        <f>IF(IF(DATE(2028,7,1)=EDATE(DATE(2028,1,1),-'Model inputs'!AM13*1)="",FALSE,DATE(2028,7,1)=EDATE(DATE(2028,1,1),-'Model inputs'!AM13*1)),IF('POA — Monthly financial forecas'!W27="","",'POA — Monthly financial forecas'!W27),"")</f>
      </c>
    </row>
    <row r="1387">
      <c r="A1387" t="inlineStr" s="25">
        <is>
          <t xml:space="preserve">Calculation</t>
        </is>
      </c>
      <c r="B1387">
        <f>IF(IF(DATE(2028,8,1)=EDATE(DATE(2028,1,1),-'Model inputs'!AM13*1)="",FALSE,DATE(2028,8,1)=EDATE(DATE(2028,1,1),-'Model inputs'!AM13*1)),IF('POA — Monthly financial forecas'!X27="","",'POA — Monthly financial forecas'!X27),"")</f>
      </c>
    </row>
    <row r="1388">
      <c r="A1388" t="inlineStr" s="25">
        <is>
          <t xml:space="preserve">Calculation</t>
        </is>
      </c>
      <c r="B1388">
        <f>IF(IF(DATE(2028,9,1)=EDATE(DATE(2028,1,1),-'Model inputs'!AM13*1)="",FALSE,DATE(2028,9,1)=EDATE(DATE(2028,1,1),-'Model inputs'!AM13*1)),IF('POA — Monthly financial forecas'!Y27="","",'POA — Monthly financial forecas'!Y27),"")</f>
      </c>
    </row>
    <row r="1389">
      <c r="A1389" t="inlineStr" s="25">
        <is>
          <t xml:space="preserve">Calculation</t>
        </is>
      </c>
      <c r="B1389">
        <f>IF(IF(DATE(2028,10,1)=EDATE(DATE(2028,1,1),-'Model inputs'!AM13*1)="",FALSE,DATE(2028,10,1)=EDATE(DATE(2028,1,1),-'Model inputs'!AM13*1)),IF('POA — Monthly financial forecas'!Z27="","",'POA — Monthly financial forecas'!Z27),"")</f>
      </c>
    </row>
    <row r="1390">
      <c r="A1390" t="inlineStr" s="25">
        <is>
          <t xml:space="preserve">Calculation</t>
        </is>
      </c>
      <c r="B1390">
        <f>IF(IF(DATE(2028,11,1)=EDATE(DATE(2028,1,1),-'Model inputs'!AM13*1)="",FALSE,DATE(2028,11,1)=EDATE(DATE(2028,1,1),-'Model inputs'!AM13*1)),IF('POA — Monthly financial forecas'!AA27="","",'POA — Monthly financial forecas'!AA27),"")</f>
      </c>
    </row>
    <row r="1391">
      <c r="A1391" t="inlineStr" s="25">
        <is>
          <t xml:space="preserve">Calculation</t>
        </is>
      </c>
      <c r="B1391">
        <f>IF(IF(DATE(2028,12,1)=EDATE(DATE(2028,1,1),-'Model inputs'!AM13*1)="",FALSE,DATE(2028,12,1)=EDATE(DATE(2028,1,1),-'Model inputs'!AM13*1)),IF('POA — Monthly financial forecas'!AB27="","",'POA — Monthly financial forecas'!AB27),"")</f>
      </c>
    </row>
    <row r="1392">
      <c r="A1392" t="inlineStr" s="25">
        <is>
          <t xml:space="preserve">Calculation</t>
        </is>
      </c>
      <c r="B1392">
        <f>IF(IF(DATE(2029,1,1)=EDATE(DATE(2028,1,1),-'Model inputs'!AM13*1)="",FALSE,DATE(2029,1,1)=EDATE(DATE(2028,1,1),-'Model inputs'!AM13*1)),IF('POA — Monthly financial forecas'!AC27="","",'POA — Monthly financial forecas'!AC27),"")</f>
      </c>
    </row>
    <row r="1393">
      <c r="A1393" t="inlineStr" s="25">
        <is>
          <t xml:space="preserve">Calculation</t>
        </is>
      </c>
      <c r="B1393">
        <f>IF(IF(DATE(2029,2,1)=EDATE(DATE(2028,1,1),-'Model inputs'!AM13*1)="",FALSE,DATE(2029,2,1)=EDATE(DATE(2028,1,1),-'Model inputs'!AM13*1)),IF('POA — Monthly financial forecas'!AD27="","",'POA — Monthly financial forecas'!AD27),"")</f>
      </c>
    </row>
    <row r="1394">
      <c r="A1394" t="inlineStr" s="25">
        <is>
          <t xml:space="preserve">Calculation</t>
        </is>
      </c>
      <c r="B1394">
        <f>IF(IF(DATE(2029,3,1)=EDATE(DATE(2028,1,1),-'Model inputs'!AM13*1)="",FALSE,DATE(2029,3,1)=EDATE(DATE(2028,1,1),-'Model inputs'!AM13*1)),IF('POA — Monthly financial forecas'!AE27="","",'POA — Monthly financial forecas'!AE27),"")</f>
      </c>
    </row>
    <row r="1395">
      <c r="A1395" t="inlineStr" s="25">
        <is>
          <t xml:space="preserve">Calculation</t>
        </is>
      </c>
      <c r="B1395">
        <f>IF(IF(DATE(2029,4,1)=EDATE(DATE(2028,1,1),-'Model inputs'!AM13*1)="",FALSE,DATE(2029,4,1)=EDATE(DATE(2028,1,1),-'Model inputs'!AM13*1)),IF('POA — Monthly financial forecas'!AF27="","",'POA — Monthly financial forecas'!AF27),"")</f>
      </c>
    </row>
    <row r="1396">
      <c r="A1396" t="inlineStr" s="25">
        <is>
          <t xml:space="preserve">Calculation</t>
        </is>
      </c>
      <c r="B1396">
        <f>IF(IF(DATE(2029,5,1)=EDATE(DATE(2028,1,1),-'Model inputs'!AM13*1)="",FALSE,DATE(2029,5,1)=EDATE(DATE(2028,1,1),-'Model inputs'!AM13*1)),IF('POA — Monthly financial forecas'!AG27="","",'POA — Monthly financial forecas'!AG27),"")</f>
      </c>
    </row>
    <row r="1397">
      <c r="A1397" t="inlineStr" s="25">
        <is>
          <t xml:space="preserve">Calculation</t>
        </is>
      </c>
      <c r="B1397">
        <f>IF(IF(DATE(2029,6,1)=EDATE(DATE(2028,1,1),-'Model inputs'!AM13*1)="",FALSE,DATE(2029,6,1)=EDATE(DATE(2028,1,1),-'Model inputs'!AM13*1)),IF('POA — Monthly financial forecas'!AH27="","",'POA — Monthly financial forecas'!AH27),"")</f>
      </c>
    </row>
    <row r="1398">
      <c r="A1398" t="inlineStr" s="25">
        <is>
          <t xml:space="preserve">Calculation</t>
        </is>
      </c>
      <c r="B1398">
        <f>IF(IF(DATE(2029,7,1)=EDATE(DATE(2028,1,1),-'Model inputs'!AM13*1)="",FALSE,DATE(2029,7,1)=EDATE(DATE(2028,1,1),-'Model inputs'!AM13*1)),IF('POA — Monthly financial forecas'!AI27="","",'POA — Monthly financial forecas'!AI27),"")</f>
      </c>
    </row>
    <row r="1399">
      <c r="A1399" t="inlineStr" s="25">
        <is>
          <t xml:space="preserve">Calculation</t>
        </is>
      </c>
      <c r="B1399">
        <f>IF(IF(DATE(2029,8,1)=EDATE(DATE(2028,1,1),-'Model inputs'!AM13*1)="",FALSE,DATE(2029,8,1)=EDATE(DATE(2028,1,1),-'Model inputs'!AM13*1)),IF('POA — Monthly financial forecas'!AJ27="","",'POA — Monthly financial forecas'!AJ27),"")</f>
      </c>
    </row>
    <row r="1400">
      <c r="A1400" t="inlineStr" s="25">
        <is>
          <t xml:space="preserve">Calculation</t>
        </is>
      </c>
      <c r="B1400">
        <f>IF(IF(DATE(2029,9,1)=EDATE(DATE(2028,1,1),-'Model inputs'!AM13*1)="",FALSE,DATE(2029,9,1)=EDATE(DATE(2028,1,1),-'Model inputs'!AM13*1)),IF('POA — Monthly financial forecas'!AK27="","",'POA — Monthly financial forecas'!AK27),"")</f>
      </c>
    </row>
    <row r="1401">
      <c r="A1401" t="inlineStr" s="25">
        <is>
          <t xml:space="preserve">Calculation</t>
        </is>
      </c>
      <c r="B1401">
        <f>IF(IF(DATE(2026,9,1)=EDATE(DATE(2028,1,1),-'Model inputs'!AM13*1)="",FALSE,DATE(2026,9,1)=EDATE(DATE(2028,1,1),-'Model inputs'!AM13*1)),IF('Model inputs'!B85="","",'Model inputs'!B85),"")</f>
      </c>
    </row>
    <row r="1402">
      <c r="A1402" t="inlineStr" s="25">
        <is>
          <t xml:space="preserve">Calculation</t>
        </is>
      </c>
      <c r="B1402">
        <f>SUM(IF(IF('Model inputs'!B1365="",0,1)="",0,IF('Model inputs'!B1365="",0,1)),IF(IF('Model inputs'!B1366="",0,1)="",0,IF('Model inputs'!B1366="",0,1)),IF(IF('Model inputs'!B1367="",0,1)="",0,IF('Model inputs'!B1367="",0,1)),IF(IF('Model inputs'!B1368="",0,1)="",0,IF('Model inputs'!B1368="",0,1)),IF(IF('Model inputs'!B1369="",0,1)="",0,IF('Model inputs'!B1369="",0,1)),IF(IF('Model inputs'!B1370="",0,1)="",0,IF('Model inputs'!B1370="",0,1)),IF(IF('Model inputs'!B1371="",0,1)="",0,IF('Model inputs'!B1371="",0,1)),IF(IF('Model inputs'!B1372="",0,1)="",0,IF('Model inputs'!B1372="",0,1)),IF(IF('Model inputs'!B1373="",0,1)="",0,IF('Model inputs'!B1373="",0,1)),IF(IF('Model inputs'!B1374="",0,1)="",0,IF('Model inputs'!B1374="",0,1)),IF(IF('Model inputs'!B1375="",0,1)="",0,IF('Model inputs'!B1375="",0,1)),IF(IF('Model inputs'!B1376="",0,1)="",0,IF('Model inputs'!B1376="",0,1)),IF(IF('Model inputs'!B1377="",0,1)="",0,IF('Model inputs'!B1377="",0,1)),IF(IF('Model inputs'!B1378="",0,1)="",0,IF('Model inputs'!B1378="",0,1)),IF(IF('Model inputs'!B1379="",0,1)="",0,IF('Model inputs'!B1379="",0,1)),IF(IF('Model inputs'!B1380="",0,1)="",0,IF('Model inputs'!B1380="",0,1)),IF(IF('Model inputs'!B1381="",0,1)="",0,IF('Model inputs'!B1381="",0,1)),IF(IF('Model inputs'!B1382="",0,1)="",0,IF('Model inputs'!B1382="",0,1)),IF(IF('Model inputs'!B1383="",0,1)="",0,IF('Model inputs'!B1383="",0,1)),IF(IF('Model inputs'!B1384="",0,1)="",0,IF('Model inputs'!B1384="",0,1)),IF(IF('Model inputs'!B1385="",0,1)="",0,IF('Model inputs'!B1385="",0,1)),IF(IF('Model inputs'!B1386="",0,1)="",0,IF('Model inputs'!B1386="",0,1)),IF(IF('Model inputs'!B1387="",0,1)="",0,IF('Model inputs'!B1387="",0,1)),IF(IF('Model inputs'!B1388="",0,1)="",0,IF('Model inputs'!B1388="",0,1)),IF(IF('Model inputs'!B1389="",0,1)="",0,IF('Model inputs'!B1389="",0,1)),IF(IF('Model inputs'!B1390="",0,1)="",0,IF('Model inputs'!B1390="",0,1)),IF(IF('Model inputs'!B1391="",0,1)="",0,IF('Model inputs'!B1391="",0,1)),IF(IF('Model inputs'!B1392="",0,1)="",0,IF('Model inputs'!B1392="",0,1)),IF(IF('Model inputs'!B1393="",0,1)="",0,IF('Model inputs'!B1393="",0,1)),IF(IF('Model inputs'!B1394="",0,1)="",0,IF('Model inputs'!B1394="",0,1)),IF(IF('Model inputs'!B1395="",0,1)="",0,IF('Model inputs'!B1395="",0,1)),IF(IF('Model inputs'!B1396="",0,1)="",0,IF('Model inputs'!B1396="",0,1)),IF(IF('Model inputs'!B1397="",0,1)="",0,IF('Model inputs'!B1397="",0,1)),IF(IF('Model inputs'!B1398="",0,1)="",0,IF('Model inputs'!B1398="",0,1)),IF(IF('Model inputs'!B1399="",0,1)="",0,IF('Model inputs'!B1399="",0,1)),IF(IF('Model inputs'!B1400="",0,1)="",0,IF('Model inputs'!B1400="",0,1)),IF(IF('Model inputs'!B1401="",0,1)="",0,IF('Model inputs'!B1401="",0,1)))</f>
      </c>
    </row>
    <row r="1403">
      <c r="A1403" t="inlineStr" s="25">
        <is>
          <t xml:space="preserve">Calculation</t>
        </is>
      </c>
      <c r="B1403">
        <f>IF(IF(DATE(2026,10,1)=EDATE(DATE(2028,2,1),-'Model inputs'!AM13*1)="",FALSE,DATE(2026,10,1)=EDATE(DATE(2028,2,1),-'Model inputs'!AM13*1)),IF('POA — Monthly financial forecas'!B27="","",'POA — Monthly financial forecas'!B27),"")</f>
      </c>
    </row>
    <row r="1404">
      <c r="A1404" t="inlineStr" s="25">
        <is>
          <t xml:space="preserve">Calculation</t>
        </is>
      </c>
      <c r="B1404">
        <f>IF(IF(DATE(2026,11,1)=EDATE(DATE(2028,2,1),-'Model inputs'!AM13*1)="",FALSE,DATE(2026,11,1)=EDATE(DATE(2028,2,1),-'Model inputs'!AM13*1)),IF('POA — Monthly financial forecas'!C27="","",'POA — Monthly financial forecas'!C27),"")</f>
      </c>
    </row>
    <row r="1405">
      <c r="A1405" t="inlineStr" s="25">
        <is>
          <t xml:space="preserve">Calculation</t>
        </is>
      </c>
      <c r="B1405">
        <f>IF(IF(DATE(2026,12,1)=EDATE(DATE(2028,2,1),-'Model inputs'!AM13*1)="",FALSE,DATE(2026,12,1)=EDATE(DATE(2028,2,1),-'Model inputs'!AM13*1)),IF('POA — Monthly financial forecas'!D27="","",'POA — Monthly financial forecas'!D27),"")</f>
      </c>
    </row>
    <row r="1406">
      <c r="A1406" t="inlineStr" s="25">
        <is>
          <t xml:space="preserve">Calculation</t>
        </is>
      </c>
      <c r="B1406">
        <f>IF(IF(DATE(2027,1,1)=EDATE(DATE(2028,2,1),-'Model inputs'!AM13*1)="",FALSE,DATE(2027,1,1)=EDATE(DATE(2028,2,1),-'Model inputs'!AM13*1)),IF('POA — Monthly financial forecas'!E27="","",'POA — Monthly financial forecas'!E27),"")</f>
      </c>
    </row>
    <row r="1407">
      <c r="A1407" t="inlineStr" s="25">
        <is>
          <t xml:space="preserve">Calculation</t>
        </is>
      </c>
      <c r="B1407">
        <f>IF(IF(DATE(2027,2,1)=EDATE(DATE(2028,2,1),-'Model inputs'!AM13*1)="",FALSE,DATE(2027,2,1)=EDATE(DATE(2028,2,1),-'Model inputs'!AM13*1)),IF('POA — Monthly financial forecas'!F27="","",'POA — Monthly financial forecas'!F27),"")</f>
      </c>
    </row>
    <row r="1408">
      <c r="A1408" t="inlineStr" s="25">
        <is>
          <t xml:space="preserve">Calculation</t>
        </is>
      </c>
      <c r="B1408">
        <f>IF(IF(DATE(2027,3,1)=EDATE(DATE(2028,2,1),-'Model inputs'!AM13*1)="",FALSE,DATE(2027,3,1)=EDATE(DATE(2028,2,1),-'Model inputs'!AM13*1)),IF('POA — Monthly financial forecas'!G27="","",'POA — Monthly financial forecas'!G27),"")</f>
      </c>
    </row>
    <row r="1409">
      <c r="A1409" t="inlineStr" s="25">
        <is>
          <t xml:space="preserve">Calculation</t>
        </is>
      </c>
      <c r="B1409">
        <f>IF(IF(DATE(2027,4,1)=EDATE(DATE(2028,2,1),-'Model inputs'!AM13*1)="",FALSE,DATE(2027,4,1)=EDATE(DATE(2028,2,1),-'Model inputs'!AM13*1)),IF('POA — Monthly financial forecas'!H27="","",'POA — Monthly financial forecas'!H27),"")</f>
      </c>
    </row>
    <row r="1410">
      <c r="A1410" t="inlineStr" s="25">
        <is>
          <t xml:space="preserve">Calculation</t>
        </is>
      </c>
      <c r="B1410">
        <f>IF(IF(DATE(2027,5,1)=EDATE(DATE(2028,2,1),-'Model inputs'!AM13*1)="",FALSE,DATE(2027,5,1)=EDATE(DATE(2028,2,1),-'Model inputs'!AM13*1)),IF('POA — Monthly financial forecas'!I27="","",'POA — Monthly financial forecas'!I27),"")</f>
      </c>
    </row>
    <row r="1411">
      <c r="A1411" t="inlineStr" s="25">
        <is>
          <t xml:space="preserve">Calculation</t>
        </is>
      </c>
      <c r="B1411">
        <f>IF(IF(DATE(2027,6,1)=EDATE(DATE(2028,2,1),-'Model inputs'!AM13*1)="",FALSE,DATE(2027,6,1)=EDATE(DATE(2028,2,1),-'Model inputs'!AM13*1)),IF('POA — Monthly financial forecas'!J27="","",'POA — Monthly financial forecas'!J27),"")</f>
      </c>
    </row>
    <row r="1412">
      <c r="A1412" t="inlineStr" s="25">
        <is>
          <t xml:space="preserve">Calculation</t>
        </is>
      </c>
      <c r="B1412">
        <f>IF(IF(DATE(2027,7,1)=EDATE(DATE(2028,2,1),-'Model inputs'!AM13*1)="",FALSE,DATE(2027,7,1)=EDATE(DATE(2028,2,1),-'Model inputs'!AM13*1)),IF('POA — Monthly financial forecas'!K27="","",'POA — Monthly financial forecas'!K27),"")</f>
      </c>
    </row>
    <row r="1413">
      <c r="A1413" t="inlineStr" s="25">
        <is>
          <t xml:space="preserve">Calculation</t>
        </is>
      </c>
      <c r="B1413">
        <f>IF(IF(DATE(2027,8,1)=EDATE(DATE(2028,2,1),-'Model inputs'!AM13*1)="",FALSE,DATE(2027,8,1)=EDATE(DATE(2028,2,1),-'Model inputs'!AM13*1)),IF('POA — Monthly financial forecas'!L27="","",'POA — Monthly financial forecas'!L27),"")</f>
      </c>
    </row>
    <row r="1414">
      <c r="A1414" t="inlineStr" s="25">
        <is>
          <t xml:space="preserve">Calculation</t>
        </is>
      </c>
      <c r="B1414">
        <f>IF(IF(DATE(2027,9,1)=EDATE(DATE(2028,2,1),-'Model inputs'!AM13*1)="",FALSE,DATE(2027,9,1)=EDATE(DATE(2028,2,1),-'Model inputs'!AM13*1)),IF('POA — Monthly financial forecas'!M27="","",'POA — Monthly financial forecas'!M27),"")</f>
      </c>
    </row>
    <row r="1415">
      <c r="A1415" t="inlineStr" s="25">
        <is>
          <t xml:space="preserve">Calculation</t>
        </is>
      </c>
      <c r="B1415">
        <f>IF(IF(DATE(2027,10,1)=EDATE(DATE(2028,2,1),-'Model inputs'!AM13*1)="",FALSE,DATE(2027,10,1)=EDATE(DATE(2028,2,1),-'Model inputs'!AM13*1)),IF('POA — Monthly financial forecas'!N27="","",'POA — Monthly financial forecas'!N27),"")</f>
      </c>
    </row>
    <row r="1416">
      <c r="A1416" t="inlineStr" s="25">
        <is>
          <t xml:space="preserve">Calculation</t>
        </is>
      </c>
      <c r="B1416">
        <f>IF(IF(DATE(2027,11,1)=EDATE(DATE(2028,2,1),-'Model inputs'!AM13*1)="",FALSE,DATE(2027,11,1)=EDATE(DATE(2028,2,1),-'Model inputs'!AM13*1)),IF('POA — Monthly financial forecas'!O27="","",'POA — Monthly financial forecas'!O27),"")</f>
      </c>
    </row>
    <row r="1417">
      <c r="A1417" t="inlineStr" s="25">
        <is>
          <t xml:space="preserve">Calculation</t>
        </is>
      </c>
      <c r="B1417">
        <f>IF(IF(DATE(2027,12,1)=EDATE(DATE(2028,2,1),-'Model inputs'!AM13*1)="",FALSE,DATE(2027,12,1)=EDATE(DATE(2028,2,1),-'Model inputs'!AM13*1)),IF('POA — Monthly financial forecas'!P27="","",'POA — Monthly financial forecas'!P27),"")</f>
      </c>
    </row>
    <row r="1418">
      <c r="A1418" t="inlineStr" s="25">
        <is>
          <t xml:space="preserve">Calculation</t>
        </is>
      </c>
      <c r="B1418">
        <f>IF(IF(DATE(2028,1,1)=EDATE(DATE(2028,2,1),-'Model inputs'!AM13*1)="",FALSE,DATE(2028,1,1)=EDATE(DATE(2028,2,1),-'Model inputs'!AM13*1)),IF('POA — Monthly financial forecas'!Q27="","",'POA — Monthly financial forecas'!Q27),"")</f>
      </c>
    </row>
    <row r="1419">
      <c r="A1419" t="inlineStr" s="25">
        <is>
          <t xml:space="preserve">Calculation</t>
        </is>
      </c>
      <c r="B1419">
        <f>IF(IF(DATE(2028,2,1)=EDATE(DATE(2028,2,1),-'Model inputs'!AM13*1)="",FALSE,DATE(2028,2,1)=EDATE(DATE(2028,2,1),-'Model inputs'!AM13*1)),IF('POA — Monthly financial forecas'!R27="","",'POA — Monthly financial forecas'!R27),"")</f>
      </c>
    </row>
    <row r="1420">
      <c r="A1420" t="inlineStr" s="25">
        <is>
          <t xml:space="preserve">Calculation</t>
        </is>
      </c>
      <c r="B1420">
        <f>IF(IF(DATE(2028,3,1)=EDATE(DATE(2028,2,1),-'Model inputs'!AM13*1)="",FALSE,DATE(2028,3,1)=EDATE(DATE(2028,2,1),-'Model inputs'!AM13*1)),IF('POA — Monthly financial forecas'!S27="","",'POA — Monthly financial forecas'!S27),"")</f>
      </c>
    </row>
    <row r="1421">
      <c r="A1421" t="inlineStr" s="25">
        <is>
          <t xml:space="preserve">Calculation</t>
        </is>
      </c>
      <c r="B1421">
        <f>IF(IF(DATE(2028,4,1)=EDATE(DATE(2028,2,1),-'Model inputs'!AM13*1)="",FALSE,DATE(2028,4,1)=EDATE(DATE(2028,2,1),-'Model inputs'!AM13*1)),IF('POA — Monthly financial forecas'!T27="","",'POA — Monthly financial forecas'!T27),"")</f>
      </c>
    </row>
    <row r="1422">
      <c r="A1422" t="inlineStr" s="25">
        <is>
          <t xml:space="preserve">Calculation</t>
        </is>
      </c>
      <c r="B1422">
        <f>IF(IF(DATE(2028,5,1)=EDATE(DATE(2028,2,1),-'Model inputs'!AM13*1)="",FALSE,DATE(2028,5,1)=EDATE(DATE(2028,2,1),-'Model inputs'!AM13*1)),IF('POA — Monthly financial forecas'!U27="","",'POA — Monthly financial forecas'!U27),"")</f>
      </c>
    </row>
    <row r="1423">
      <c r="A1423" t="inlineStr" s="25">
        <is>
          <t xml:space="preserve">Calculation</t>
        </is>
      </c>
      <c r="B1423">
        <f>IF(IF(DATE(2028,6,1)=EDATE(DATE(2028,2,1),-'Model inputs'!AM13*1)="",FALSE,DATE(2028,6,1)=EDATE(DATE(2028,2,1),-'Model inputs'!AM13*1)),IF('POA — Monthly financial forecas'!V27="","",'POA — Monthly financial forecas'!V27),"")</f>
      </c>
    </row>
    <row r="1424">
      <c r="A1424" t="inlineStr" s="25">
        <is>
          <t xml:space="preserve">Calculation</t>
        </is>
      </c>
      <c r="B1424">
        <f>IF(IF(DATE(2028,7,1)=EDATE(DATE(2028,2,1),-'Model inputs'!AM13*1)="",FALSE,DATE(2028,7,1)=EDATE(DATE(2028,2,1),-'Model inputs'!AM13*1)),IF('POA — Monthly financial forecas'!W27="","",'POA — Monthly financial forecas'!W27),"")</f>
      </c>
    </row>
    <row r="1425">
      <c r="A1425" t="inlineStr" s="25">
        <is>
          <t xml:space="preserve">Calculation</t>
        </is>
      </c>
      <c r="B1425">
        <f>IF(IF(DATE(2028,8,1)=EDATE(DATE(2028,2,1),-'Model inputs'!AM13*1)="",FALSE,DATE(2028,8,1)=EDATE(DATE(2028,2,1),-'Model inputs'!AM13*1)),IF('POA — Monthly financial forecas'!X27="","",'POA — Monthly financial forecas'!X27),"")</f>
      </c>
    </row>
    <row r="1426">
      <c r="A1426" t="inlineStr" s="25">
        <is>
          <t xml:space="preserve">Calculation</t>
        </is>
      </c>
      <c r="B1426">
        <f>IF(IF(DATE(2028,9,1)=EDATE(DATE(2028,2,1),-'Model inputs'!AM13*1)="",FALSE,DATE(2028,9,1)=EDATE(DATE(2028,2,1),-'Model inputs'!AM13*1)),IF('POA — Monthly financial forecas'!Y27="","",'POA — Monthly financial forecas'!Y27),"")</f>
      </c>
    </row>
    <row r="1427">
      <c r="A1427" t="inlineStr" s="25">
        <is>
          <t xml:space="preserve">Calculation</t>
        </is>
      </c>
      <c r="B1427">
        <f>IF(IF(DATE(2028,10,1)=EDATE(DATE(2028,2,1),-'Model inputs'!AM13*1)="",FALSE,DATE(2028,10,1)=EDATE(DATE(2028,2,1),-'Model inputs'!AM13*1)),IF('POA — Monthly financial forecas'!Z27="","",'POA — Monthly financial forecas'!Z27),"")</f>
      </c>
    </row>
    <row r="1428">
      <c r="A1428" t="inlineStr" s="25">
        <is>
          <t xml:space="preserve">Calculation</t>
        </is>
      </c>
      <c r="B1428">
        <f>IF(IF(DATE(2028,11,1)=EDATE(DATE(2028,2,1),-'Model inputs'!AM13*1)="",FALSE,DATE(2028,11,1)=EDATE(DATE(2028,2,1),-'Model inputs'!AM13*1)),IF('POA — Monthly financial forecas'!AA27="","",'POA — Monthly financial forecas'!AA27),"")</f>
      </c>
    </row>
    <row r="1429">
      <c r="A1429" t="inlineStr" s="25">
        <is>
          <t xml:space="preserve">Calculation</t>
        </is>
      </c>
      <c r="B1429">
        <f>IF(IF(DATE(2028,12,1)=EDATE(DATE(2028,2,1),-'Model inputs'!AM13*1)="",FALSE,DATE(2028,12,1)=EDATE(DATE(2028,2,1),-'Model inputs'!AM13*1)),IF('POA — Monthly financial forecas'!AB27="","",'POA — Monthly financial forecas'!AB27),"")</f>
      </c>
    </row>
    <row r="1430">
      <c r="A1430" t="inlineStr" s="25">
        <is>
          <t xml:space="preserve">Calculation</t>
        </is>
      </c>
      <c r="B1430">
        <f>IF(IF(DATE(2029,1,1)=EDATE(DATE(2028,2,1),-'Model inputs'!AM13*1)="",FALSE,DATE(2029,1,1)=EDATE(DATE(2028,2,1),-'Model inputs'!AM13*1)),IF('POA — Monthly financial forecas'!AC27="","",'POA — Monthly financial forecas'!AC27),"")</f>
      </c>
    </row>
    <row r="1431">
      <c r="A1431" t="inlineStr" s="25">
        <is>
          <t xml:space="preserve">Calculation</t>
        </is>
      </c>
      <c r="B1431">
        <f>IF(IF(DATE(2029,2,1)=EDATE(DATE(2028,2,1),-'Model inputs'!AM13*1)="",FALSE,DATE(2029,2,1)=EDATE(DATE(2028,2,1),-'Model inputs'!AM13*1)),IF('POA — Monthly financial forecas'!AD27="","",'POA — Monthly financial forecas'!AD27),"")</f>
      </c>
    </row>
    <row r="1432">
      <c r="A1432" t="inlineStr" s="25">
        <is>
          <t xml:space="preserve">Calculation</t>
        </is>
      </c>
      <c r="B1432">
        <f>IF(IF(DATE(2029,3,1)=EDATE(DATE(2028,2,1),-'Model inputs'!AM13*1)="",FALSE,DATE(2029,3,1)=EDATE(DATE(2028,2,1),-'Model inputs'!AM13*1)),IF('POA — Monthly financial forecas'!AE27="","",'POA — Monthly financial forecas'!AE27),"")</f>
      </c>
    </row>
    <row r="1433">
      <c r="A1433" t="inlineStr" s="25">
        <is>
          <t xml:space="preserve">Calculation</t>
        </is>
      </c>
      <c r="B1433">
        <f>IF(IF(DATE(2029,4,1)=EDATE(DATE(2028,2,1),-'Model inputs'!AM13*1)="",FALSE,DATE(2029,4,1)=EDATE(DATE(2028,2,1),-'Model inputs'!AM13*1)),IF('POA — Monthly financial forecas'!AF27="","",'POA — Monthly financial forecas'!AF27),"")</f>
      </c>
    </row>
    <row r="1434">
      <c r="A1434" t="inlineStr" s="25">
        <is>
          <t xml:space="preserve">Calculation</t>
        </is>
      </c>
      <c r="B1434">
        <f>IF(IF(DATE(2029,5,1)=EDATE(DATE(2028,2,1),-'Model inputs'!AM13*1)="",FALSE,DATE(2029,5,1)=EDATE(DATE(2028,2,1),-'Model inputs'!AM13*1)),IF('POA — Monthly financial forecas'!AG27="","",'POA — Monthly financial forecas'!AG27),"")</f>
      </c>
    </row>
    <row r="1435">
      <c r="A1435" t="inlineStr" s="25">
        <is>
          <t xml:space="preserve">Calculation</t>
        </is>
      </c>
      <c r="B1435">
        <f>IF(IF(DATE(2029,6,1)=EDATE(DATE(2028,2,1),-'Model inputs'!AM13*1)="",FALSE,DATE(2029,6,1)=EDATE(DATE(2028,2,1),-'Model inputs'!AM13*1)),IF('POA — Monthly financial forecas'!AH27="","",'POA — Monthly financial forecas'!AH27),"")</f>
      </c>
    </row>
    <row r="1436">
      <c r="A1436" t="inlineStr" s="25">
        <is>
          <t xml:space="preserve">Calculation</t>
        </is>
      </c>
      <c r="B1436">
        <f>IF(IF(DATE(2029,7,1)=EDATE(DATE(2028,2,1),-'Model inputs'!AM13*1)="",FALSE,DATE(2029,7,1)=EDATE(DATE(2028,2,1),-'Model inputs'!AM13*1)),IF('POA — Monthly financial forecas'!AI27="","",'POA — Monthly financial forecas'!AI27),"")</f>
      </c>
    </row>
    <row r="1437">
      <c r="A1437" t="inlineStr" s="25">
        <is>
          <t xml:space="preserve">Calculation</t>
        </is>
      </c>
      <c r="B1437">
        <f>IF(IF(DATE(2029,8,1)=EDATE(DATE(2028,2,1),-'Model inputs'!AM13*1)="",FALSE,DATE(2029,8,1)=EDATE(DATE(2028,2,1),-'Model inputs'!AM13*1)),IF('POA — Monthly financial forecas'!AJ27="","",'POA — Monthly financial forecas'!AJ27),"")</f>
      </c>
    </row>
    <row r="1438">
      <c r="A1438" t="inlineStr" s="25">
        <is>
          <t xml:space="preserve">Calculation</t>
        </is>
      </c>
      <c r="B1438">
        <f>IF(IF(DATE(2029,9,1)=EDATE(DATE(2028,2,1),-'Model inputs'!AM13*1)="",FALSE,DATE(2029,9,1)=EDATE(DATE(2028,2,1),-'Model inputs'!AM13*1)),IF('POA — Monthly financial forecas'!AK27="","",'POA — Monthly financial forecas'!AK27),"")</f>
      </c>
    </row>
    <row r="1439">
      <c r="A1439" t="inlineStr" s="25">
        <is>
          <t xml:space="preserve">Calculation</t>
        </is>
      </c>
      <c r="B1439">
        <f>IF(IF(DATE(2026,9,1)=EDATE(DATE(2028,2,1),-'Model inputs'!AM13*1)="",FALSE,DATE(2026,9,1)=EDATE(DATE(2028,2,1),-'Model inputs'!AM13*1)),IF('Model inputs'!B85="","",'Model inputs'!B85),"")</f>
      </c>
    </row>
    <row r="1440">
      <c r="A1440" t="inlineStr" s="25">
        <is>
          <t xml:space="preserve">Calculation</t>
        </is>
      </c>
      <c r="B1440">
        <f>SUM(IF(IF('Model inputs'!B1403="",0,1)="",0,IF('Model inputs'!B1403="",0,1)),IF(IF('Model inputs'!B1404="",0,1)="",0,IF('Model inputs'!B1404="",0,1)),IF(IF('Model inputs'!B1405="",0,1)="",0,IF('Model inputs'!B1405="",0,1)),IF(IF('Model inputs'!B1406="",0,1)="",0,IF('Model inputs'!B1406="",0,1)),IF(IF('Model inputs'!B1407="",0,1)="",0,IF('Model inputs'!B1407="",0,1)),IF(IF('Model inputs'!B1408="",0,1)="",0,IF('Model inputs'!B1408="",0,1)),IF(IF('Model inputs'!B1409="",0,1)="",0,IF('Model inputs'!B1409="",0,1)),IF(IF('Model inputs'!B1410="",0,1)="",0,IF('Model inputs'!B1410="",0,1)),IF(IF('Model inputs'!B1411="",0,1)="",0,IF('Model inputs'!B1411="",0,1)),IF(IF('Model inputs'!B1412="",0,1)="",0,IF('Model inputs'!B1412="",0,1)),IF(IF('Model inputs'!B1413="",0,1)="",0,IF('Model inputs'!B1413="",0,1)),IF(IF('Model inputs'!B1414="",0,1)="",0,IF('Model inputs'!B1414="",0,1)),IF(IF('Model inputs'!B1415="",0,1)="",0,IF('Model inputs'!B1415="",0,1)),IF(IF('Model inputs'!B1416="",0,1)="",0,IF('Model inputs'!B1416="",0,1)),IF(IF('Model inputs'!B1417="",0,1)="",0,IF('Model inputs'!B1417="",0,1)),IF(IF('Model inputs'!B1418="",0,1)="",0,IF('Model inputs'!B1418="",0,1)),IF(IF('Model inputs'!B1419="",0,1)="",0,IF('Model inputs'!B1419="",0,1)),IF(IF('Model inputs'!B1420="",0,1)="",0,IF('Model inputs'!B1420="",0,1)),IF(IF('Model inputs'!B1421="",0,1)="",0,IF('Model inputs'!B1421="",0,1)),IF(IF('Model inputs'!B1422="",0,1)="",0,IF('Model inputs'!B1422="",0,1)),IF(IF('Model inputs'!B1423="",0,1)="",0,IF('Model inputs'!B1423="",0,1)),IF(IF('Model inputs'!B1424="",0,1)="",0,IF('Model inputs'!B1424="",0,1)),IF(IF('Model inputs'!B1425="",0,1)="",0,IF('Model inputs'!B1425="",0,1)),IF(IF('Model inputs'!B1426="",0,1)="",0,IF('Model inputs'!B1426="",0,1)),IF(IF('Model inputs'!B1427="",0,1)="",0,IF('Model inputs'!B1427="",0,1)),IF(IF('Model inputs'!B1428="",0,1)="",0,IF('Model inputs'!B1428="",0,1)),IF(IF('Model inputs'!B1429="",0,1)="",0,IF('Model inputs'!B1429="",0,1)),IF(IF('Model inputs'!B1430="",0,1)="",0,IF('Model inputs'!B1430="",0,1)),IF(IF('Model inputs'!B1431="",0,1)="",0,IF('Model inputs'!B1431="",0,1)),IF(IF('Model inputs'!B1432="",0,1)="",0,IF('Model inputs'!B1432="",0,1)),IF(IF('Model inputs'!B1433="",0,1)="",0,IF('Model inputs'!B1433="",0,1)),IF(IF('Model inputs'!B1434="",0,1)="",0,IF('Model inputs'!B1434="",0,1)),IF(IF('Model inputs'!B1435="",0,1)="",0,IF('Model inputs'!B1435="",0,1)),IF(IF('Model inputs'!B1436="",0,1)="",0,IF('Model inputs'!B1436="",0,1)),IF(IF('Model inputs'!B1437="",0,1)="",0,IF('Model inputs'!B1437="",0,1)),IF(IF('Model inputs'!B1438="",0,1)="",0,IF('Model inputs'!B1438="",0,1)),IF(IF('Model inputs'!B1439="",0,1)="",0,IF('Model inputs'!B1439="",0,1)))</f>
      </c>
    </row>
    <row r="1441">
      <c r="A1441" t="inlineStr" s="25">
        <is>
          <t xml:space="preserve">Calculation</t>
        </is>
      </c>
      <c r="B1441">
        <f>IF(IF(DATE(2026,10,1)=EDATE(DATE(2028,3,1),-'Model inputs'!AM13*1)="",FALSE,DATE(2026,10,1)=EDATE(DATE(2028,3,1),-'Model inputs'!AM13*1)),IF('POA — Monthly financial forecas'!B27="","",'POA — Monthly financial forecas'!B27),"")</f>
      </c>
    </row>
    <row r="1442">
      <c r="A1442" t="inlineStr" s="25">
        <is>
          <t xml:space="preserve">Calculation</t>
        </is>
      </c>
      <c r="B1442">
        <f>IF(IF(DATE(2026,11,1)=EDATE(DATE(2028,3,1),-'Model inputs'!AM13*1)="",FALSE,DATE(2026,11,1)=EDATE(DATE(2028,3,1),-'Model inputs'!AM13*1)),IF('POA — Monthly financial forecas'!C27="","",'POA — Monthly financial forecas'!C27),"")</f>
      </c>
    </row>
    <row r="1443">
      <c r="A1443" t="inlineStr" s="25">
        <is>
          <t xml:space="preserve">Calculation</t>
        </is>
      </c>
      <c r="B1443">
        <f>IF(IF(DATE(2026,12,1)=EDATE(DATE(2028,3,1),-'Model inputs'!AM13*1)="",FALSE,DATE(2026,12,1)=EDATE(DATE(2028,3,1),-'Model inputs'!AM13*1)),IF('POA — Monthly financial forecas'!D27="","",'POA — Monthly financial forecas'!D27),"")</f>
      </c>
    </row>
    <row r="1444">
      <c r="A1444" t="inlineStr" s="25">
        <is>
          <t xml:space="preserve">Calculation</t>
        </is>
      </c>
      <c r="B1444">
        <f>IF(IF(DATE(2027,1,1)=EDATE(DATE(2028,3,1),-'Model inputs'!AM13*1)="",FALSE,DATE(2027,1,1)=EDATE(DATE(2028,3,1),-'Model inputs'!AM13*1)),IF('POA — Monthly financial forecas'!E27="","",'POA — Monthly financial forecas'!E27),"")</f>
      </c>
    </row>
    <row r="1445">
      <c r="A1445" t="inlineStr" s="25">
        <is>
          <t xml:space="preserve">Calculation</t>
        </is>
      </c>
      <c r="B1445">
        <f>IF(IF(DATE(2027,2,1)=EDATE(DATE(2028,3,1),-'Model inputs'!AM13*1)="",FALSE,DATE(2027,2,1)=EDATE(DATE(2028,3,1),-'Model inputs'!AM13*1)),IF('POA — Monthly financial forecas'!F27="","",'POA — Monthly financial forecas'!F27),"")</f>
      </c>
    </row>
    <row r="1446">
      <c r="A1446" t="inlineStr" s="25">
        <is>
          <t xml:space="preserve">Calculation</t>
        </is>
      </c>
      <c r="B1446">
        <f>IF(IF(DATE(2027,3,1)=EDATE(DATE(2028,3,1),-'Model inputs'!AM13*1)="",FALSE,DATE(2027,3,1)=EDATE(DATE(2028,3,1),-'Model inputs'!AM13*1)),IF('POA — Monthly financial forecas'!G27="","",'POA — Monthly financial forecas'!G27),"")</f>
      </c>
    </row>
    <row r="1447">
      <c r="A1447" t="inlineStr" s="25">
        <is>
          <t xml:space="preserve">Calculation</t>
        </is>
      </c>
      <c r="B1447">
        <f>IF(IF(DATE(2027,4,1)=EDATE(DATE(2028,3,1),-'Model inputs'!AM13*1)="",FALSE,DATE(2027,4,1)=EDATE(DATE(2028,3,1),-'Model inputs'!AM13*1)),IF('POA — Monthly financial forecas'!H27="","",'POA — Monthly financial forecas'!H27),"")</f>
      </c>
    </row>
    <row r="1448">
      <c r="A1448" t="inlineStr" s="25">
        <is>
          <t xml:space="preserve">Calculation</t>
        </is>
      </c>
      <c r="B1448">
        <f>IF(IF(DATE(2027,5,1)=EDATE(DATE(2028,3,1),-'Model inputs'!AM13*1)="",FALSE,DATE(2027,5,1)=EDATE(DATE(2028,3,1),-'Model inputs'!AM13*1)),IF('POA — Monthly financial forecas'!I27="","",'POA — Monthly financial forecas'!I27),"")</f>
      </c>
    </row>
    <row r="1449">
      <c r="A1449" t="inlineStr" s="25">
        <is>
          <t xml:space="preserve">Calculation</t>
        </is>
      </c>
      <c r="B1449">
        <f>IF(IF(DATE(2027,6,1)=EDATE(DATE(2028,3,1),-'Model inputs'!AM13*1)="",FALSE,DATE(2027,6,1)=EDATE(DATE(2028,3,1),-'Model inputs'!AM13*1)),IF('POA — Monthly financial forecas'!J27="","",'POA — Monthly financial forecas'!J27),"")</f>
      </c>
    </row>
    <row r="1450">
      <c r="A1450" t="inlineStr" s="25">
        <is>
          <t xml:space="preserve">Calculation</t>
        </is>
      </c>
      <c r="B1450">
        <f>IF(IF(DATE(2027,7,1)=EDATE(DATE(2028,3,1),-'Model inputs'!AM13*1)="",FALSE,DATE(2027,7,1)=EDATE(DATE(2028,3,1),-'Model inputs'!AM13*1)),IF('POA — Monthly financial forecas'!K27="","",'POA — Monthly financial forecas'!K27),"")</f>
      </c>
    </row>
    <row r="1451">
      <c r="A1451" t="inlineStr" s="25">
        <is>
          <t xml:space="preserve">Calculation</t>
        </is>
      </c>
      <c r="B1451">
        <f>IF(IF(DATE(2027,8,1)=EDATE(DATE(2028,3,1),-'Model inputs'!AM13*1)="",FALSE,DATE(2027,8,1)=EDATE(DATE(2028,3,1),-'Model inputs'!AM13*1)),IF('POA — Monthly financial forecas'!L27="","",'POA — Monthly financial forecas'!L27),"")</f>
      </c>
    </row>
    <row r="1452">
      <c r="A1452" t="inlineStr" s="25">
        <is>
          <t xml:space="preserve">Calculation</t>
        </is>
      </c>
      <c r="B1452">
        <f>IF(IF(DATE(2027,9,1)=EDATE(DATE(2028,3,1),-'Model inputs'!AM13*1)="",FALSE,DATE(2027,9,1)=EDATE(DATE(2028,3,1),-'Model inputs'!AM13*1)),IF('POA — Monthly financial forecas'!M27="","",'POA — Monthly financial forecas'!M27),"")</f>
      </c>
    </row>
    <row r="1453">
      <c r="A1453" t="inlineStr" s="25">
        <is>
          <t xml:space="preserve">Calculation</t>
        </is>
      </c>
      <c r="B1453">
        <f>IF(IF(DATE(2027,10,1)=EDATE(DATE(2028,3,1),-'Model inputs'!AM13*1)="",FALSE,DATE(2027,10,1)=EDATE(DATE(2028,3,1),-'Model inputs'!AM13*1)),IF('POA — Monthly financial forecas'!N27="","",'POA — Monthly financial forecas'!N27),"")</f>
      </c>
    </row>
    <row r="1454">
      <c r="A1454" t="inlineStr" s="25">
        <is>
          <t xml:space="preserve">Calculation</t>
        </is>
      </c>
      <c r="B1454">
        <f>IF(IF(DATE(2027,11,1)=EDATE(DATE(2028,3,1),-'Model inputs'!AM13*1)="",FALSE,DATE(2027,11,1)=EDATE(DATE(2028,3,1),-'Model inputs'!AM13*1)),IF('POA — Monthly financial forecas'!O27="","",'POA — Monthly financial forecas'!O27),"")</f>
      </c>
    </row>
    <row r="1455">
      <c r="A1455" t="inlineStr" s="25">
        <is>
          <t xml:space="preserve">Calculation</t>
        </is>
      </c>
      <c r="B1455">
        <f>IF(IF(DATE(2027,12,1)=EDATE(DATE(2028,3,1),-'Model inputs'!AM13*1)="",FALSE,DATE(2027,12,1)=EDATE(DATE(2028,3,1),-'Model inputs'!AM13*1)),IF('POA — Monthly financial forecas'!P27="","",'POA — Monthly financial forecas'!P27),"")</f>
      </c>
    </row>
    <row r="1456">
      <c r="A1456" t="inlineStr" s="25">
        <is>
          <t xml:space="preserve">Calculation</t>
        </is>
      </c>
      <c r="B1456">
        <f>IF(IF(DATE(2028,1,1)=EDATE(DATE(2028,3,1),-'Model inputs'!AM13*1)="",FALSE,DATE(2028,1,1)=EDATE(DATE(2028,3,1),-'Model inputs'!AM13*1)),IF('POA — Monthly financial forecas'!Q27="","",'POA — Monthly financial forecas'!Q27),"")</f>
      </c>
    </row>
    <row r="1457">
      <c r="A1457" t="inlineStr" s="25">
        <is>
          <t xml:space="preserve">Calculation</t>
        </is>
      </c>
      <c r="B1457">
        <f>IF(IF(DATE(2028,2,1)=EDATE(DATE(2028,3,1),-'Model inputs'!AM13*1)="",FALSE,DATE(2028,2,1)=EDATE(DATE(2028,3,1),-'Model inputs'!AM13*1)),IF('POA — Monthly financial forecas'!R27="","",'POA — Monthly financial forecas'!R27),"")</f>
      </c>
    </row>
    <row r="1458">
      <c r="A1458" t="inlineStr" s="25">
        <is>
          <t xml:space="preserve">Calculation</t>
        </is>
      </c>
      <c r="B1458">
        <f>IF(IF(DATE(2028,3,1)=EDATE(DATE(2028,3,1),-'Model inputs'!AM13*1)="",FALSE,DATE(2028,3,1)=EDATE(DATE(2028,3,1),-'Model inputs'!AM13*1)),IF('POA — Monthly financial forecas'!S27="","",'POA — Monthly financial forecas'!S27),"")</f>
      </c>
    </row>
    <row r="1459">
      <c r="A1459" t="inlineStr" s="25">
        <is>
          <t xml:space="preserve">Calculation</t>
        </is>
      </c>
      <c r="B1459">
        <f>IF(IF(DATE(2028,4,1)=EDATE(DATE(2028,3,1),-'Model inputs'!AM13*1)="",FALSE,DATE(2028,4,1)=EDATE(DATE(2028,3,1),-'Model inputs'!AM13*1)),IF('POA — Monthly financial forecas'!T27="","",'POA — Monthly financial forecas'!T27),"")</f>
      </c>
    </row>
    <row r="1460">
      <c r="A1460" t="inlineStr" s="25">
        <is>
          <t xml:space="preserve">Calculation</t>
        </is>
      </c>
      <c r="B1460">
        <f>IF(IF(DATE(2028,5,1)=EDATE(DATE(2028,3,1),-'Model inputs'!AM13*1)="",FALSE,DATE(2028,5,1)=EDATE(DATE(2028,3,1),-'Model inputs'!AM13*1)),IF('POA — Monthly financial forecas'!U27="","",'POA — Monthly financial forecas'!U27),"")</f>
      </c>
    </row>
    <row r="1461">
      <c r="A1461" t="inlineStr" s="25">
        <is>
          <t xml:space="preserve">Calculation</t>
        </is>
      </c>
      <c r="B1461">
        <f>IF(IF(DATE(2028,6,1)=EDATE(DATE(2028,3,1),-'Model inputs'!AM13*1)="",FALSE,DATE(2028,6,1)=EDATE(DATE(2028,3,1),-'Model inputs'!AM13*1)),IF('POA — Monthly financial forecas'!V27="","",'POA — Monthly financial forecas'!V27),"")</f>
      </c>
    </row>
    <row r="1462">
      <c r="A1462" t="inlineStr" s="25">
        <is>
          <t xml:space="preserve">Calculation</t>
        </is>
      </c>
      <c r="B1462">
        <f>IF(IF(DATE(2028,7,1)=EDATE(DATE(2028,3,1),-'Model inputs'!AM13*1)="",FALSE,DATE(2028,7,1)=EDATE(DATE(2028,3,1),-'Model inputs'!AM13*1)),IF('POA — Monthly financial forecas'!W27="","",'POA — Monthly financial forecas'!W27),"")</f>
      </c>
    </row>
    <row r="1463">
      <c r="A1463" t="inlineStr" s="25">
        <is>
          <t xml:space="preserve">Calculation</t>
        </is>
      </c>
      <c r="B1463">
        <f>IF(IF(DATE(2028,8,1)=EDATE(DATE(2028,3,1),-'Model inputs'!AM13*1)="",FALSE,DATE(2028,8,1)=EDATE(DATE(2028,3,1),-'Model inputs'!AM13*1)),IF('POA — Monthly financial forecas'!X27="","",'POA — Monthly financial forecas'!X27),"")</f>
      </c>
    </row>
    <row r="1464">
      <c r="A1464" t="inlineStr" s="25">
        <is>
          <t xml:space="preserve">Calculation</t>
        </is>
      </c>
      <c r="B1464">
        <f>IF(IF(DATE(2028,9,1)=EDATE(DATE(2028,3,1),-'Model inputs'!AM13*1)="",FALSE,DATE(2028,9,1)=EDATE(DATE(2028,3,1),-'Model inputs'!AM13*1)),IF('POA — Monthly financial forecas'!Y27="","",'POA — Monthly financial forecas'!Y27),"")</f>
      </c>
    </row>
    <row r="1465">
      <c r="A1465" t="inlineStr" s="25">
        <is>
          <t xml:space="preserve">Calculation</t>
        </is>
      </c>
      <c r="B1465">
        <f>IF(IF(DATE(2028,10,1)=EDATE(DATE(2028,3,1),-'Model inputs'!AM13*1)="",FALSE,DATE(2028,10,1)=EDATE(DATE(2028,3,1),-'Model inputs'!AM13*1)),IF('POA — Monthly financial forecas'!Z27="","",'POA — Monthly financial forecas'!Z27),"")</f>
      </c>
    </row>
    <row r="1466">
      <c r="A1466" t="inlineStr" s="25">
        <is>
          <t xml:space="preserve">Calculation</t>
        </is>
      </c>
      <c r="B1466">
        <f>IF(IF(DATE(2028,11,1)=EDATE(DATE(2028,3,1),-'Model inputs'!AM13*1)="",FALSE,DATE(2028,11,1)=EDATE(DATE(2028,3,1),-'Model inputs'!AM13*1)),IF('POA — Monthly financial forecas'!AA27="","",'POA — Monthly financial forecas'!AA27),"")</f>
      </c>
    </row>
    <row r="1467">
      <c r="A1467" t="inlineStr" s="25">
        <is>
          <t xml:space="preserve">Calculation</t>
        </is>
      </c>
      <c r="B1467">
        <f>IF(IF(DATE(2028,12,1)=EDATE(DATE(2028,3,1),-'Model inputs'!AM13*1)="",FALSE,DATE(2028,12,1)=EDATE(DATE(2028,3,1),-'Model inputs'!AM13*1)),IF('POA — Monthly financial forecas'!AB27="","",'POA — Monthly financial forecas'!AB27),"")</f>
      </c>
    </row>
    <row r="1468">
      <c r="A1468" t="inlineStr" s="25">
        <is>
          <t xml:space="preserve">Calculation</t>
        </is>
      </c>
      <c r="B1468">
        <f>IF(IF(DATE(2029,1,1)=EDATE(DATE(2028,3,1),-'Model inputs'!AM13*1)="",FALSE,DATE(2029,1,1)=EDATE(DATE(2028,3,1),-'Model inputs'!AM13*1)),IF('POA — Monthly financial forecas'!AC27="","",'POA — Monthly financial forecas'!AC27),"")</f>
      </c>
    </row>
    <row r="1469">
      <c r="A1469" t="inlineStr" s="25">
        <is>
          <t xml:space="preserve">Calculation</t>
        </is>
      </c>
      <c r="B1469">
        <f>IF(IF(DATE(2029,2,1)=EDATE(DATE(2028,3,1),-'Model inputs'!AM13*1)="",FALSE,DATE(2029,2,1)=EDATE(DATE(2028,3,1),-'Model inputs'!AM13*1)),IF('POA — Monthly financial forecas'!AD27="","",'POA — Monthly financial forecas'!AD27),"")</f>
      </c>
    </row>
    <row r="1470">
      <c r="A1470" t="inlineStr" s="25">
        <is>
          <t xml:space="preserve">Calculation</t>
        </is>
      </c>
      <c r="B1470">
        <f>IF(IF(DATE(2029,3,1)=EDATE(DATE(2028,3,1),-'Model inputs'!AM13*1)="",FALSE,DATE(2029,3,1)=EDATE(DATE(2028,3,1),-'Model inputs'!AM13*1)),IF('POA — Monthly financial forecas'!AE27="","",'POA — Monthly financial forecas'!AE27),"")</f>
      </c>
    </row>
    <row r="1471">
      <c r="A1471" t="inlineStr" s="25">
        <is>
          <t xml:space="preserve">Calculation</t>
        </is>
      </c>
      <c r="B1471">
        <f>IF(IF(DATE(2029,4,1)=EDATE(DATE(2028,3,1),-'Model inputs'!AM13*1)="",FALSE,DATE(2029,4,1)=EDATE(DATE(2028,3,1),-'Model inputs'!AM13*1)),IF('POA — Monthly financial forecas'!AF27="","",'POA — Monthly financial forecas'!AF27),"")</f>
      </c>
    </row>
    <row r="1472">
      <c r="A1472" t="inlineStr" s="25">
        <is>
          <t xml:space="preserve">Calculation</t>
        </is>
      </c>
      <c r="B1472">
        <f>IF(IF(DATE(2029,5,1)=EDATE(DATE(2028,3,1),-'Model inputs'!AM13*1)="",FALSE,DATE(2029,5,1)=EDATE(DATE(2028,3,1),-'Model inputs'!AM13*1)),IF('POA — Monthly financial forecas'!AG27="","",'POA — Monthly financial forecas'!AG27),"")</f>
      </c>
    </row>
    <row r="1473">
      <c r="A1473" t="inlineStr" s="25">
        <is>
          <t xml:space="preserve">Calculation</t>
        </is>
      </c>
      <c r="B1473">
        <f>IF(IF(DATE(2029,6,1)=EDATE(DATE(2028,3,1),-'Model inputs'!AM13*1)="",FALSE,DATE(2029,6,1)=EDATE(DATE(2028,3,1),-'Model inputs'!AM13*1)),IF('POA — Monthly financial forecas'!AH27="","",'POA — Monthly financial forecas'!AH27),"")</f>
      </c>
    </row>
    <row r="1474">
      <c r="A1474" t="inlineStr" s="25">
        <is>
          <t xml:space="preserve">Calculation</t>
        </is>
      </c>
      <c r="B1474">
        <f>IF(IF(DATE(2029,7,1)=EDATE(DATE(2028,3,1),-'Model inputs'!AM13*1)="",FALSE,DATE(2029,7,1)=EDATE(DATE(2028,3,1),-'Model inputs'!AM13*1)),IF('POA — Monthly financial forecas'!AI27="","",'POA — Monthly financial forecas'!AI27),"")</f>
      </c>
    </row>
    <row r="1475">
      <c r="A1475" t="inlineStr" s="25">
        <is>
          <t xml:space="preserve">Calculation</t>
        </is>
      </c>
      <c r="B1475">
        <f>IF(IF(DATE(2029,8,1)=EDATE(DATE(2028,3,1),-'Model inputs'!AM13*1)="",FALSE,DATE(2029,8,1)=EDATE(DATE(2028,3,1),-'Model inputs'!AM13*1)),IF('POA — Monthly financial forecas'!AJ27="","",'POA — Monthly financial forecas'!AJ27),"")</f>
      </c>
    </row>
    <row r="1476">
      <c r="A1476" t="inlineStr" s="25">
        <is>
          <t xml:space="preserve">Calculation</t>
        </is>
      </c>
      <c r="B1476">
        <f>IF(IF(DATE(2029,9,1)=EDATE(DATE(2028,3,1),-'Model inputs'!AM13*1)="",FALSE,DATE(2029,9,1)=EDATE(DATE(2028,3,1),-'Model inputs'!AM13*1)),IF('POA — Monthly financial forecas'!AK27="","",'POA — Monthly financial forecas'!AK27),"")</f>
      </c>
    </row>
    <row r="1477">
      <c r="A1477" t="inlineStr" s="25">
        <is>
          <t xml:space="preserve">Calculation</t>
        </is>
      </c>
      <c r="B1477">
        <f>IF(IF(DATE(2026,9,1)=EDATE(DATE(2028,3,1),-'Model inputs'!AM13*1)="",FALSE,DATE(2026,9,1)=EDATE(DATE(2028,3,1),-'Model inputs'!AM13*1)),IF('Model inputs'!B85="","",'Model inputs'!B85),"")</f>
      </c>
    </row>
    <row r="1478">
      <c r="A1478" t="inlineStr" s="25">
        <is>
          <t xml:space="preserve">Calculation</t>
        </is>
      </c>
      <c r="B1478">
        <f>SUM(IF(IF('Model inputs'!B1441="",0,1)="",0,IF('Model inputs'!B1441="",0,1)),IF(IF('Model inputs'!B1442="",0,1)="",0,IF('Model inputs'!B1442="",0,1)),IF(IF('Model inputs'!B1443="",0,1)="",0,IF('Model inputs'!B1443="",0,1)),IF(IF('Model inputs'!B1444="",0,1)="",0,IF('Model inputs'!B1444="",0,1)),IF(IF('Model inputs'!B1445="",0,1)="",0,IF('Model inputs'!B1445="",0,1)),IF(IF('Model inputs'!B1446="",0,1)="",0,IF('Model inputs'!B1446="",0,1)),IF(IF('Model inputs'!B1447="",0,1)="",0,IF('Model inputs'!B1447="",0,1)),IF(IF('Model inputs'!B1448="",0,1)="",0,IF('Model inputs'!B1448="",0,1)),IF(IF('Model inputs'!B1449="",0,1)="",0,IF('Model inputs'!B1449="",0,1)),IF(IF('Model inputs'!B1450="",0,1)="",0,IF('Model inputs'!B1450="",0,1)),IF(IF('Model inputs'!B1451="",0,1)="",0,IF('Model inputs'!B1451="",0,1)),IF(IF('Model inputs'!B1452="",0,1)="",0,IF('Model inputs'!B1452="",0,1)),IF(IF('Model inputs'!B1453="",0,1)="",0,IF('Model inputs'!B1453="",0,1)),IF(IF('Model inputs'!B1454="",0,1)="",0,IF('Model inputs'!B1454="",0,1)),IF(IF('Model inputs'!B1455="",0,1)="",0,IF('Model inputs'!B1455="",0,1)),IF(IF('Model inputs'!B1456="",0,1)="",0,IF('Model inputs'!B1456="",0,1)),IF(IF('Model inputs'!B1457="",0,1)="",0,IF('Model inputs'!B1457="",0,1)),IF(IF('Model inputs'!B1458="",0,1)="",0,IF('Model inputs'!B1458="",0,1)),IF(IF('Model inputs'!B1459="",0,1)="",0,IF('Model inputs'!B1459="",0,1)),IF(IF('Model inputs'!B1460="",0,1)="",0,IF('Model inputs'!B1460="",0,1)),IF(IF('Model inputs'!B1461="",0,1)="",0,IF('Model inputs'!B1461="",0,1)),IF(IF('Model inputs'!B1462="",0,1)="",0,IF('Model inputs'!B1462="",0,1)),IF(IF('Model inputs'!B1463="",0,1)="",0,IF('Model inputs'!B1463="",0,1)),IF(IF('Model inputs'!B1464="",0,1)="",0,IF('Model inputs'!B1464="",0,1)),IF(IF('Model inputs'!B1465="",0,1)="",0,IF('Model inputs'!B1465="",0,1)),IF(IF('Model inputs'!B1466="",0,1)="",0,IF('Model inputs'!B1466="",0,1)),IF(IF('Model inputs'!B1467="",0,1)="",0,IF('Model inputs'!B1467="",0,1)),IF(IF('Model inputs'!B1468="",0,1)="",0,IF('Model inputs'!B1468="",0,1)),IF(IF('Model inputs'!B1469="",0,1)="",0,IF('Model inputs'!B1469="",0,1)),IF(IF('Model inputs'!B1470="",0,1)="",0,IF('Model inputs'!B1470="",0,1)),IF(IF('Model inputs'!B1471="",0,1)="",0,IF('Model inputs'!B1471="",0,1)),IF(IF('Model inputs'!B1472="",0,1)="",0,IF('Model inputs'!B1472="",0,1)),IF(IF('Model inputs'!B1473="",0,1)="",0,IF('Model inputs'!B1473="",0,1)),IF(IF('Model inputs'!B1474="",0,1)="",0,IF('Model inputs'!B1474="",0,1)),IF(IF('Model inputs'!B1475="",0,1)="",0,IF('Model inputs'!B1475="",0,1)),IF(IF('Model inputs'!B1476="",0,1)="",0,IF('Model inputs'!B1476="",0,1)),IF(IF('Model inputs'!B1477="",0,1)="",0,IF('Model inputs'!B1477="",0,1)))</f>
      </c>
    </row>
    <row r="1479">
      <c r="A1479" t="inlineStr" s="25">
        <is>
          <t xml:space="preserve">Calculation</t>
        </is>
      </c>
      <c r="B1479">
        <f>IF(IF(DATE(2026,10,1)=EDATE(DATE(2028,4,1),-'Model inputs'!AM13*1)="",FALSE,DATE(2026,10,1)=EDATE(DATE(2028,4,1),-'Model inputs'!AM13*1)),IF('POA — Monthly financial forecas'!B27="","",'POA — Monthly financial forecas'!B27),"")</f>
      </c>
    </row>
    <row r="1480">
      <c r="A1480" t="inlineStr" s="25">
        <is>
          <t xml:space="preserve">Calculation</t>
        </is>
      </c>
      <c r="B1480">
        <f>IF(IF(DATE(2026,11,1)=EDATE(DATE(2028,4,1),-'Model inputs'!AM13*1)="",FALSE,DATE(2026,11,1)=EDATE(DATE(2028,4,1),-'Model inputs'!AM13*1)),IF('POA — Monthly financial forecas'!C27="","",'POA — Monthly financial forecas'!C27),"")</f>
      </c>
    </row>
    <row r="1481">
      <c r="A1481" t="inlineStr" s="25">
        <is>
          <t xml:space="preserve">Calculation</t>
        </is>
      </c>
      <c r="B1481">
        <f>IF(IF(DATE(2026,12,1)=EDATE(DATE(2028,4,1),-'Model inputs'!AM13*1)="",FALSE,DATE(2026,12,1)=EDATE(DATE(2028,4,1),-'Model inputs'!AM13*1)),IF('POA — Monthly financial forecas'!D27="","",'POA — Monthly financial forecas'!D27),"")</f>
      </c>
    </row>
    <row r="1482">
      <c r="A1482" t="inlineStr" s="25">
        <is>
          <t xml:space="preserve">Calculation</t>
        </is>
      </c>
      <c r="B1482">
        <f>IF(IF(DATE(2027,1,1)=EDATE(DATE(2028,4,1),-'Model inputs'!AM13*1)="",FALSE,DATE(2027,1,1)=EDATE(DATE(2028,4,1),-'Model inputs'!AM13*1)),IF('POA — Monthly financial forecas'!E27="","",'POA — Monthly financial forecas'!E27),"")</f>
      </c>
    </row>
    <row r="1483">
      <c r="A1483" t="inlineStr" s="25">
        <is>
          <t xml:space="preserve">Calculation</t>
        </is>
      </c>
      <c r="B1483">
        <f>IF(IF(DATE(2027,2,1)=EDATE(DATE(2028,4,1),-'Model inputs'!AM13*1)="",FALSE,DATE(2027,2,1)=EDATE(DATE(2028,4,1),-'Model inputs'!AM13*1)),IF('POA — Monthly financial forecas'!F27="","",'POA — Monthly financial forecas'!F27),"")</f>
      </c>
    </row>
    <row r="1484">
      <c r="A1484" t="inlineStr" s="25">
        <is>
          <t xml:space="preserve">Calculation</t>
        </is>
      </c>
      <c r="B1484">
        <f>IF(IF(DATE(2027,3,1)=EDATE(DATE(2028,4,1),-'Model inputs'!AM13*1)="",FALSE,DATE(2027,3,1)=EDATE(DATE(2028,4,1),-'Model inputs'!AM13*1)),IF('POA — Monthly financial forecas'!G27="","",'POA — Monthly financial forecas'!G27),"")</f>
      </c>
    </row>
    <row r="1485">
      <c r="A1485" t="inlineStr" s="25">
        <is>
          <t xml:space="preserve">Calculation</t>
        </is>
      </c>
      <c r="B1485">
        <f>IF(IF(DATE(2027,4,1)=EDATE(DATE(2028,4,1),-'Model inputs'!AM13*1)="",FALSE,DATE(2027,4,1)=EDATE(DATE(2028,4,1),-'Model inputs'!AM13*1)),IF('POA — Monthly financial forecas'!H27="","",'POA — Monthly financial forecas'!H27),"")</f>
      </c>
    </row>
    <row r="1486">
      <c r="A1486" t="inlineStr" s="25">
        <is>
          <t xml:space="preserve">Calculation</t>
        </is>
      </c>
      <c r="B1486">
        <f>IF(IF(DATE(2027,5,1)=EDATE(DATE(2028,4,1),-'Model inputs'!AM13*1)="",FALSE,DATE(2027,5,1)=EDATE(DATE(2028,4,1),-'Model inputs'!AM13*1)),IF('POA — Monthly financial forecas'!I27="","",'POA — Monthly financial forecas'!I27),"")</f>
      </c>
    </row>
    <row r="1487">
      <c r="A1487" t="inlineStr" s="25">
        <is>
          <t xml:space="preserve">Calculation</t>
        </is>
      </c>
      <c r="B1487">
        <f>IF(IF(DATE(2027,6,1)=EDATE(DATE(2028,4,1),-'Model inputs'!AM13*1)="",FALSE,DATE(2027,6,1)=EDATE(DATE(2028,4,1),-'Model inputs'!AM13*1)),IF('POA — Monthly financial forecas'!J27="","",'POA — Monthly financial forecas'!J27),"")</f>
      </c>
    </row>
    <row r="1488">
      <c r="A1488" t="inlineStr" s="25">
        <is>
          <t xml:space="preserve">Calculation</t>
        </is>
      </c>
      <c r="B1488">
        <f>IF(IF(DATE(2027,7,1)=EDATE(DATE(2028,4,1),-'Model inputs'!AM13*1)="",FALSE,DATE(2027,7,1)=EDATE(DATE(2028,4,1),-'Model inputs'!AM13*1)),IF('POA — Monthly financial forecas'!K27="","",'POA — Monthly financial forecas'!K27),"")</f>
      </c>
    </row>
    <row r="1489">
      <c r="A1489" t="inlineStr" s="25">
        <is>
          <t xml:space="preserve">Calculation</t>
        </is>
      </c>
      <c r="B1489">
        <f>IF(IF(DATE(2027,8,1)=EDATE(DATE(2028,4,1),-'Model inputs'!AM13*1)="",FALSE,DATE(2027,8,1)=EDATE(DATE(2028,4,1),-'Model inputs'!AM13*1)),IF('POA — Monthly financial forecas'!L27="","",'POA — Monthly financial forecas'!L27),"")</f>
      </c>
    </row>
    <row r="1490">
      <c r="A1490" t="inlineStr" s="25">
        <is>
          <t xml:space="preserve">Calculation</t>
        </is>
      </c>
      <c r="B1490">
        <f>IF(IF(DATE(2027,9,1)=EDATE(DATE(2028,4,1),-'Model inputs'!AM13*1)="",FALSE,DATE(2027,9,1)=EDATE(DATE(2028,4,1),-'Model inputs'!AM13*1)),IF('POA — Monthly financial forecas'!M27="","",'POA — Monthly financial forecas'!M27),"")</f>
      </c>
    </row>
    <row r="1491">
      <c r="A1491" t="inlineStr" s="25">
        <is>
          <t xml:space="preserve">Calculation</t>
        </is>
      </c>
      <c r="B1491">
        <f>IF(IF(DATE(2027,10,1)=EDATE(DATE(2028,4,1),-'Model inputs'!AM13*1)="",FALSE,DATE(2027,10,1)=EDATE(DATE(2028,4,1),-'Model inputs'!AM13*1)),IF('POA — Monthly financial forecas'!N27="","",'POA — Monthly financial forecas'!N27),"")</f>
      </c>
    </row>
    <row r="1492">
      <c r="A1492" t="inlineStr" s="25">
        <is>
          <t xml:space="preserve">Calculation</t>
        </is>
      </c>
      <c r="B1492">
        <f>IF(IF(DATE(2027,11,1)=EDATE(DATE(2028,4,1),-'Model inputs'!AM13*1)="",FALSE,DATE(2027,11,1)=EDATE(DATE(2028,4,1),-'Model inputs'!AM13*1)),IF('POA — Monthly financial forecas'!O27="","",'POA — Monthly financial forecas'!O27),"")</f>
      </c>
    </row>
    <row r="1493">
      <c r="A1493" t="inlineStr" s="25">
        <is>
          <t xml:space="preserve">Calculation</t>
        </is>
      </c>
      <c r="B1493">
        <f>IF(IF(DATE(2027,12,1)=EDATE(DATE(2028,4,1),-'Model inputs'!AM13*1)="",FALSE,DATE(2027,12,1)=EDATE(DATE(2028,4,1),-'Model inputs'!AM13*1)),IF('POA — Monthly financial forecas'!P27="","",'POA — Monthly financial forecas'!P27),"")</f>
      </c>
    </row>
    <row r="1494">
      <c r="A1494" t="inlineStr" s="25">
        <is>
          <t xml:space="preserve">Calculation</t>
        </is>
      </c>
      <c r="B1494">
        <f>IF(IF(DATE(2028,1,1)=EDATE(DATE(2028,4,1),-'Model inputs'!AM13*1)="",FALSE,DATE(2028,1,1)=EDATE(DATE(2028,4,1),-'Model inputs'!AM13*1)),IF('POA — Monthly financial forecas'!Q27="","",'POA — Monthly financial forecas'!Q27),"")</f>
      </c>
    </row>
    <row r="1495">
      <c r="A1495" t="inlineStr" s="25">
        <is>
          <t xml:space="preserve">Calculation</t>
        </is>
      </c>
      <c r="B1495">
        <f>IF(IF(DATE(2028,2,1)=EDATE(DATE(2028,4,1),-'Model inputs'!AM13*1)="",FALSE,DATE(2028,2,1)=EDATE(DATE(2028,4,1),-'Model inputs'!AM13*1)),IF('POA — Monthly financial forecas'!R27="","",'POA — Monthly financial forecas'!R27),"")</f>
      </c>
    </row>
    <row r="1496">
      <c r="A1496" t="inlineStr" s="25">
        <is>
          <t xml:space="preserve">Calculation</t>
        </is>
      </c>
      <c r="B1496">
        <f>IF(IF(DATE(2028,3,1)=EDATE(DATE(2028,4,1),-'Model inputs'!AM13*1)="",FALSE,DATE(2028,3,1)=EDATE(DATE(2028,4,1),-'Model inputs'!AM13*1)),IF('POA — Monthly financial forecas'!S27="","",'POA — Monthly financial forecas'!S27),"")</f>
      </c>
    </row>
    <row r="1497">
      <c r="A1497" t="inlineStr" s="25">
        <is>
          <t xml:space="preserve">Calculation</t>
        </is>
      </c>
      <c r="B1497">
        <f>IF(IF(DATE(2028,4,1)=EDATE(DATE(2028,4,1),-'Model inputs'!AM13*1)="",FALSE,DATE(2028,4,1)=EDATE(DATE(2028,4,1),-'Model inputs'!AM13*1)),IF('POA — Monthly financial forecas'!T27="","",'POA — Monthly financial forecas'!T27),"")</f>
      </c>
    </row>
    <row r="1498">
      <c r="A1498" t="inlineStr" s="25">
        <is>
          <t xml:space="preserve">Calculation</t>
        </is>
      </c>
      <c r="B1498">
        <f>IF(IF(DATE(2028,5,1)=EDATE(DATE(2028,4,1),-'Model inputs'!AM13*1)="",FALSE,DATE(2028,5,1)=EDATE(DATE(2028,4,1),-'Model inputs'!AM13*1)),IF('POA — Monthly financial forecas'!U27="","",'POA — Monthly financial forecas'!U27),"")</f>
      </c>
    </row>
    <row r="1499">
      <c r="A1499" t="inlineStr" s="25">
        <is>
          <t xml:space="preserve">Calculation</t>
        </is>
      </c>
      <c r="B1499">
        <f>IF(IF(DATE(2028,6,1)=EDATE(DATE(2028,4,1),-'Model inputs'!AM13*1)="",FALSE,DATE(2028,6,1)=EDATE(DATE(2028,4,1),-'Model inputs'!AM13*1)),IF('POA — Monthly financial forecas'!V27="","",'POA — Monthly financial forecas'!V27),"")</f>
      </c>
    </row>
    <row r="1500">
      <c r="A1500" t="inlineStr" s="25">
        <is>
          <t xml:space="preserve">Calculation</t>
        </is>
      </c>
      <c r="B1500">
        <f>IF(IF(DATE(2028,7,1)=EDATE(DATE(2028,4,1),-'Model inputs'!AM13*1)="",FALSE,DATE(2028,7,1)=EDATE(DATE(2028,4,1),-'Model inputs'!AM13*1)),IF('POA — Monthly financial forecas'!W27="","",'POA — Monthly financial forecas'!W27),"")</f>
      </c>
    </row>
    <row r="1501">
      <c r="A1501" t="inlineStr" s="25">
        <is>
          <t xml:space="preserve">Calculation</t>
        </is>
      </c>
      <c r="B1501">
        <f>IF(IF(DATE(2028,8,1)=EDATE(DATE(2028,4,1),-'Model inputs'!AM13*1)="",FALSE,DATE(2028,8,1)=EDATE(DATE(2028,4,1),-'Model inputs'!AM13*1)),IF('POA — Monthly financial forecas'!X27="","",'POA — Monthly financial forecas'!X27),"")</f>
      </c>
    </row>
    <row r="1502">
      <c r="A1502" t="inlineStr" s="25">
        <is>
          <t xml:space="preserve">Calculation</t>
        </is>
      </c>
      <c r="B1502">
        <f>IF(IF(DATE(2028,9,1)=EDATE(DATE(2028,4,1),-'Model inputs'!AM13*1)="",FALSE,DATE(2028,9,1)=EDATE(DATE(2028,4,1),-'Model inputs'!AM13*1)),IF('POA — Monthly financial forecas'!Y27="","",'POA — Monthly financial forecas'!Y27),"")</f>
      </c>
    </row>
    <row r="1503">
      <c r="A1503" t="inlineStr" s="25">
        <is>
          <t xml:space="preserve">Calculation</t>
        </is>
      </c>
      <c r="B1503">
        <f>IF(IF(DATE(2028,10,1)=EDATE(DATE(2028,4,1),-'Model inputs'!AM13*1)="",FALSE,DATE(2028,10,1)=EDATE(DATE(2028,4,1),-'Model inputs'!AM13*1)),IF('POA — Monthly financial forecas'!Z27="","",'POA — Monthly financial forecas'!Z27),"")</f>
      </c>
    </row>
    <row r="1504">
      <c r="A1504" t="inlineStr" s="25">
        <is>
          <t xml:space="preserve">Calculation</t>
        </is>
      </c>
      <c r="B1504">
        <f>IF(IF(DATE(2028,11,1)=EDATE(DATE(2028,4,1),-'Model inputs'!AM13*1)="",FALSE,DATE(2028,11,1)=EDATE(DATE(2028,4,1),-'Model inputs'!AM13*1)),IF('POA — Monthly financial forecas'!AA27="","",'POA — Monthly financial forecas'!AA27),"")</f>
      </c>
    </row>
    <row r="1505">
      <c r="A1505" t="inlineStr" s="25">
        <is>
          <t xml:space="preserve">Calculation</t>
        </is>
      </c>
      <c r="B1505">
        <f>IF(IF(DATE(2028,12,1)=EDATE(DATE(2028,4,1),-'Model inputs'!AM13*1)="",FALSE,DATE(2028,12,1)=EDATE(DATE(2028,4,1),-'Model inputs'!AM13*1)),IF('POA — Monthly financial forecas'!AB27="","",'POA — Monthly financial forecas'!AB27),"")</f>
      </c>
    </row>
    <row r="1506">
      <c r="A1506" t="inlineStr" s="25">
        <is>
          <t xml:space="preserve">Calculation</t>
        </is>
      </c>
      <c r="B1506">
        <f>IF(IF(DATE(2029,1,1)=EDATE(DATE(2028,4,1),-'Model inputs'!AM13*1)="",FALSE,DATE(2029,1,1)=EDATE(DATE(2028,4,1),-'Model inputs'!AM13*1)),IF('POA — Monthly financial forecas'!AC27="","",'POA — Monthly financial forecas'!AC27),"")</f>
      </c>
    </row>
    <row r="1507">
      <c r="A1507" t="inlineStr" s="25">
        <is>
          <t xml:space="preserve">Calculation</t>
        </is>
      </c>
      <c r="B1507">
        <f>IF(IF(DATE(2029,2,1)=EDATE(DATE(2028,4,1),-'Model inputs'!AM13*1)="",FALSE,DATE(2029,2,1)=EDATE(DATE(2028,4,1),-'Model inputs'!AM13*1)),IF('POA — Monthly financial forecas'!AD27="","",'POA — Monthly financial forecas'!AD27),"")</f>
      </c>
    </row>
    <row r="1508">
      <c r="A1508" t="inlineStr" s="25">
        <is>
          <t xml:space="preserve">Calculation</t>
        </is>
      </c>
      <c r="B1508">
        <f>IF(IF(DATE(2029,3,1)=EDATE(DATE(2028,4,1),-'Model inputs'!AM13*1)="",FALSE,DATE(2029,3,1)=EDATE(DATE(2028,4,1),-'Model inputs'!AM13*1)),IF('POA — Monthly financial forecas'!AE27="","",'POA — Monthly financial forecas'!AE27),"")</f>
      </c>
    </row>
    <row r="1509">
      <c r="A1509" t="inlineStr" s="25">
        <is>
          <t xml:space="preserve">Calculation</t>
        </is>
      </c>
      <c r="B1509">
        <f>IF(IF(DATE(2029,4,1)=EDATE(DATE(2028,4,1),-'Model inputs'!AM13*1)="",FALSE,DATE(2029,4,1)=EDATE(DATE(2028,4,1),-'Model inputs'!AM13*1)),IF('POA — Monthly financial forecas'!AF27="","",'POA — Monthly financial forecas'!AF27),"")</f>
      </c>
    </row>
    <row r="1510">
      <c r="A1510" t="inlineStr" s="25">
        <is>
          <t xml:space="preserve">Calculation</t>
        </is>
      </c>
      <c r="B1510">
        <f>IF(IF(DATE(2029,5,1)=EDATE(DATE(2028,4,1),-'Model inputs'!AM13*1)="",FALSE,DATE(2029,5,1)=EDATE(DATE(2028,4,1),-'Model inputs'!AM13*1)),IF('POA — Monthly financial forecas'!AG27="","",'POA — Monthly financial forecas'!AG27),"")</f>
      </c>
    </row>
    <row r="1511">
      <c r="A1511" t="inlineStr" s="25">
        <is>
          <t xml:space="preserve">Calculation</t>
        </is>
      </c>
      <c r="B1511">
        <f>IF(IF(DATE(2029,6,1)=EDATE(DATE(2028,4,1),-'Model inputs'!AM13*1)="",FALSE,DATE(2029,6,1)=EDATE(DATE(2028,4,1),-'Model inputs'!AM13*1)),IF('POA — Monthly financial forecas'!AH27="","",'POA — Monthly financial forecas'!AH27),"")</f>
      </c>
    </row>
    <row r="1512">
      <c r="A1512" t="inlineStr" s="25">
        <is>
          <t xml:space="preserve">Calculation</t>
        </is>
      </c>
      <c r="B1512">
        <f>IF(IF(DATE(2029,7,1)=EDATE(DATE(2028,4,1),-'Model inputs'!AM13*1)="",FALSE,DATE(2029,7,1)=EDATE(DATE(2028,4,1),-'Model inputs'!AM13*1)),IF('POA — Monthly financial forecas'!AI27="","",'POA — Monthly financial forecas'!AI27),"")</f>
      </c>
    </row>
    <row r="1513">
      <c r="A1513" t="inlineStr" s="25">
        <is>
          <t xml:space="preserve">Calculation</t>
        </is>
      </c>
      <c r="B1513">
        <f>IF(IF(DATE(2029,8,1)=EDATE(DATE(2028,4,1),-'Model inputs'!AM13*1)="",FALSE,DATE(2029,8,1)=EDATE(DATE(2028,4,1),-'Model inputs'!AM13*1)),IF('POA — Monthly financial forecas'!AJ27="","",'POA — Monthly financial forecas'!AJ27),"")</f>
      </c>
    </row>
    <row r="1514">
      <c r="A1514" t="inlineStr" s="25">
        <is>
          <t xml:space="preserve">Calculation</t>
        </is>
      </c>
      <c r="B1514">
        <f>IF(IF(DATE(2029,9,1)=EDATE(DATE(2028,4,1),-'Model inputs'!AM13*1)="",FALSE,DATE(2029,9,1)=EDATE(DATE(2028,4,1),-'Model inputs'!AM13*1)),IF('POA — Monthly financial forecas'!AK27="","",'POA — Monthly financial forecas'!AK27),"")</f>
      </c>
    </row>
    <row r="1515">
      <c r="A1515" t="inlineStr" s="25">
        <is>
          <t xml:space="preserve">Calculation</t>
        </is>
      </c>
      <c r="B1515">
        <f>IF(IF(DATE(2026,9,1)=EDATE(DATE(2028,4,1),-'Model inputs'!AM13*1)="",FALSE,DATE(2026,9,1)=EDATE(DATE(2028,4,1),-'Model inputs'!AM13*1)),IF('Model inputs'!B85="","",'Model inputs'!B85),"")</f>
      </c>
    </row>
    <row r="1516">
      <c r="A1516" t="inlineStr" s="25">
        <is>
          <t xml:space="preserve">Calculation</t>
        </is>
      </c>
      <c r="B1516">
        <f>SUM(IF(IF('Model inputs'!B1479="",0,1)="",0,IF('Model inputs'!B1479="",0,1)),IF(IF('Model inputs'!B1480="",0,1)="",0,IF('Model inputs'!B1480="",0,1)),IF(IF('Model inputs'!B1481="",0,1)="",0,IF('Model inputs'!B1481="",0,1)),IF(IF('Model inputs'!B1482="",0,1)="",0,IF('Model inputs'!B1482="",0,1)),IF(IF('Model inputs'!B1483="",0,1)="",0,IF('Model inputs'!B1483="",0,1)),IF(IF('Model inputs'!B1484="",0,1)="",0,IF('Model inputs'!B1484="",0,1)),IF(IF('Model inputs'!B1485="",0,1)="",0,IF('Model inputs'!B1485="",0,1)),IF(IF('Model inputs'!B1486="",0,1)="",0,IF('Model inputs'!B1486="",0,1)),IF(IF('Model inputs'!B1487="",0,1)="",0,IF('Model inputs'!B1487="",0,1)),IF(IF('Model inputs'!B1488="",0,1)="",0,IF('Model inputs'!B1488="",0,1)),IF(IF('Model inputs'!B1489="",0,1)="",0,IF('Model inputs'!B1489="",0,1)),IF(IF('Model inputs'!B1490="",0,1)="",0,IF('Model inputs'!B1490="",0,1)),IF(IF('Model inputs'!B1491="",0,1)="",0,IF('Model inputs'!B1491="",0,1)),IF(IF('Model inputs'!B1492="",0,1)="",0,IF('Model inputs'!B1492="",0,1)),IF(IF('Model inputs'!B1493="",0,1)="",0,IF('Model inputs'!B1493="",0,1)),IF(IF('Model inputs'!B1494="",0,1)="",0,IF('Model inputs'!B1494="",0,1)),IF(IF('Model inputs'!B1495="",0,1)="",0,IF('Model inputs'!B1495="",0,1)),IF(IF('Model inputs'!B1496="",0,1)="",0,IF('Model inputs'!B1496="",0,1)),IF(IF('Model inputs'!B1497="",0,1)="",0,IF('Model inputs'!B1497="",0,1)),IF(IF('Model inputs'!B1498="",0,1)="",0,IF('Model inputs'!B1498="",0,1)),IF(IF('Model inputs'!B1499="",0,1)="",0,IF('Model inputs'!B1499="",0,1)),IF(IF('Model inputs'!B1500="",0,1)="",0,IF('Model inputs'!B1500="",0,1)),IF(IF('Model inputs'!B1501="",0,1)="",0,IF('Model inputs'!B1501="",0,1)),IF(IF('Model inputs'!B1502="",0,1)="",0,IF('Model inputs'!B1502="",0,1)),IF(IF('Model inputs'!B1503="",0,1)="",0,IF('Model inputs'!B1503="",0,1)),IF(IF('Model inputs'!B1504="",0,1)="",0,IF('Model inputs'!B1504="",0,1)),IF(IF('Model inputs'!B1505="",0,1)="",0,IF('Model inputs'!B1505="",0,1)),IF(IF('Model inputs'!B1506="",0,1)="",0,IF('Model inputs'!B1506="",0,1)),IF(IF('Model inputs'!B1507="",0,1)="",0,IF('Model inputs'!B1507="",0,1)),IF(IF('Model inputs'!B1508="",0,1)="",0,IF('Model inputs'!B1508="",0,1)),IF(IF('Model inputs'!B1509="",0,1)="",0,IF('Model inputs'!B1509="",0,1)),IF(IF('Model inputs'!B1510="",0,1)="",0,IF('Model inputs'!B1510="",0,1)),IF(IF('Model inputs'!B1511="",0,1)="",0,IF('Model inputs'!B1511="",0,1)),IF(IF('Model inputs'!B1512="",0,1)="",0,IF('Model inputs'!B1512="",0,1)),IF(IF('Model inputs'!B1513="",0,1)="",0,IF('Model inputs'!B1513="",0,1)),IF(IF('Model inputs'!B1514="",0,1)="",0,IF('Model inputs'!B1514="",0,1)),IF(IF('Model inputs'!B1515="",0,1)="",0,IF('Model inputs'!B1515="",0,1)))</f>
      </c>
    </row>
    <row r="1517">
      <c r="A1517" t="inlineStr" s="25">
        <is>
          <t xml:space="preserve">Calculation</t>
        </is>
      </c>
      <c r="B1517">
        <f>IF(IF(DATE(2026,10,1)=EDATE(DATE(2028,5,1),-'Model inputs'!AM13*1)="",FALSE,DATE(2026,10,1)=EDATE(DATE(2028,5,1),-'Model inputs'!AM13*1)),IF('POA — Monthly financial forecas'!B27="","",'POA — Monthly financial forecas'!B27),"")</f>
      </c>
    </row>
    <row r="1518">
      <c r="A1518" t="inlineStr" s="25">
        <is>
          <t xml:space="preserve">Calculation</t>
        </is>
      </c>
      <c r="B1518">
        <f>IF(IF(DATE(2026,11,1)=EDATE(DATE(2028,5,1),-'Model inputs'!AM13*1)="",FALSE,DATE(2026,11,1)=EDATE(DATE(2028,5,1),-'Model inputs'!AM13*1)),IF('POA — Monthly financial forecas'!C27="","",'POA — Monthly financial forecas'!C27),"")</f>
      </c>
    </row>
    <row r="1519">
      <c r="A1519" t="inlineStr" s="25">
        <is>
          <t xml:space="preserve">Calculation</t>
        </is>
      </c>
      <c r="B1519">
        <f>IF(IF(DATE(2026,12,1)=EDATE(DATE(2028,5,1),-'Model inputs'!AM13*1)="",FALSE,DATE(2026,12,1)=EDATE(DATE(2028,5,1),-'Model inputs'!AM13*1)),IF('POA — Monthly financial forecas'!D27="","",'POA — Monthly financial forecas'!D27),"")</f>
      </c>
    </row>
    <row r="1520">
      <c r="A1520" t="inlineStr" s="25">
        <is>
          <t xml:space="preserve">Calculation</t>
        </is>
      </c>
      <c r="B1520">
        <f>IF(IF(DATE(2027,1,1)=EDATE(DATE(2028,5,1),-'Model inputs'!AM13*1)="",FALSE,DATE(2027,1,1)=EDATE(DATE(2028,5,1),-'Model inputs'!AM13*1)),IF('POA — Monthly financial forecas'!E27="","",'POA — Monthly financial forecas'!E27),"")</f>
      </c>
    </row>
    <row r="1521">
      <c r="A1521" t="inlineStr" s="25">
        <is>
          <t xml:space="preserve">Calculation</t>
        </is>
      </c>
      <c r="B1521">
        <f>IF(IF(DATE(2027,2,1)=EDATE(DATE(2028,5,1),-'Model inputs'!AM13*1)="",FALSE,DATE(2027,2,1)=EDATE(DATE(2028,5,1),-'Model inputs'!AM13*1)),IF('POA — Monthly financial forecas'!F27="","",'POA — Monthly financial forecas'!F27),"")</f>
      </c>
    </row>
    <row r="1522">
      <c r="A1522" t="inlineStr" s="25">
        <is>
          <t xml:space="preserve">Calculation</t>
        </is>
      </c>
      <c r="B1522">
        <f>IF(IF(DATE(2027,3,1)=EDATE(DATE(2028,5,1),-'Model inputs'!AM13*1)="",FALSE,DATE(2027,3,1)=EDATE(DATE(2028,5,1),-'Model inputs'!AM13*1)),IF('POA — Monthly financial forecas'!G27="","",'POA — Monthly financial forecas'!G27),"")</f>
      </c>
    </row>
    <row r="1523">
      <c r="A1523" t="inlineStr" s="25">
        <is>
          <t xml:space="preserve">Calculation</t>
        </is>
      </c>
      <c r="B1523">
        <f>IF(IF(DATE(2027,4,1)=EDATE(DATE(2028,5,1),-'Model inputs'!AM13*1)="",FALSE,DATE(2027,4,1)=EDATE(DATE(2028,5,1),-'Model inputs'!AM13*1)),IF('POA — Monthly financial forecas'!H27="","",'POA — Monthly financial forecas'!H27),"")</f>
      </c>
    </row>
    <row r="1524">
      <c r="A1524" t="inlineStr" s="25">
        <is>
          <t xml:space="preserve">Calculation</t>
        </is>
      </c>
      <c r="B1524">
        <f>IF(IF(DATE(2027,5,1)=EDATE(DATE(2028,5,1),-'Model inputs'!AM13*1)="",FALSE,DATE(2027,5,1)=EDATE(DATE(2028,5,1),-'Model inputs'!AM13*1)),IF('POA — Monthly financial forecas'!I27="","",'POA — Monthly financial forecas'!I27),"")</f>
      </c>
    </row>
    <row r="1525">
      <c r="A1525" t="inlineStr" s="25">
        <is>
          <t xml:space="preserve">Calculation</t>
        </is>
      </c>
      <c r="B1525">
        <f>IF(IF(DATE(2027,6,1)=EDATE(DATE(2028,5,1),-'Model inputs'!AM13*1)="",FALSE,DATE(2027,6,1)=EDATE(DATE(2028,5,1),-'Model inputs'!AM13*1)),IF('POA — Monthly financial forecas'!J27="","",'POA — Monthly financial forecas'!J27),"")</f>
      </c>
    </row>
    <row r="1526">
      <c r="A1526" t="inlineStr" s="25">
        <is>
          <t xml:space="preserve">Calculation</t>
        </is>
      </c>
      <c r="B1526">
        <f>IF(IF(DATE(2027,7,1)=EDATE(DATE(2028,5,1),-'Model inputs'!AM13*1)="",FALSE,DATE(2027,7,1)=EDATE(DATE(2028,5,1),-'Model inputs'!AM13*1)),IF('POA — Monthly financial forecas'!K27="","",'POA — Monthly financial forecas'!K27),"")</f>
      </c>
    </row>
    <row r="1527">
      <c r="A1527" t="inlineStr" s="25">
        <is>
          <t xml:space="preserve">Calculation</t>
        </is>
      </c>
      <c r="B1527">
        <f>IF(IF(DATE(2027,8,1)=EDATE(DATE(2028,5,1),-'Model inputs'!AM13*1)="",FALSE,DATE(2027,8,1)=EDATE(DATE(2028,5,1),-'Model inputs'!AM13*1)),IF('POA — Monthly financial forecas'!L27="","",'POA — Monthly financial forecas'!L27),"")</f>
      </c>
    </row>
    <row r="1528">
      <c r="A1528" t="inlineStr" s="25">
        <is>
          <t xml:space="preserve">Calculation</t>
        </is>
      </c>
      <c r="B1528">
        <f>IF(IF(DATE(2027,9,1)=EDATE(DATE(2028,5,1),-'Model inputs'!AM13*1)="",FALSE,DATE(2027,9,1)=EDATE(DATE(2028,5,1),-'Model inputs'!AM13*1)),IF('POA — Monthly financial forecas'!M27="","",'POA — Monthly financial forecas'!M27),"")</f>
      </c>
    </row>
    <row r="1529">
      <c r="A1529" t="inlineStr" s="25">
        <is>
          <t xml:space="preserve">Calculation</t>
        </is>
      </c>
      <c r="B1529">
        <f>IF(IF(DATE(2027,10,1)=EDATE(DATE(2028,5,1),-'Model inputs'!AM13*1)="",FALSE,DATE(2027,10,1)=EDATE(DATE(2028,5,1),-'Model inputs'!AM13*1)),IF('POA — Monthly financial forecas'!N27="","",'POA — Monthly financial forecas'!N27),"")</f>
      </c>
    </row>
    <row r="1530">
      <c r="A1530" t="inlineStr" s="25">
        <is>
          <t xml:space="preserve">Calculation</t>
        </is>
      </c>
      <c r="B1530">
        <f>IF(IF(DATE(2027,11,1)=EDATE(DATE(2028,5,1),-'Model inputs'!AM13*1)="",FALSE,DATE(2027,11,1)=EDATE(DATE(2028,5,1),-'Model inputs'!AM13*1)),IF('POA — Monthly financial forecas'!O27="","",'POA — Monthly financial forecas'!O27),"")</f>
      </c>
    </row>
    <row r="1531">
      <c r="A1531" t="inlineStr" s="25">
        <is>
          <t xml:space="preserve">Calculation</t>
        </is>
      </c>
      <c r="B1531">
        <f>IF(IF(DATE(2027,12,1)=EDATE(DATE(2028,5,1),-'Model inputs'!AM13*1)="",FALSE,DATE(2027,12,1)=EDATE(DATE(2028,5,1),-'Model inputs'!AM13*1)),IF('POA — Monthly financial forecas'!P27="","",'POA — Monthly financial forecas'!P27),"")</f>
      </c>
    </row>
    <row r="1532">
      <c r="A1532" t="inlineStr" s="25">
        <is>
          <t xml:space="preserve">Calculation</t>
        </is>
      </c>
      <c r="B1532">
        <f>IF(IF(DATE(2028,1,1)=EDATE(DATE(2028,5,1),-'Model inputs'!AM13*1)="",FALSE,DATE(2028,1,1)=EDATE(DATE(2028,5,1),-'Model inputs'!AM13*1)),IF('POA — Monthly financial forecas'!Q27="","",'POA — Monthly financial forecas'!Q27),"")</f>
      </c>
    </row>
    <row r="1533">
      <c r="A1533" t="inlineStr" s="25">
        <is>
          <t xml:space="preserve">Calculation</t>
        </is>
      </c>
      <c r="B1533">
        <f>IF(IF(DATE(2028,2,1)=EDATE(DATE(2028,5,1),-'Model inputs'!AM13*1)="",FALSE,DATE(2028,2,1)=EDATE(DATE(2028,5,1),-'Model inputs'!AM13*1)),IF('POA — Monthly financial forecas'!R27="","",'POA — Monthly financial forecas'!R27),"")</f>
      </c>
    </row>
    <row r="1534">
      <c r="A1534" t="inlineStr" s="25">
        <is>
          <t xml:space="preserve">Calculation</t>
        </is>
      </c>
      <c r="B1534">
        <f>IF(IF(DATE(2028,3,1)=EDATE(DATE(2028,5,1),-'Model inputs'!AM13*1)="",FALSE,DATE(2028,3,1)=EDATE(DATE(2028,5,1),-'Model inputs'!AM13*1)),IF('POA — Monthly financial forecas'!S27="","",'POA — Monthly financial forecas'!S27),"")</f>
      </c>
    </row>
    <row r="1535">
      <c r="A1535" t="inlineStr" s="25">
        <is>
          <t xml:space="preserve">Calculation</t>
        </is>
      </c>
      <c r="B1535">
        <f>IF(IF(DATE(2028,4,1)=EDATE(DATE(2028,5,1),-'Model inputs'!AM13*1)="",FALSE,DATE(2028,4,1)=EDATE(DATE(2028,5,1),-'Model inputs'!AM13*1)),IF('POA — Monthly financial forecas'!T27="","",'POA — Monthly financial forecas'!T27),"")</f>
      </c>
    </row>
    <row r="1536">
      <c r="A1536" t="inlineStr" s="25">
        <is>
          <t xml:space="preserve">Calculation</t>
        </is>
      </c>
      <c r="B1536">
        <f>IF(IF(DATE(2028,5,1)=EDATE(DATE(2028,5,1),-'Model inputs'!AM13*1)="",FALSE,DATE(2028,5,1)=EDATE(DATE(2028,5,1),-'Model inputs'!AM13*1)),IF('POA — Monthly financial forecas'!U27="","",'POA — Monthly financial forecas'!U27),"")</f>
      </c>
    </row>
    <row r="1537">
      <c r="A1537" t="inlineStr" s="25">
        <is>
          <t xml:space="preserve">Calculation</t>
        </is>
      </c>
      <c r="B1537">
        <f>IF(IF(DATE(2028,6,1)=EDATE(DATE(2028,5,1),-'Model inputs'!AM13*1)="",FALSE,DATE(2028,6,1)=EDATE(DATE(2028,5,1),-'Model inputs'!AM13*1)),IF('POA — Monthly financial forecas'!V27="","",'POA — Monthly financial forecas'!V27),"")</f>
      </c>
    </row>
    <row r="1538">
      <c r="A1538" t="inlineStr" s="25">
        <is>
          <t xml:space="preserve">Calculation</t>
        </is>
      </c>
      <c r="B1538">
        <f>IF(IF(DATE(2028,7,1)=EDATE(DATE(2028,5,1),-'Model inputs'!AM13*1)="",FALSE,DATE(2028,7,1)=EDATE(DATE(2028,5,1),-'Model inputs'!AM13*1)),IF('POA — Monthly financial forecas'!W27="","",'POA — Monthly financial forecas'!W27),"")</f>
      </c>
    </row>
    <row r="1539">
      <c r="A1539" t="inlineStr" s="25">
        <is>
          <t xml:space="preserve">Calculation</t>
        </is>
      </c>
      <c r="B1539">
        <f>IF(IF(DATE(2028,8,1)=EDATE(DATE(2028,5,1),-'Model inputs'!AM13*1)="",FALSE,DATE(2028,8,1)=EDATE(DATE(2028,5,1),-'Model inputs'!AM13*1)),IF('POA — Monthly financial forecas'!X27="","",'POA — Monthly financial forecas'!X27),"")</f>
      </c>
    </row>
    <row r="1540">
      <c r="A1540" t="inlineStr" s="25">
        <is>
          <t xml:space="preserve">Calculation</t>
        </is>
      </c>
      <c r="B1540">
        <f>IF(IF(DATE(2028,9,1)=EDATE(DATE(2028,5,1),-'Model inputs'!AM13*1)="",FALSE,DATE(2028,9,1)=EDATE(DATE(2028,5,1),-'Model inputs'!AM13*1)),IF('POA — Monthly financial forecas'!Y27="","",'POA — Monthly financial forecas'!Y27),"")</f>
      </c>
    </row>
    <row r="1541">
      <c r="A1541" t="inlineStr" s="25">
        <is>
          <t xml:space="preserve">Calculation</t>
        </is>
      </c>
      <c r="B1541">
        <f>IF(IF(DATE(2028,10,1)=EDATE(DATE(2028,5,1),-'Model inputs'!AM13*1)="",FALSE,DATE(2028,10,1)=EDATE(DATE(2028,5,1),-'Model inputs'!AM13*1)),IF('POA — Monthly financial forecas'!Z27="","",'POA — Monthly financial forecas'!Z27),"")</f>
      </c>
    </row>
    <row r="1542">
      <c r="A1542" t="inlineStr" s="25">
        <is>
          <t xml:space="preserve">Calculation</t>
        </is>
      </c>
      <c r="B1542">
        <f>IF(IF(DATE(2028,11,1)=EDATE(DATE(2028,5,1),-'Model inputs'!AM13*1)="",FALSE,DATE(2028,11,1)=EDATE(DATE(2028,5,1),-'Model inputs'!AM13*1)),IF('POA — Monthly financial forecas'!AA27="","",'POA — Monthly financial forecas'!AA27),"")</f>
      </c>
    </row>
    <row r="1543">
      <c r="A1543" t="inlineStr" s="25">
        <is>
          <t xml:space="preserve">Calculation</t>
        </is>
      </c>
      <c r="B1543">
        <f>IF(IF(DATE(2028,12,1)=EDATE(DATE(2028,5,1),-'Model inputs'!AM13*1)="",FALSE,DATE(2028,12,1)=EDATE(DATE(2028,5,1),-'Model inputs'!AM13*1)),IF('POA — Monthly financial forecas'!AB27="","",'POA — Monthly financial forecas'!AB27),"")</f>
      </c>
    </row>
    <row r="1544">
      <c r="A1544" t="inlineStr" s="25">
        <is>
          <t xml:space="preserve">Calculation</t>
        </is>
      </c>
      <c r="B1544">
        <f>IF(IF(DATE(2029,1,1)=EDATE(DATE(2028,5,1),-'Model inputs'!AM13*1)="",FALSE,DATE(2029,1,1)=EDATE(DATE(2028,5,1),-'Model inputs'!AM13*1)),IF('POA — Monthly financial forecas'!AC27="","",'POA — Monthly financial forecas'!AC27),"")</f>
      </c>
    </row>
    <row r="1545">
      <c r="A1545" t="inlineStr" s="25">
        <is>
          <t xml:space="preserve">Calculation</t>
        </is>
      </c>
      <c r="B1545">
        <f>IF(IF(DATE(2029,2,1)=EDATE(DATE(2028,5,1),-'Model inputs'!AM13*1)="",FALSE,DATE(2029,2,1)=EDATE(DATE(2028,5,1),-'Model inputs'!AM13*1)),IF('POA — Monthly financial forecas'!AD27="","",'POA — Monthly financial forecas'!AD27),"")</f>
      </c>
    </row>
    <row r="1546">
      <c r="A1546" t="inlineStr" s="25">
        <is>
          <t xml:space="preserve">Calculation</t>
        </is>
      </c>
      <c r="B1546">
        <f>IF(IF(DATE(2029,3,1)=EDATE(DATE(2028,5,1),-'Model inputs'!AM13*1)="",FALSE,DATE(2029,3,1)=EDATE(DATE(2028,5,1),-'Model inputs'!AM13*1)),IF('POA — Monthly financial forecas'!AE27="","",'POA — Monthly financial forecas'!AE27),"")</f>
      </c>
    </row>
    <row r="1547">
      <c r="A1547" t="inlineStr" s="25">
        <is>
          <t xml:space="preserve">Calculation</t>
        </is>
      </c>
      <c r="B1547">
        <f>IF(IF(DATE(2029,4,1)=EDATE(DATE(2028,5,1),-'Model inputs'!AM13*1)="",FALSE,DATE(2029,4,1)=EDATE(DATE(2028,5,1),-'Model inputs'!AM13*1)),IF('POA — Monthly financial forecas'!AF27="","",'POA — Monthly financial forecas'!AF27),"")</f>
      </c>
    </row>
    <row r="1548">
      <c r="A1548" t="inlineStr" s="25">
        <is>
          <t xml:space="preserve">Calculation</t>
        </is>
      </c>
      <c r="B1548">
        <f>IF(IF(DATE(2029,5,1)=EDATE(DATE(2028,5,1),-'Model inputs'!AM13*1)="",FALSE,DATE(2029,5,1)=EDATE(DATE(2028,5,1),-'Model inputs'!AM13*1)),IF('POA — Monthly financial forecas'!AG27="","",'POA — Monthly financial forecas'!AG27),"")</f>
      </c>
    </row>
    <row r="1549">
      <c r="A1549" t="inlineStr" s="25">
        <is>
          <t xml:space="preserve">Calculation</t>
        </is>
      </c>
      <c r="B1549">
        <f>IF(IF(DATE(2029,6,1)=EDATE(DATE(2028,5,1),-'Model inputs'!AM13*1)="",FALSE,DATE(2029,6,1)=EDATE(DATE(2028,5,1),-'Model inputs'!AM13*1)),IF('POA — Monthly financial forecas'!AH27="","",'POA — Monthly financial forecas'!AH27),"")</f>
      </c>
    </row>
    <row r="1550">
      <c r="A1550" t="inlineStr" s="25">
        <is>
          <t xml:space="preserve">Calculation</t>
        </is>
      </c>
      <c r="B1550">
        <f>IF(IF(DATE(2029,7,1)=EDATE(DATE(2028,5,1),-'Model inputs'!AM13*1)="",FALSE,DATE(2029,7,1)=EDATE(DATE(2028,5,1),-'Model inputs'!AM13*1)),IF('POA — Monthly financial forecas'!AI27="","",'POA — Monthly financial forecas'!AI27),"")</f>
      </c>
    </row>
    <row r="1551">
      <c r="A1551" t="inlineStr" s="25">
        <is>
          <t xml:space="preserve">Calculation</t>
        </is>
      </c>
      <c r="B1551">
        <f>IF(IF(DATE(2029,8,1)=EDATE(DATE(2028,5,1),-'Model inputs'!AM13*1)="",FALSE,DATE(2029,8,1)=EDATE(DATE(2028,5,1),-'Model inputs'!AM13*1)),IF('POA — Monthly financial forecas'!AJ27="","",'POA — Monthly financial forecas'!AJ27),"")</f>
      </c>
    </row>
    <row r="1552">
      <c r="A1552" t="inlineStr" s="25">
        <is>
          <t xml:space="preserve">Calculation</t>
        </is>
      </c>
      <c r="B1552">
        <f>IF(IF(DATE(2029,9,1)=EDATE(DATE(2028,5,1),-'Model inputs'!AM13*1)="",FALSE,DATE(2029,9,1)=EDATE(DATE(2028,5,1),-'Model inputs'!AM13*1)),IF('POA — Monthly financial forecas'!AK27="","",'POA — Monthly financial forecas'!AK27),"")</f>
      </c>
    </row>
    <row r="1553">
      <c r="A1553" t="inlineStr" s="25">
        <is>
          <t xml:space="preserve">Calculation</t>
        </is>
      </c>
      <c r="B1553">
        <f>IF(IF(DATE(2026,9,1)=EDATE(DATE(2028,5,1),-'Model inputs'!AM13*1)="",FALSE,DATE(2026,9,1)=EDATE(DATE(2028,5,1),-'Model inputs'!AM13*1)),IF('Model inputs'!B85="","",'Model inputs'!B85),"")</f>
      </c>
    </row>
    <row r="1554">
      <c r="A1554" t="inlineStr" s="25">
        <is>
          <t xml:space="preserve">Calculation</t>
        </is>
      </c>
      <c r="B1554">
        <f>SUM(IF(IF('Model inputs'!B1517="",0,1)="",0,IF('Model inputs'!B1517="",0,1)),IF(IF('Model inputs'!B1518="",0,1)="",0,IF('Model inputs'!B1518="",0,1)),IF(IF('Model inputs'!B1519="",0,1)="",0,IF('Model inputs'!B1519="",0,1)),IF(IF('Model inputs'!B1520="",0,1)="",0,IF('Model inputs'!B1520="",0,1)),IF(IF('Model inputs'!B1521="",0,1)="",0,IF('Model inputs'!B1521="",0,1)),IF(IF('Model inputs'!B1522="",0,1)="",0,IF('Model inputs'!B1522="",0,1)),IF(IF('Model inputs'!B1523="",0,1)="",0,IF('Model inputs'!B1523="",0,1)),IF(IF('Model inputs'!B1524="",0,1)="",0,IF('Model inputs'!B1524="",0,1)),IF(IF('Model inputs'!B1525="",0,1)="",0,IF('Model inputs'!B1525="",0,1)),IF(IF('Model inputs'!B1526="",0,1)="",0,IF('Model inputs'!B1526="",0,1)),IF(IF('Model inputs'!B1527="",0,1)="",0,IF('Model inputs'!B1527="",0,1)),IF(IF('Model inputs'!B1528="",0,1)="",0,IF('Model inputs'!B1528="",0,1)),IF(IF('Model inputs'!B1529="",0,1)="",0,IF('Model inputs'!B1529="",0,1)),IF(IF('Model inputs'!B1530="",0,1)="",0,IF('Model inputs'!B1530="",0,1)),IF(IF('Model inputs'!B1531="",0,1)="",0,IF('Model inputs'!B1531="",0,1)),IF(IF('Model inputs'!B1532="",0,1)="",0,IF('Model inputs'!B1532="",0,1)),IF(IF('Model inputs'!B1533="",0,1)="",0,IF('Model inputs'!B1533="",0,1)),IF(IF('Model inputs'!B1534="",0,1)="",0,IF('Model inputs'!B1534="",0,1)),IF(IF('Model inputs'!B1535="",0,1)="",0,IF('Model inputs'!B1535="",0,1)),IF(IF('Model inputs'!B1536="",0,1)="",0,IF('Model inputs'!B1536="",0,1)),IF(IF('Model inputs'!B1537="",0,1)="",0,IF('Model inputs'!B1537="",0,1)),IF(IF('Model inputs'!B1538="",0,1)="",0,IF('Model inputs'!B1538="",0,1)),IF(IF('Model inputs'!B1539="",0,1)="",0,IF('Model inputs'!B1539="",0,1)),IF(IF('Model inputs'!B1540="",0,1)="",0,IF('Model inputs'!B1540="",0,1)),IF(IF('Model inputs'!B1541="",0,1)="",0,IF('Model inputs'!B1541="",0,1)),IF(IF('Model inputs'!B1542="",0,1)="",0,IF('Model inputs'!B1542="",0,1)),IF(IF('Model inputs'!B1543="",0,1)="",0,IF('Model inputs'!B1543="",0,1)),IF(IF('Model inputs'!B1544="",0,1)="",0,IF('Model inputs'!B1544="",0,1)),IF(IF('Model inputs'!B1545="",0,1)="",0,IF('Model inputs'!B1545="",0,1)),IF(IF('Model inputs'!B1546="",0,1)="",0,IF('Model inputs'!B1546="",0,1)),IF(IF('Model inputs'!B1547="",0,1)="",0,IF('Model inputs'!B1547="",0,1)),IF(IF('Model inputs'!B1548="",0,1)="",0,IF('Model inputs'!B1548="",0,1)),IF(IF('Model inputs'!B1549="",0,1)="",0,IF('Model inputs'!B1549="",0,1)),IF(IF('Model inputs'!B1550="",0,1)="",0,IF('Model inputs'!B1550="",0,1)),IF(IF('Model inputs'!B1551="",0,1)="",0,IF('Model inputs'!B1551="",0,1)),IF(IF('Model inputs'!B1552="",0,1)="",0,IF('Model inputs'!B1552="",0,1)),IF(IF('Model inputs'!B1553="",0,1)="",0,IF('Model inputs'!B1553="",0,1)))</f>
      </c>
    </row>
    <row r="1555">
      <c r="A1555" t="inlineStr" s="25">
        <is>
          <t xml:space="preserve">Calculation</t>
        </is>
      </c>
      <c r="B1555">
        <f>IF(IF(DATE(2026,10,1)=EDATE(DATE(2028,6,1),-'Model inputs'!AM13*1)="",FALSE,DATE(2026,10,1)=EDATE(DATE(2028,6,1),-'Model inputs'!AM13*1)),IF('POA — Monthly financial forecas'!B27="","",'POA — Monthly financial forecas'!B27),"")</f>
      </c>
    </row>
    <row r="1556">
      <c r="A1556" t="inlineStr" s="25">
        <is>
          <t xml:space="preserve">Calculation</t>
        </is>
      </c>
      <c r="B1556">
        <f>IF(IF(DATE(2026,11,1)=EDATE(DATE(2028,6,1),-'Model inputs'!AM13*1)="",FALSE,DATE(2026,11,1)=EDATE(DATE(2028,6,1),-'Model inputs'!AM13*1)),IF('POA — Monthly financial forecas'!C27="","",'POA — Monthly financial forecas'!C27),"")</f>
      </c>
    </row>
    <row r="1557">
      <c r="A1557" t="inlineStr" s="25">
        <is>
          <t xml:space="preserve">Calculation</t>
        </is>
      </c>
      <c r="B1557">
        <f>IF(IF(DATE(2026,12,1)=EDATE(DATE(2028,6,1),-'Model inputs'!AM13*1)="",FALSE,DATE(2026,12,1)=EDATE(DATE(2028,6,1),-'Model inputs'!AM13*1)),IF('POA — Monthly financial forecas'!D27="","",'POA — Monthly financial forecas'!D27),"")</f>
      </c>
    </row>
    <row r="1558">
      <c r="A1558" t="inlineStr" s="25">
        <is>
          <t xml:space="preserve">Calculation</t>
        </is>
      </c>
      <c r="B1558">
        <f>IF(IF(DATE(2027,1,1)=EDATE(DATE(2028,6,1),-'Model inputs'!AM13*1)="",FALSE,DATE(2027,1,1)=EDATE(DATE(2028,6,1),-'Model inputs'!AM13*1)),IF('POA — Monthly financial forecas'!E27="","",'POA — Monthly financial forecas'!E27),"")</f>
      </c>
    </row>
    <row r="1559">
      <c r="A1559" t="inlineStr" s="25">
        <is>
          <t xml:space="preserve">Calculation</t>
        </is>
      </c>
      <c r="B1559">
        <f>IF(IF(DATE(2027,2,1)=EDATE(DATE(2028,6,1),-'Model inputs'!AM13*1)="",FALSE,DATE(2027,2,1)=EDATE(DATE(2028,6,1),-'Model inputs'!AM13*1)),IF('POA — Monthly financial forecas'!F27="","",'POA — Monthly financial forecas'!F27),"")</f>
      </c>
    </row>
    <row r="1560">
      <c r="A1560" t="inlineStr" s="25">
        <is>
          <t xml:space="preserve">Calculation</t>
        </is>
      </c>
      <c r="B1560">
        <f>IF(IF(DATE(2027,3,1)=EDATE(DATE(2028,6,1),-'Model inputs'!AM13*1)="",FALSE,DATE(2027,3,1)=EDATE(DATE(2028,6,1),-'Model inputs'!AM13*1)),IF('POA — Monthly financial forecas'!G27="","",'POA — Monthly financial forecas'!G27),"")</f>
      </c>
    </row>
    <row r="1561">
      <c r="A1561" t="inlineStr" s="25">
        <is>
          <t xml:space="preserve">Calculation</t>
        </is>
      </c>
      <c r="B1561">
        <f>IF(IF(DATE(2027,4,1)=EDATE(DATE(2028,6,1),-'Model inputs'!AM13*1)="",FALSE,DATE(2027,4,1)=EDATE(DATE(2028,6,1),-'Model inputs'!AM13*1)),IF('POA — Monthly financial forecas'!H27="","",'POA — Monthly financial forecas'!H27),"")</f>
      </c>
    </row>
    <row r="1562">
      <c r="A1562" t="inlineStr" s="25">
        <is>
          <t xml:space="preserve">Calculation</t>
        </is>
      </c>
      <c r="B1562">
        <f>IF(IF(DATE(2027,5,1)=EDATE(DATE(2028,6,1),-'Model inputs'!AM13*1)="",FALSE,DATE(2027,5,1)=EDATE(DATE(2028,6,1),-'Model inputs'!AM13*1)),IF('POA — Monthly financial forecas'!I27="","",'POA — Monthly financial forecas'!I27),"")</f>
      </c>
    </row>
    <row r="1563">
      <c r="A1563" t="inlineStr" s="25">
        <is>
          <t xml:space="preserve">Calculation</t>
        </is>
      </c>
      <c r="B1563">
        <f>IF(IF(DATE(2027,6,1)=EDATE(DATE(2028,6,1),-'Model inputs'!AM13*1)="",FALSE,DATE(2027,6,1)=EDATE(DATE(2028,6,1),-'Model inputs'!AM13*1)),IF('POA — Monthly financial forecas'!J27="","",'POA — Monthly financial forecas'!J27),"")</f>
      </c>
    </row>
    <row r="1564">
      <c r="A1564" t="inlineStr" s="25">
        <is>
          <t xml:space="preserve">Calculation</t>
        </is>
      </c>
      <c r="B1564">
        <f>IF(IF(DATE(2027,7,1)=EDATE(DATE(2028,6,1),-'Model inputs'!AM13*1)="",FALSE,DATE(2027,7,1)=EDATE(DATE(2028,6,1),-'Model inputs'!AM13*1)),IF('POA — Monthly financial forecas'!K27="","",'POA — Monthly financial forecas'!K27),"")</f>
      </c>
    </row>
    <row r="1565">
      <c r="A1565" t="inlineStr" s="25">
        <is>
          <t xml:space="preserve">Calculation</t>
        </is>
      </c>
      <c r="B1565">
        <f>IF(IF(DATE(2027,8,1)=EDATE(DATE(2028,6,1),-'Model inputs'!AM13*1)="",FALSE,DATE(2027,8,1)=EDATE(DATE(2028,6,1),-'Model inputs'!AM13*1)),IF('POA — Monthly financial forecas'!L27="","",'POA — Monthly financial forecas'!L27),"")</f>
      </c>
    </row>
    <row r="1566">
      <c r="A1566" t="inlineStr" s="25">
        <is>
          <t xml:space="preserve">Calculation</t>
        </is>
      </c>
      <c r="B1566">
        <f>IF(IF(DATE(2027,9,1)=EDATE(DATE(2028,6,1),-'Model inputs'!AM13*1)="",FALSE,DATE(2027,9,1)=EDATE(DATE(2028,6,1),-'Model inputs'!AM13*1)),IF('POA — Monthly financial forecas'!M27="","",'POA — Monthly financial forecas'!M27),"")</f>
      </c>
    </row>
    <row r="1567">
      <c r="A1567" t="inlineStr" s="25">
        <is>
          <t xml:space="preserve">Calculation</t>
        </is>
      </c>
      <c r="B1567">
        <f>IF(IF(DATE(2027,10,1)=EDATE(DATE(2028,6,1),-'Model inputs'!AM13*1)="",FALSE,DATE(2027,10,1)=EDATE(DATE(2028,6,1),-'Model inputs'!AM13*1)),IF('POA — Monthly financial forecas'!N27="","",'POA — Monthly financial forecas'!N27),"")</f>
      </c>
    </row>
    <row r="1568">
      <c r="A1568" t="inlineStr" s="25">
        <is>
          <t xml:space="preserve">Calculation</t>
        </is>
      </c>
      <c r="B1568">
        <f>IF(IF(DATE(2027,11,1)=EDATE(DATE(2028,6,1),-'Model inputs'!AM13*1)="",FALSE,DATE(2027,11,1)=EDATE(DATE(2028,6,1),-'Model inputs'!AM13*1)),IF('POA — Monthly financial forecas'!O27="","",'POA — Monthly financial forecas'!O27),"")</f>
      </c>
    </row>
    <row r="1569">
      <c r="A1569" t="inlineStr" s="25">
        <is>
          <t xml:space="preserve">Calculation</t>
        </is>
      </c>
      <c r="B1569">
        <f>IF(IF(DATE(2027,12,1)=EDATE(DATE(2028,6,1),-'Model inputs'!AM13*1)="",FALSE,DATE(2027,12,1)=EDATE(DATE(2028,6,1),-'Model inputs'!AM13*1)),IF('POA — Monthly financial forecas'!P27="","",'POA — Monthly financial forecas'!P27),"")</f>
      </c>
    </row>
    <row r="1570">
      <c r="A1570" t="inlineStr" s="25">
        <is>
          <t xml:space="preserve">Calculation</t>
        </is>
      </c>
      <c r="B1570">
        <f>IF(IF(DATE(2028,1,1)=EDATE(DATE(2028,6,1),-'Model inputs'!AM13*1)="",FALSE,DATE(2028,1,1)=EDATE(DATE(2028,6,1),-'Model inputs'!AM13*1)),IF('POA — Monthly financial forecas'!Q27="","",'POA — Monthly financial forecas'!Q27),"")</f>
      </c>
    </row>
    <row r="1571">
      <c r="A1571" t="inlineStr" s="25">
        <is>
          <t xml:space="preserve">Calculation</t>
        </is>
      </c>
      <c r="B1571">
        <f>IF(IF(DATE(2028,2,1)=EDATE(DATE(2028,6,1),-'Model inputs'!AM13*1)="",FALSE,DATE(2028,2,1)=EDATE(DATE(2028,6,1),-'Model inputs'!AM13*1)),IF('POA — Monthly financial forecas'!R27="","",'POA — Monthly financial forecas'!R27),"")</f>
      </c>
    </row>
    <row r="1572">
      <c r="A1572" t="inlineStr" s="25">
        <is>
          <t xml:space="preserve">Calculation</t>
        </is>
      </c>
      <c r="B1572">
        <f>IF(IF(DATE(2028,3,1)=EDATE(DATE(2028,6,1),-'Model inputs'!AM13*1)="",FALSE,DATE(2028,3,1)=EDATE(DATE(2028,6,1),-'Model inputs'!AM13*1)),IF('POA — Monthly financial forecas'!S27="","",'POA — Monthly financial forecas'!S27),"")</f>
      </c>
    </row>
    <row r="1573">
      <c r="A1573" t="inlineStr" s="25">
        <is>
          <t xml:space="preserve">Calculation</t>
        </is>
      </c>
      <c r="B1573">
        <f>IF(IF(DATE(2028,4,1)=EDATE(DATE(2028,6,1),-'Model inputs'!AM13*1)="",FALSE,DATE(2028,4,1)=EDATE(DATE(2028,6,1),-'Model inputs'!AM13*1)),IF('POA — Monthly financial forecas'!T27="","",'POA — Monthly financial forecas'!T27),"")</f>
      </c>
    </row>
    <row r="1574">
      <c r="A1574" t="inlineStr" s="25">
        <is>
          <t xml:space="preserve">Calculation</t>
        </is>
      </c>
      <c r="B1574">
        <f>IF(IF(DATE(2028,5,1)=EDATE(DATE(2028,6,1),-'Model inputs'!AM13*1)="",FALSE,DATE(2028,5,1)=EDATE(DATE(2028,6,1),-'Model inputs'!AM13*1)),IF('POA — Monthly financial forecas'!U27="","",'POA — Monthly financial forecas'!U27),"")</f>
      </c>
    </row>
    <row r="1575">
      <c r="A1575" t="inlineStr" s="25">
        <is>
          <t xml:space="preserve">Calculation</t>
        </is>
      </c>
      <c r="B1575">
        <f>IF(IF(DATE(2028,6,1)=EDATE(DATE(2028,6,1),-'Model inputs'!AM13*1)="",FALSE,DATE(2028,6,1)=EDATE(DATE(2028,6,1),-'Model inputs'!AM13*1)),IF('POA — Monthly financial forecas'!V27="","",'POA — Monthly financial forecas'!V27),"")</f>
      </c>
    </row>
    <row r="1576">
      <c r="A1576" t="inlineStr" s="25">
        <is>
          <t xml:space="preserve">Calculation</t>
        </is>
      </c>
      <c r="B1576">
        <f>IF(IF(DATE(2028,7,1)=EDATE(DATE(2028,6,1),-'Model inputs'!AM13*1)="",FALSE,DATE(2028,7,1)=EDATE(DATE(2028,6,1),-'Model inputs'!AM13*1)),IF('POA — Monthly financial forecas'!W27="","",'POA — Monthly financial forecas'!W27),"")</f>
      </c>
    </row>
    <row r="1577">
      <c r="A1577" t="inlineStr" s="25">
        <is>
          <t xml:space="preserve">Calculation</t>
        </is>
      </c>
      <c r="B1577">
        <f>IF(IF(DATE(2028,8,1)=EDATE(DATE(2028,6,1),-'Model inputs'!AM13*1)="",FALSE,DATE(2028,8,1)=EDATE(DATE(2028,6,1),-'Model inputs'!AM13*1)),IF('POA — Monthly financial forecas'!X27="","",'POA — Monthly financial forecas'!X27),"")</f>
      </c>
    </row>
    <row r="1578">
      <c r="A1578" t="inlineStr" s="25">
        <is>
          <t xml:space="preserve">Calculation</t>
        </is>
      </c>
      <c r="B1578">
        <f>IF(IF(DATE(2028,9,1)=EDATE(DATE(2028,6,1),-'Model inputs'!AM13*1)="",FALSE,DATE(2028,9,1)=EDATE(DATE(2028,6,1),-'Model inputs'!AM13*1)),IF('POA — Monthly financial forecas'!Y27="","",'POA — Monthly financial forecas'!Y27),"")</f>
      </c>
    </row>
    <row r="1579">
      <c r="A1579" t="inlineStr" s="25">
        <is>
          <t xml:space="preserve">Calculation</t>
        </is>
      </c>
      <c r="B1579">
        <f>IF(IF(DATE(2028,10,1)=EDATE(DATE(2028,6,1),-'Model inputs'!AM13*1)="",FALSE,DATE(2028,10,1)=EDATE(DATE(2028,6,1),-'Model inputs'!AM13*1)),IF('POA — Monthly financial forecas'!Z27="","",'POA — Monthly financial forecas'!Z27),"")</f>
      </c>
    </row>
    <row r="1580">
      <c r="A1580" t="inlineStr" s="25">
        <is>
          <t xml:space="preserve">Calculation</t>
        </is>
      </c>
      <c r="B1580">
        <f>IF(IF(DATE(2028,11,1)=EDATE(DATE(2028,6,1),-'Model inputs'!AM13*1)="",FALSE,DATE(2028,11,1)=EDATE(DATE(2028,6,1),-'Model inputs'!AM13*1)),IF('POA — Monthly financial forecas'!AA27="","",'POA — Monthly financial forecas'!AA27),"")</f>
      </c>
    </row>
    <row r="1581">
      <c r="A1581" t="inlineStr" s="25">
        <is>
          <t xml:space="preserve">Calculation</t>
        </is>
      </c>
      <c r="B1581">
        <f>IF(IF(DATE(2028,12,1)=EDATE(DATE(2028,6,1),-'Model inputs'!AM13*1)="",FALSE,DATE(2028,12,1)=EDATE(DATE(2028,6,1),-'Model inputs'!AM13*1)),IF('POA — Monthly financial forecas'!AB27="","",'POA — Monthly financial forecas'!AB27),"")</f>
      </c>
    </row>
    <row r="1582">
      <c r="A1582" t="inlineStr" s="25">
        <is>
          <t xml:space="preserve">Calculation</t>
        </is>
      </c>
      <c r="B1582">
        <f>IF(IF(DATE(2029,1,1)=EDATE(DATE(2028,6,1),-'Model inputs'!AM13*1)="",FALSE,DATE(2029,1,1)=EDATE(DATE(2028,6,1),-'Model inputs'!AM13*1)),IF('POA — Monthly financial forecas'!AC27="","",'POA — Monthly financial forecas'!AC27),"")</f>
      </c>
    </row>
    <row r="1583">
      <c r="A1583" t="inlineStr" s="25">
        <is>
          <t xml:space="preserve">Calculation</t>
        </is>
      </c>
      <c r="B1583">
        <f>IF(IF(DATE(2029,2,1)=EDATE(DATE(2028,6,1),-'Model inputs'!AM13*1)="",FALSE,DATE(2029,2,1)=EDATE(DATE(2028,6,1),-'Model inputs'!AM13*1)),IF('POA — Monthly financial forecas'!AD27="","",'POA — Monthly financial forecas'!AD27),"")</f>
      </c>
    </row>
    <row r="1584">
      <c r="A1584" t="inlineStr" s="25">
        <is>
          <t xml:space="preserve">Calculation</t>
        </is>
      </c>
      <c r="B1584">
        <f>IF(IF(DATE(2029,3,1)=EDATE(DATE(2028,6,1),-'Model inputs'!AM13*1)="",FALSE,DATE(2029,3,1)=EDATE(DATE(2028,6,1),-'Model inputs'!AM13*1)),IF('POA — Monthly financial forecas'!AE27="","",'POA — Monthly financial forecas'!AE27),"")</f>
      </c>
    </row>
    <row r="1585">
      <c r="A1585" t="inlineStr" s="25">
        <is>
          <t xml:space="preserve">Calculation</t>
        </is>
      </c>
      <c r="B1585">
        <f>IF(IF(DATE(2029,4,1)=EDATE(DATE(2028,6,1),-'Model inputs'!AM13*1)="",FALSE,DATE(2029,4,1)=EDATE(DATE(2028,6,1),-'Model inputs'!AM13*1)),IF('POA — Monthly financial forecas'!AF27="","",'POA — Monthly financial forecas'!AF27),"")</f>
      </c>
    </row>
    <row r="1586">
      <c r="A1586" t="inlineStr" s="25">
        <is>
          <t xml:space="preserve">Calculation</t>
        </is>
      </c>
      <c r="B1586">
        <f>IF(IF(DATE(2029,5,1)=EDATE(DATE(2028,6,1),-'Model inputs'!AM13*1)="",FALSE,DATE(2029,5,1)=EDATE(DATE(2028,6,1),-'Model inputs'!AM13*1)),IF('POA — Monthly financial forecas'!AG27="","",'POA — Monthly financial forecas'!AG27),"")</f>
      </c>
    </row>
    <row r="1587">
      <c r="A1587" t="inlineStr" s="25">
        <is>
          <t xml:space="preserve">Calculation</t>
        </is>
      </c>
      <c r="B1587">
        <f>IF(IF(DATE(2029,6,1)=EDATE(DATE(2028,6,1),-'Model inputs'!AM13*1)="",FALSE,DATE(2029,6,1)=EDATE(DATE(2028,6,1),-'Model inputs'!AM13*1)),IF('POA — Monthly financial forecas'!AH27="","",'POA — Monthly financial forecas'!AH27),"")</f>
      </c>
    </row>
    <row r="1588">
      <c r="A1588" t="inlineStr" s="25">
        <is>
          <t xml:space="preserve">Calculation</t>
        </is>
      </c>
      <c r="B1588">
        <f>IF(IF(DATE(2029,7,1)=EDATE(DATE(2028,6,1),-'Model inputs'!AM13*1)="",FALSE,DATE(2029,7,1)=EDATE(DATE(2028,6,1),-'Model inputs'!AM13*1)),IF('POA — Monthly financial forecas'!AI27="","",'POA — Monthly financial forecas'!AI27),"")</f>
      </c>
    </row>
    <row r="1589">
      <c r="A1589" t="inlineStr" s="25">
        <is>
          <t xml:space="preserve">Calculation</t>
        </is>
      </c>
      <c r="B1589">
        <f>IF(IF(DATE(2029,8,1)=EDATE(DATE(2028,6,1),-'Model inputs'!AM13*1)="",FALSE,DATE(2029,8,1)=EDATE(DATE(2028,6,1),-'Model inputs'!AM13*1)),IF('POA — Monthly financial forecas'!AJ27="","",'POA — Monthly financial forecas'!AJ27),"")</f>
      </c>
    </row>
    <row r="1590">
      <c r="A1590" t="inlineStr" s="25">
        <is>
          <t xml:space="preserve">Calculation</t>
        </is>
      </c>
      <c r="B1590">
        <f>IF(IF(DATE(2029,9,1)=EDATE(DATE(2028,6,1),-'Model inputs'!AM13*1)="",FALSE,DATE(2029,9,1)=EDATE(DATE(2028,6,1),-'Model inputs'!AM13*1)),IF('POA — Monthly financial forecas'!AK27="","",'POA — Monthly financial forecas'!AK27),"")</f>
      </c>
    </row>
    <row r="1591">
      <c r="A1591" t="inlineStr" s="25">
        <is>
          <t xml:space="preserve">Calculation</t>
        </is>
      </c>
      <c r="B1591">
        <f>IF(IF(DATE(2026,9,1)=EDATE(DATE(2028,6,1),-'Model inputs'!AM13*1)="",FALSE,DATE(2026,9,1)=EDATE(DATE(2028,6,1),-'Model inputs'!AM13*1)),IF('Model inputs'!B85="","",'Model inputs'!B85),"")</f>
      </c>
    </row>
    <row r="1592">
      <c r="A1592" t="inlineStr" s="25">
        <is>
          <t xml:space="preserve">Calculation</t>
        </is>
      </c>
      <c r="B1592">
        <f>SUM(IF(IF('Model inputs'!B1555="",0,1)="",0,IF('Model inputs'!B1555="",0,1)),IF(IF('Model inputs'!B1556="",0,1)="",0,IF('Model inputs'!B1556="",0,1)),IF(IF('Model inputs'!B1557="",0,1)="",0,IF('Model inputs'!B1557="",0,1)),IF(IF('Model inputs'!B1558="",0,1)="",0,IF('Model inputs'!B1558="",0,1)),IF(IF('Model inputs'!B1559="",0,1)="",0,IF('Model inputs'!B1559="",0,1)),IF(IF('Model inputs'!B1560="",0,1)="",0,IF('Model inputs'!B1560="",0,1)),IF(IF('Model inputs'!B1561="",0,1)="",0,IF('Model inputs'!B1561="",0,1)),IF(IF('Model inputs'!B1562="",0,1)="",0,IF('Model inputs'!B1562="",0,1)),IF(IF('Model inputs'!B1563="",0,1)="",0,IF('Model inputs'!B1563="",0,1)),IF(IF('Model inputs'!B1564="",0,1)="",0,IF('Model inputs'!B1564="",0,1)),IF(IF('Model inputs'!B1565="",0,1)="",0,IF('Model inputs'!B1565="",0,1)),IF(IF('Model inputs'!B1566="",0,1)="",0,IF('Model inputs'!B1566="",0,1)),IF(IF('Model inputs'!B1567="",0,1)="",0,IF('Model inputs'!B1567="",0,1)),IF(IF('Model inputs'!B1568="",0,1)="",0,IF('Model inputs'!B1568="",0,1)),IF(IF('Model inputs'!B1569="",0,1)="",0,IF('Model inputs'!B1569="",0,1)),IF(IF('Model inputs'!B1570="",0,1)="",0,IF('Model inputs'!B1570="",0,1)),IF(IF('Model inputs'!B1571="",0,1)="",0,IF('Model inputs'!B1571="",0,1)),IF(IF('Model inputs'!B1572="",0,1)="",0,IF('Model inputs'!B1572="",0,1)),IF(IF('Model inputs'!B1573="",0,1)="",0,IF('Model inputs'!B1573="",0,1)),IF(IF('Model inputs'!B1574="",0,1)="",0,IF('Model inputs'!B1574="",0,1)),IF(IF('Model inputs'!B1575="",0,1)="",0,IF('Model inputs'!B1575="",0,1)),IF(IF('Model inputs'!B1576="",0,1)="",0,IF('Model inputs'!B1576="",0,1)),IF(IF('Model inputs'!B1577="",0,1)="",0,IF('Model inputs'!B1577="",0,1)),IF(IF('Model inputs'!B1578="",0,1)="",0,IF('Model inputs'!B1578="",0,1)),IF(IF('Model inputs'!B1579="",0,1)="",0,IF('Model inputs'!B1579="",0,1)),IF(IF('Model inputs'!B1580="",0,1)="",0,IF('Model inputs'!B1580="",0,1)),IF(IF('Model inputs'!B1581="",0,1)="",0,IF('Model inputs'!B1581="",0,1)),IF(IF('Model inputs'!B1582="",0,1)="",0,IF('Model inputs'!B1582="",0,1)),IF(IF('Model inputs'!B1583="",0,1)="",0,IF('Model inputs'!B1583="",0,1)),IF(IF('Model inputs'!B1584="",0,1)="",0,IF('Model inputs'!B1584="",0,1)),IF(IF('Model inputs'!B1585="",0,1)="",0,IF('Model inputs'!B1585="",0,1)),IF(IF('Model inputs'!B1586="",0,1)="",0,IF('Model inputs'!B1586="",0,1)),IF(IF('Model inputs'!B1587="",0,1)="",0,IF('Model inputs'!B1587="",0,1)),IF(IF('Model inputs'!B1588="",0,1)="",0,IF('Model inputs'!B1588="",0,1)),IF(IF('Model inputs'!B1589="",0,1)="",0,IF('Model inputs'!B1589="",0,1)),IF(IF('Model inputs'!B1590="",0,1)="",0,IF('Model inputs'!B1590="",0,1)),IF(IF('Model inputs'!B1591="",0,1)="",0,IF('Model inputs'!B1591="",0,1)))</f>
      </c>
    </row>
    <row r="1593">
      <c r="A1593" t="inlineStr" s="25">
        <is>
          <t xml:space="preserve">Calculation</t>
        </is>
      </c>
      <c r="B1593">
        <f>IF(IF(DATE(2026,10,1)=EDATE(DATE(2028,7,1),-'Model inputs'!AM13*1)="",FALSE,DATE(2026,10,1)=EDATE(DATE(2028,7,1),-'Model inputs'!AM13*1)),IF('POA — Monthly financial forecas'!B27="","",'POA — Monthly financial forecas'!B27),"")</f>
      </c>
    </row>
    <row r="1594">
      <c r="A1594" t="inlineStr" s="25">
        <is>
          <t xml:space="preserve">Calculation</t>
        </is>
      </c>
      <c r="B1594">
        <f>IF(IF(DATE(2026,11,1)=EDATE(DATE(2028,7,1),-'Model inputs'!AM13*1)="",FALSE,DATE(2026,11,1)=EDATE(DATE(2028,7,1),-'Model inputs'!AM13*1)),IF('POA — Monthly financial forecas'!C27="","",'POA — Monthly financial forecas'!C27),"")</f>
      </c>
    </row>
    <row r="1595">
      <c r="A1595" t="inlineStr" s="25">
        <is>
          <t xml:space="preserve">Calculation</t>
        </is>
      </c>
      <c r="B1595">
        <f>IF(IF(DATE(2026,12,1)=EDATE(DATE(2028,7,1),-'Model inputs'!AM13*1)="",FALSE,DATE(2026,12,1)=EDATE(DATE(2028,7,1),-'Model inputs'!AM13*1)),IF('POA — Monthly financial forecas'!D27="","",'POA — Monthly financial forecas'!D27),"")</f>
      </c>
    </row>
    <row r="1596">
      <c r="A1596" t="inlineStr" s="25">
        <is>
          <t xml:space="preserve">Calculation</t>
        </is>
      </c>
      <c r="B1596">
        <f>IF(IF(DATE(2027,1,1)=EDATE(DATE(2028,7,1),-'Model inputs'!AM13*1)="",FALSE,DATE(2027,1,1)=EDATE(DATE(2028,7,1),-'Model inputs'!AM13*1)),IF('POA — Monthly financial forecas'!E27="","",'POA — Monthly financial forecas'!E27),"")</f>
      </c>
    </row>
    <row r="1597">
      <c r="A1597" t="inlineStr" s="25">
        <is>
          <t xml:space="preserve">Calculation</t>
        </is>
      </c>
      <c r="B1597">
        <f>IF(IF(DATE(2027,2,1)=EDATE(DATE(2028,7,1),-'Model inputs'!AM13*1)="",FALSE,DATE(2027,2,1)=EDATE(DATE(2028,7,1),-'Model inputs'!AM13*1)),IF('POA — Monthly financial forecas'!F27="","",'POA — Monthly financial forecas'!F27),"")</f>
      </c>
    </row>
    <row r="1598">
      <c r="A1598" t="inlineStr" s="25">
        <is>
          <t xml:space="preserve">Calculation</t>
        </is>
      </c>
      <c r="B1598">
        <f>IF(IF(DATE(2027,3,1)=EDATE(DATE(2028,7,1),-'Model inputs'!AM13*1)="",FALSE,DATE(2027,3,1)=EDATE(DATE(2028,7,1),-'Model inputs'!AM13*1)),IF('POA — Monthly financial forecas'!G27="","",'POA — Monthly financial forecas'!G27),"")</f>
      </c>
    </row>
    <row r="1599">
      <c r="A1599" t="inlineStr" s="25">
        <is>
          <t xml:space="preserve">Calculation</t>
        </is>
      </c>
      <c r="B1599">
        <f>IF(IF(DATE(2027,4,1)=EDATE(DATE(2028,7,1),-'Model inputs'!AM13*1)="",FALSE,DATE(2027,4,1)=EDATE(DATE(2028,7,1),-'Model inputs'!AM13*1)),IF('POA — Monthly financial forecas'!H27="","",'POA — Monthly financial forecas'!H27),"")</f>
      </c>
    </row>
    <row r="1600">
      <c r="A1600" t="inlineStr" s="25">
        <is>
          <t xml:space="preserve">Calculation</t>
        </is>
      </c>
      <c r="B1600">
        <f>IF(IF(DATE(2027,5,1)=EDATE(DATE(2028,7,1),-'Model inputs'!AM13*1)="",FALSE,DATE(2027,5,1)=EDATE(DATE(2028,7,1),-'Model inputs'!AM13*1)),IF('POA — Monthly financial forecas'!I27="","",'POA — Monthly financial forecas'!I27),"")</f>
      </c>
    </row>
    <row r="1601">
      <c r="A1601" t="inlineStr" s="25">
        <is>
          <t xml:space="preserve">Calculation</t>
        </is>
      </c>
      <c r="B1601">
        <f>IF(IF(DATE(2027,6,1)=EDATE(DATE(2028,7,1),-'Model inputs'!AM13*1)="",FALSE,DATE(2027,6,1)=EDATE(DATE(2028,7,1),-'Model inputs'!AM13*1)),IF('POA — Monthly financial forecas'!J27="","",'POA — Monthly financial forecas'!J27),"")</f>
      </c>
    </row>
    <row r="1602">
      <c r="A1602" t="inlineStr" s="25">
        <is>
          <t xml:space="preserve">Calculation</t>
        </is>
      </c>
      <c r="B1602">
        <f>IF(IF(DATE(2027,7,1)=EDATE(DATE(2028,7,1),-'Model inputs'!AM13*1)="",FALSE,DATE(2027,7,1)=EDATE(DATE(2028,7,1),-'Model inputs'!AM13*1)),IF('POA — Monthly financial forecas'!K27="","",'POA — Monthly financial forecas'!K27),"")</f>
      </c>
    </row>
    <row r="1603">
      <c r="A1603" t="inlineStr" s="25">
        <is>
          <t xml:space="preserve">Calculation</t>
        </is>
      </c>
      <c r="B1603">
        <f>IF(IF(DATE(2027,8,1)=EDATE(DATE(2028,7,1),-'Model inputs'!AM13*1)="",FALSE,DATE(2027,8,1)=EDATE(DATE(2028,7,1),-'Model inputs'!AM13*1)),IF('POA — Monthly financial forecas'!L27="","",'POA — Monthly financial forecas'!L27),"")</f>
      </c>
    </row>
    <row r="1604">
      <c r="A1604" t="inlineStr" s="25">
        <is>
          <t xml:space="preserve">Calculation</t>
        </is>
      </c>
      <c r="B1604">
        <f>IF(IF(DATE(2027,9,1)=EDATE(DATE(2028,7,1),-'Model inputs'!AM13*1)="",FALSE,DATE(2027,9,1)=EDATE(DATE(2028,7,1),-'Model inputs'!AM13*1)),IF('POA — Monthly financial forecas'!M27="","",'POA — Monthly financial forecas'!M27),"")</f>
      </c>
    </row>
    <row r="1605">
      <c r="A1605" t="inlineStr" s="25">
        <is>
          <t xml:space="preserve">Calculation</t>
        </is>
      </c>
      <c r="B1605">
        <f>IF(IF(DATE(2027,10,1)=EDATE(DATE(2028,7,1),-'Model inputs'!AM13*1)="",FALSE,DATE(2027,10,1)=EDATE(DATE(2028,7,1),-'Model inputs'!AM13*1)),IF('POA — Monthly financial forecas'!N27="","",'POA — Monthly financial forecas'!N27),"")</f>
      </c>
    </row>
    <row r="1606">
      <c r="A1606" t="inlineStr" s="25">
        <is>
          <t xml:space="preserve">Calculation</t>
        </is>
      </c>
      <c r="B1606">
        <f>IF(IF(DATE(2027,11,1)=EDATE(DATE(2028,7,1),-'Model inputs'!AM13*1)="",FALSE,DATE(2027,11,1)=EDATE(DATE(2028,7,1),-'Model inputs'!AM13*1)),IF('POA — Monthly financial forecas'!O27="","",'POA — Monthly financial forecas'!O27),"")</f>
      </c>
    </row>
    <row r="1607">
      <c r="A1607" t="inlineStr" s="25">
        <is>
          <t xml:space="preserve">Calculation</t>
        </is>
      </c>
      <c r="B1607">
        <f>IF(IF(DATE(2027,12,1)=EDATE(DATE(2028,7,1),-'Model inputs'!AM13*1)="",FALSE,DATE(2027,12,1)=EDATE(DATE(2028,7,1),-'Model inputs'!AM13*1)),IF('POA — Monthly financial forecas'!P27="","",'POA — Monthly financial forecas'!P27),"")</f>
      </c>
    </row>
    <row r="1608">
      <c r="A1608" t="inlineStr" s="25">
        <is>
          <t xml:space="preserve">Calculation</t>
        </is>
      </c>
      <c r="B1608">
        <f>IF(IF(DATE(2028,1,1)=EDATE(DATE(2028,7,1),-'Model inputs'!AM13*1)="",FALSE,DATE(2028,1,1)=EDATE(DATE(2028,7,1),-'Model inputs'!AM13*1)),IF('POA — Monthly financial forecas'!Q27="","",'POA — Monthly financial forecas'!Q27),"")</f>
      </c>
    </row>
    <row r="1609">
      <c r="A1609" t="inlineStr" s="25">
        <is>
          <t xml:space="preserve">Calculation</t>
        </is>
      </c>
      <c r="B1609">
        <f>IF(IF(DATE(2028,2,1)=EDATE(DATE(2028,7,1),-'Model inputs'!AM13*1)="",FALSE,DATE(2028,2,1)=EDATE(DATE(2028,7,1),-'Model inputs'!AM13*1)),IF('POA — Monthly financial forecas'!R27="","",'POA — Monthly financial forecas'!R27),"")</f>
      </c>
    </row>
    <row r="1610">
      <c r="A1610" t="inlineStr" s="25">
        <is>
          <t xml:space="preserve">Calculation</t>
        </is>
      </c>
      <c r="B1610">
        <f>IF(IF(DATE(2028,3,1)=EDATE(DATE(2028,7,1),-'Model inputs'!AM13*1)="",FALSE,DATE(2028,3,1)=EDATE(DATE(2028,7,1),-'Model inputs'!AM13*1)),IF('POA — Monthly financial forecas'!S27="","",'POA — Monthly financial forecas'!S27),"")</f>
      </c>
    </row>
    <row r="1611">
      <c r="A1611" t="inlineStr" s="25">
        <is>
          <t xml:space="preserve">Calculation</t>
        </is>
      </c>
      <c r="B1611">
        <f>IF(IF(DATE(2028,4,1)=EDATE(DATE(2028,7,1),-'Model inputs'!AM13*1)="",FALSE,DATE(2028,4,1)=EDATE(DATE(2028,7,1),-'Model inputs'!AM13*1)),IF('POA — Monthly financial forecas'!T27="","",'POA — Monthly financial forecas'!T27),"")</f>
      </c>
    </row>
    <row r="1612">
      <c r="A1612" t="inlineStr" s="25">
        <is>
          <t xml:space="preserve">Calculation</t>
        </is>
      </c>
      <c r="B1612">
        <f>IF(IF(DATE(2028,5,1)=EDATE(DATE(2028,7,1),-'Model inputs'!AM13*1)="",FALSE,DATE(2028,5,1)=EDATE(DATE(2028,7,1),-'Model inputs'!AM13*1)),IF('POA — Monthly financial forecas'!U27="","",'POA — Monthly financial forecas'!U27),"")</f>
      </c>
    </row>
    <row r="1613">
      <c r="A1613" t="inlineStr" s="25">
        <is>
          <t xml:space="preserve">Calculation</t>
        </is>
      </c>
      <c r="B1613">
        <f>IF(IF(DATE(2028,6,1)=EDATE(DATE(2028,7,1),-'Model inputs'!AM13*1)="",FALSE,DATE(2028,6,1)=EDATE(DATE(2028,7,1),-'Model inputs'!AM13*1)),IF('POA — Monthly financial forecas'!V27="","",'POA — Monthly financial forecas'!V27),"")</f>
      </c>
    </row>
    <row r="1614">
      <c r="A1614" t="inlineStr" s="25">
        <is>
          <t xml:space="preserve">Calculation</t>
        </is>
      </c>
      <c r="B1614">
        <f>IF(IF(DATE(2028,7,1)=EDATE(DATE(2028,7,1),-'Model inputs'!AM13*1)="",FALSE,DATE(2028,7,1)=EDATE(DATE(2028,7,1),-'Model inputs'!AM13*1)),IF('POA — Monthly financial forecas'!W27="","",'POA — Monthly financial forecas'!W27),"")</f>
      </c>
    </row>
    <row r="1615">
      <c r="A1615" t="inlineStr" s="25">
        <is>
          <t xml:space="preserve">Calculation</t>
        </is>
      </c>
      <c r="B1615">
        <f>IF(IF(DATE(2028,8,1)=EDATE(DATE(2028,7,1),-'Model inputs'!AM13*1)="",FALSE,DATE(2028,8,1)=EDATE(DATE(2028,7,1),-'Model inputs'!AM13*1)),IF('POA — Monthly financial forecas'!X27="","",'POA — Monthly financial forecas'!X27),"")</f>
      </c>
    </row>
    <row r="1616">
      <c r="A1616" t="inlineStr" s="25">
        <is>
          <t xml:space="preserve">Calculation</t>
        </is>
      </c>
      <c r="B1616">
        <f>IF(IF(DATE(2028,9,1)=EDATE(DATE(2028,7,1),-'Model inputs'!AM13*1)="",FALSE,DATE(2028,9,1)=EDATE(DATE(2028,7,1),-'Model inputs'!AM13*1)),IF('POA — Monthly financial forecas'!Y27="","",'POA — Monthly financial forecas'!Y27),"")</f>
      </c>
    </row>
    <row r="1617">
      <c r="A1617" t="inlineStr" s="25">
        <is>
          <t xml:space="preserve">Calculation</t>
        </is>
      </c>
      <c r="B1617">
        <f>IF(IF(DATE(2028,10,1)=EDATE(DATE(2028,7,1),-'Model inputs'!AM13*1)="",FALSE,DATE(2028,10,1)=EDATE(DATE(2028,7,1),-'Model inputs'!AM13*1)),IF('POA — Monthly financial forecas'!Z27="","",'POA — Monthly financial forecas'!Z27),"")</f>
      </c>
    </row>
    <row r="1618">
      <c r="A1618" t="inlineStr" s="25">
        <is>
          <t xml:space="preserve">Calculation</t>
        </is>
      </c>
      <c r="B1618">
        <f>IF(IF(DATE(2028,11,1)=EDATE(DATE(2028,7,1),-'Model inputs'!AM13*1)="",FALSE,DATE(2028,11,1)=EDATE(DATE(2028,7,1),-'Model inputs'!AM13*1)),IF('POA — Monthly financial forecas'!AA27="","",'POA — Monthly financial forecas'!AA27),"")</f>
      </c>
    </row>
    <row r="1619">
      <c r="A1619" t="inlineStr" s="25">
        <is>
          <t xml:space="preserve">Calculation</t>
        </is>
      </c>
      <c r="B1619">
        <f>IF(IF(DATE(2028,12,1)=EDATE(DATE(2028,7,1),-'Model inputs'!AM13*1)="",FALSE,DATE(2028,12,1)=EDATE(DATE(2028,7,1),-'Model inputs'!AM13*1)),IF('POA — Monthly financial forecas'!AB27="","",'POA — Monthly financial forecas'!AB27),"")</f>
      </c>
    </row>
    <row r="1620">
      <c r="A1620" t="inlineStr" s="25">
        <is>
          <t xml:space="preserve">Calculation</t>
        </is>
      </c>
      <c r="B1620">
        <f>IF(IF(DATE(2029,1,1)=EDATE(DATE(2028,7,1),-'Model inputs'!AM13*1)="",FALSE,DATE(2029,1,1)=EDATE(DATE(2028,7,1),-'Model inputs'!AM13*1)),IF('POA — Monthly financial forecas'!AC27="","",'POA — Monthly financial forecas'!AC27),"")</f>
      </c>
    </row>
    <row r="1621">
      <c r="A1621" t="inlineStr" s="25">
        <is>
          <t xml:space="preserve">Calculation</t>
        </is>
      </c>
      <c r="B1621">
        <f>IF(IF(DATE(2029,2,1)=EDATE(DATE(2028,7,1),-'Model inputs'!AM13*1)="",FALSE,DATE(2029,2,1)=EDATE(DATE(2028,7,1),-'Model inputs'!AM13*1)),IF('POA — Monthly financial forecas'!AD27="","",'POA — Monthly financial forecas'!AD27),"")</f>
      </c>
    </row>
    <row r="1622">
      <c r="A1622" t="inlineStr" s="25">
        <is>
          <t xml:space="preserve">Calculation</t>
        </is>
      </c>
      <c r="B1622">
        <f>IF(IF(DATE(2029,3,1)=EDATE(DATE(2028,7,1),-'Model inputs'!AM13*1)="",FALSE,DATE(2029,3,1)=EDATE(DATE(2028,7,1),-'Model inputs'!AM13*1)),IF('POA — Monthly financial forecas'!AE27="","",'POA — Monthly financial forecas'!AE27),"")</f>
      </c>
    </row>
    <row r="1623">
      <c r="A1623" t="inlineStr" s="25">
        <is>
          <t xml:space="preserve">Calculation</t>
        </is>
      </c>
      <c r="B1623">
        <f>IF(IF(DATE(2029,4,1)=EDATE(DATE(2028,7,1),-'Model inputs'!AM13*1)="",FALSE,DATE(2029,4,1)=EDATE(DATE(2028,7,1),-'Model inputs'!AM13*1)),IF('POA — Monthly financial forecas'!AF27="","",'POA — Monthly financial forecas'!AF27),"")</f>
      </c>
    </row>
    <row r="1624">
      <c r="A1624" t="inlineStr" s="25">
        <is>
          <t xml:space="preserve">Calculation</t>
        </is>
      </c>
      <c r="B1624">
        <f>IF(IF(DATE(2029,5,1)=EDATE(DATE(2028,7,1),-'Model inputs'!AM13*1)="",FALSE,DATE(2029,5,1)=EDATE(DATE(2028,7,1),-'Model inputs'!AM13*1)),IF('POA — Monthly financial forecas'!AG27="","",'POA — Monthly financial forecas'!AG27),"")</f>
      </c>
    </row>
    <row r="1625">
      <c r="A1625" t="inlineStr" s="25">
        <is>
          <t xml:space="preserve">Calculation</t>
        </is>
      </c>
      <c r="B1625">
        <f>IF(IF(DATE(2029,6,1)=EDATE(DATE(2028,7,1),-'Model inputs'!AM13*1)="",FALSE,DATE(2029,6,1)=EDATE(DATE(2028,7,1),-'Model inputs'!AM13*1)),IF('POA — Monthly financial forecas'!AH27="","",'POA — Monthly financial forecas'!AH27),"")</f>
      </c>
    </row>
    <row r="1626">
      <c r="A1626" t="inlineStr" s="25">
        <is>
          <t xml:space="preserve">Calculation</t>
        </is>
      </c>
      <c r="B1626">
        <f>IF(IF(DATE(2029,7,1)=EDATE(DATE(2028,7,1),-'Model inputs'!AM13*1)="",FALSE,DATE(2029,7,1)=EDATE(DATE(2028,7,1),-'Model inputs'!AM13*1)),IF('POA — Monthly financial forecas'!AI27="","",'POA — Monthly financial forecas'!AI27),"")</f>
      </c>
    </row>
    <row r="1627">
      <c r="A1627" t="inlineStr" s="25">
        <is>
          <t xml:space="preserve">Calculation</t>
        </is>
      </c>
      <c r="B1627">
        <f>IF(IF(DATE(2029,8,1)=EDATE(DATE(2028,7,1),-'Model inputs'!AM13*1)="",FALSE,DATE(2029,8,1)=EDATE(DATE(2028,7,1),-'Model inputs'!AM13*1)),IF('POA — Monthly financial forecas'!AJ27="","",'POA — Monthly financial forecas'!AJ27),"")</f>
      </c>
    </row>
    <row r="1628">
      <c r="A1628" t="inlineStr" s="25">
        <is>
          <t xml:space="preserve">Calculation</t>
        </is>
      </c>
      <c r="B1628">
        <f>IF(IF(DATE(2029,9,1)=EDATE(DATE(2028,7,1),-'Model inputs'!AM13*1)="",FALSE,DATE(2029,9,1)=EDATE(DATE(2028,7,1),-'Model inputs'!AM13*1)),IF('POA — Monthly financial forecas'!AK27="","",'POA — Monthly financial forecas'!AK27),"")</f>
      </c>
    </row>
    <row r="1629">
      <c r="A1629" t="inlineStr" s="25">
        <is>
          <t xml:space="preserve">Calculation</t>
        </is>
      </c>
      <c r="B1629">
        <f>IF(IF(DATE(2026,9,1)=EDATE(DATE(2028,7,1),-'Model inputs'!AM13*1)="",FALSE,DATE(2026,9,1)=EDATE(DATE(2028,7,1),-'Model inputs'!AM13*1)),IF('Model inputs'!B85="","",'Model inputs'!B85),"")</f>
      </c>
    </row>
    <row r="1630">
      <c r="A1630" t="inlineStr" s="25">
        <is>
          <t xml:space="preserve">Calculation</t>
        </is>
      </c>
      <c r="B1630">
        <f>SUM(IF(IF('Model inputs'!B1593="",0,1)="",0,IF('Model inputs'!B1593="",0,1)),IF(IF('Model inputs'!B1594="",0,1)="",0,IF('Model inputs'!B1594="",0,1)),IF(IF('Model inputs'!B1595="",0,1)="",0,IF('Model inputs'!B1595="",0,1)),IF(IF('Model inputs'!B1596="",0,1)="",0,IF('Model inputs'!B1596="",0,1)),IF(IF('Model inputs'!B1597="",0,1)="",0,IF('Model inputs'!B1597="",0,1)),IF(IF('Model inputs'!B1598="",0,1)="",0,IF('Model inputs'!B1598="",0,1)),IF(IF('Model inputs'!B1599="",0,1)="",0,IF('Model inputs'!B1599="",0,1)),IF(IF('Model inputs'!B1600="",0,1)="",0,IF('Model inputs'!B1600="",0,1)),IF(IF('Model inputs'!B1601="",0,1)="",0,IF('Model inputs'!B1601="",0,1)),IF(IF('Model inputs'!B1602="",0,1)="",0,IF('Model inputs'!B1602="",0,1)),IF(IF('Model inputs'!B1603="",0,1)="",0,IF('Model inputs'!B1603="",0,1)),IF(IF('Model inputs'!B1604="",0,1)="",0,IF('Model inputs'!B1604="",0,1)),IF(IF('Model inputs'!B1605="",0,1)="",0,IF('Model inputs'!B1605="",0,1)),IF(IF('Model inputs'!B1606="",0,1)="",0,IF('Model inputs'!B1606="",0,1)),IF(IF('Model inputs'!B1607="",0,1)="",0,IF('Model inputs'!B1607="",0,1)),IF(IF('Model inputs'!B1608="",0,1)="",0,IF('Model inputs'!B1608="",0,1)),IF(IF('Model inputs'!B1609="",0,1)="",0,IF('Model inputs'!B1609="",0,1)),IF(IF('Model inputs'!B1610="",0,1)="",0,IF('Model inputs'!B1610="",0,1)),IF(IF('Model inputs'!B1611="",0,1)="",0,IF('Model inputs'!B1611="",0,1)),IF(IF('Model inputs'!B1612="",0,1)="",0,IF('Model inputs'!B1612="",0,1)),IF(IF('Model inputs'!B1613="",0,1)="",0,IF('Model inputs'!B1613="",0,1)),IF(IF('Model inputs'!B1614="",0,1)="",0,IF('Model inputs'!B1614="",0,1)),IF(IF('Model inputs'!B1615="",0,1)="",0,IF('Model inputs'!B1615="",0,1)),IF(IF('Model inputs'!B1616="",0,1)="",0,IF('Model inputs'!B1616="",0,1)),IF(IF('Model inputs'!B1617="",0,1)="",0,IF('Model inputs'!B1617="",0,1)),IF(IF('Model inputs'!B1618="",0,1)="",0,IF('Model inputs'!B1618="",0,1)),IF(IF('Model inputs'!B1619="",0,1)="",0,IF('Model inputs'!B1619="",0,1)),IF(IF('Model inputs'!B1620="",0,1)="",0,IF('Model inputs'!B1620="",0,1)),IF(IF('Model inputs'!B1621="",0,1)="",0,IF('Model inputs'!B1621="",0,1)),IF(IF('Model inputs'!B1622="",0,1)="",0,IF('Model inputs'!B1622="",0,1)),IF(IF('Model inputs'!B1623="",0,1)="",0,IF('Model inputs'!B1623="",0,1)),IF(IF('Model inputs'!B1624="",0,1)="",0,IF('Model inputs'!B1624="",0,1)),IF(IF('Model inputs'!B1625="",0,1)="",0,IF('Model inputs'!B1625="",0,1)),IF(IF('Model inputs'!B1626="",0,1)="",0,IF('Model inputs'!B1626="",0,1)),IF(IF('Model inputs'!B1627="",0,1)="",0,IF('Model inputs'!B1627="",0,1)),IF(IF('Model inputs'!B1628="",0,1)="",0,IF('Model inputs'!B1628="",0,1)),IF(IF('Model inputs'!B1629="",0,1)="",0,IF('Model inputs'!B1629="",0,1)))</f>
      </c>
    </row>
    <row r="1631">
      <c r="A1631" t="inlineStr" s="25">
        <is>
          <t xml:space="preserve">Calculation</t>
        </is>
      </c>
      <c r="B1631">
        <f>IF(IF(DATE(2026,10,1)=EDATE(DATE(2028,8,1),-'Model inputs'!AM13*1)="",FALSE,DATE(2026,10,1)=EDATE(DATE(2028,8,1),-'Model inputs'!AM13*1)),IF('POA — Monthly financial forecas'!B27="","",'POA — Monthly financial forecas'!B27),"")</f>
      </c>
    </row>
    <row r="1632">
      <c r="A1632" t="inlineStr" s="25">
        <is>
          <t xml:space="preserve">Calculation</t>
        </is>
      </c>
      <c r="B1632">
        <f>IF(IF(DATE(2026,11,1)=EDATE(DATE(2028,8,1),-'Model inputs'!AM13*1)="",FALSE,DATE(2026,11,1)=EDATE(DATE(2028,8,1),-'Model inputs'!AM13*1)),IF('POA — Monthly financial forecas'!C27="","",'POA — Monthly financial forecas'!C27),"")</f>
      </c>
    </row>
    <row r="1633">
      <c r="A1633" t="inlineStr" s="25">
        <is>
          <t xml:space="preserve">Calculation</t>
        </is>
      </c>
      <c r="B1633">
        <f>IF(IF(DATE(2026,12,1)=EDATE(DATE(2028,8,1),-'Model inputs'!AM13*1)="",FALSE,DATE(2026,12,1)=EDATE(DATE(2028,8,1),-'Model inputs'!AM13*1)),IF('POA — Monthly financial forecas'!D27="","",'POA — Monthly financial forecas'!D27),"")</f>
      </c>
    </row>
    <row r="1634">
      <c r="A1634" t="inlineStr" s="25">
        <is>
          <t xml:space="preserve">Calculation</t>
        </is>
      </c>
      <c r="B1634">
        <f>IF(IF(DATE(2027,1,1)=EDATE(DATE(2028,8,1),-'Model inputs'!AM13*1)="",FALSE,DATE(2027,1,1)=EDATE(DATE(2028,8,1),-'Model inputs'!AM13*1)),IF('POA — Monthly financial forecas'!E27="","",'POA — Monthly financial forecas'!E27),"")</f>
      </c>
    </row>
    <row r="1635">
      <c r="A1635" t="inlineStr" s="25">
        <is>
          <t xml:space="preserve">Calculation</t>
        </is>
      </c>
      <c r="B1635">
        <f>IF(IF(DATE(2027,2,1)=EDATE(DATE(2028,8,1),-'Model inputs'!AM13*1)="",FALSE,DATE(2027,2,1)=EDATE(DATE(2028,8,1),-'Model inputs'!AM13*1)),IF('POA — Monthly financial forecas'!F27="","",'POA — Monthly financial forecas'!F27),"")</f>
      </c>
    </row>
    <row r="1636">
      <c r="A1636" t="inlineStr" s="25">
        <is>
          <t xml:space="preserve">Calculation</t>
        </is>
      </c>
      <c r="B1636">
        <f>IF(IF(DATE(2027,3,1)=EDATE(DATE(2028,8,1),-'Model inputs'!AM13*1)="",FALSE,DATE(2027,3,1)=EDATE(DATE(2028,8,1),-'Model inputs'!AM13*1)),IF('POA — Monthly financial forecas'!G27="","",'POA — Monthly financial forecas'!G27),"")</f>
      </c>
    </row>
    <row r="1637">
      <c r="A1637" t="inlineStr" s="25">
        <is>
          <t xml:space="preserve">Calculation</t>
        </is>
      </c>
      <c r="B1637">
        <f>IF(IF(DATE(2027,4,1)=EDATE(DATE(2028,8,1),-'Model inputs'!AM13*1)="",FALSE,DATE(2027,4,1)=EDATE(DATE(2028,8,1),-'Model inputs'!AM13*1)),IF('POA — Monthly financial forecas'!H27="","",'POA — Monthly financial forecas'!H27),"")</f>
      </c>
    </row>
    <row r="1638">
      <c r="A1638" t="inlineStr" s="25">
        <is>
          <t xml:space="preserve">Calculation</t>
        </is>
      </c>
      <c r="B1638">
        <f>IF(IF(DATE(2027,5,1)=EDATE(DATE(2028,8,1),-'Model inputs'!AM13*1)="",FALSE,DATE(2027,5,1)=EDATE(DATE(2028,8,1),-'Model inputs'!AM13*1)),IF('POA — Monthly financial forecas'!I27="","",'POA — Monthly financial forecas'!I27),"")</f>
      </c>
    </row>
    <row r="1639">
      <c r="A1639" t="inlineStr" s="25">
        <is>
          <t xml:space="preserve">Calculation</t>
        </is>
      </c>
      <c r="B1639">
        <f>IF(IF(DATE(2027,6,1)=EDATE(DATE(2028,8,1),-'Model inputs'!AM13*1)="",FALSE,DATE(2027,6,1)=EDATE(DATE(2028,8,1),-'Model inputs'!AM13*1)),IF('POA — Monthly financial forecas'!J27="","",'POA — Monthly financial forecas'!J27),"")</f>
      </c>
    </row>
    <row r="1640">
      <c r="A1640" t="inlineStr" s="25">
        <is>
          <t xml:space="preserve">Calculation</t>
        </is>
      </c>
      <c r="B1640">
        <f>IF(IF(DATE(2027,7,1)=EDATE(DATE(2028,8,1),-'Model inputs'!AM13*1)="",FALSE,DATE(2027,7,1)=EDATE(DATE(2028,8,1),-'Model inputs'!AM13*1)),IF('POA — Monthly financial forecas'!K27="","",'POA — Monthly financial forecas'!K27),"")</f>
      </c>
    </row>
    <row r="1641">
      <c r="A1641" t="inlineStr" s="25">
        <is>
          <t xml:space="preserve">Calculation</t>
        </is>
      </c>
      <c r="B1641">
        <f>IF(IF(DATE(2027,8,1)=EDATE(DATE(2028,8,1),-'Model inputs'!AM13*1)="",FALSE,DATE(2027,8,1)=EDATE(DATE(2028,8,1),-'Model inputs'!AM13*1)),IF('POA — Monthly financial forecas'!L27="","",'POA — Monthly financial forecas'!L27),"")</f>
      </c>
    </row>
    <row r="1642">
      <c r="A1642" t="inlineStr" s="25">
        <is>
          <t xml:space="preserve">Calculation</t>
        </is>
      </c>
      <c r="B1642">
        <f>IF(IF(DATE(2027,9,1)=EDATE(DATE(2028,8,1),-'Model inputs'!AM13*1)="",FALSE,DATE(2027,9,1)=EDATE(DATE(2028,8,1),-'Model inputs'!AM13*1)),IF('POA — Monthly financial forecas'!M27="","",'POA — Monthly financial forecas'!M27),"")</f>
      </c>
    </row>
    <row r="1643">
      <c r="A1643" t="inlineStr" s="25">
        <is>
          <t xml:space="preserve">Calculation</t>
        </is>
      </c>
      <c r="B1643">
        <f>IF(IF(DATE(2027,10,1)=EDATE(DATE(2028,8,1),-'Model inputs'!AM13*1)="",FALSE,DATE(2027,10,1)=EDATE(DATE(2028,8,1),-'Model inputs'!AM13*1)),IF('POA — Monthly financial forecas'!N27="","",'POA — Monthly financial forecas'!N27),"")</f>
      </c>
    </row>
    <row r="1644">
      <c r="A1644" t="inlineStr" s="25">
        <is>
          <t xml:space="preserve">Calculation</t>
        </is>
      </c>
      <c r="B1644">
        <f>IF(IF(DATE(2027,11,1)=EDATE(DATE(2028,8,1),-'Model inputs'!AM13*1)="",FALSE,DATE(2027,11,1)=EDATE(DATE(2028,8,1),-'Model inputs'!AM13*1)),IF('POA — Monthly financial forecas'!O27="","",'POA — Monthly financial forecas'!O27),"")</f>
      </c>
    </row>
    <row r="1645">
      <c r="A1645" t="inlineStr" s="25">
        <is>
          <t xml:space="preserve">Calculation</t>
        </is>
      </c>
      <c r="B1645">
        <f>IF(IF(DATE(2027,12,1)=EDATE(DATE(2028,8,1),-'Model inputs'!AM13*1)="",FALSE,DATE(2027,12,1)=EDATE(DATE(2028,8,1),-'Model inputs'!AM13*1)),IF('POA — Monthly financial forecas'!P27="","",'POA — Monthly financial forecas'!P27),"")</f>
      </c>
    </row>
    <row r="1646">
      <c r="A1646" t="inlineStr" s="25">
        <is>
          <t xml:space="preserve">Calculation</t>
        </is>
      </c>
      <c r="B1646">
        <f>IF(IF(DATE(2028,1,1)=EDATE(DATE(2028,8,1),-'Model inputs'!AM13*1)="",FALSE,DATE(2028,1,1)=EDATE(DATE(2028,8,1),-'Model inputs'!AM13*1)),IF('POA — Monthly financial forecas'!Q27="","",'POA — Monthly financial forecas'!Q27),"")</f>
      </c>
    </row>
    <row r="1647">
      <c r="A1647" t="inlineStr" s="25">
        <is>
          <t xml:space="preserve">Calculation</t>
        </is>
      </c>
      <c r="B1647">
        <f>IF(IF(DATE(2028,2,1)=EDATE(DATE(2028,8,1),-'Model inputs'!AM13*1)="",FALSE,DATE(2028,2,1)=EDATE(DATE(2028,8,1),-'Model inputs'!AM13*1)),IF('POA — Monthly financial forecas'!R27="","",'POA — Monthly financial forecas'!R27),"")</f>
      </c>
    </row>
    <row r="1648">
      <c r="A1648" t="inlineStr" s="25">
        <is>
          <t xml:space="preserve">Calculation</t>
        </is>
      </c>
      <c r="B1648">
        <f>IF(IF(DATE(2028,3,1)=EDATE(DATE(2028,8,1),-'Model inputs'!AM13*1)="",FALSE,DATE(2028,3,1)=EDATE(DATE(2028,8,1),-'Model inputs'!AM13*1)),IF('POA — Monthly financial forecas'!S27="","",'POA — Monthly financial forecas'!S27),"")</f>
      </c>
    </row>
    <row r="1649">
      <c r="A1649" t="inlineStr" s="25">
        <is>
          <t xml:space="preserve">Calculation</t>
        </is>
      </c>
      <c r="B1649">
        <f>IF(IF(DATE(2028,4,1)=EDATE(DATE(2028,8,1),-'Model inputs'!AM13*1)="",FALSE,DATE(2028,4,1)=EDATE(DATE(2028,8,1),-'Model inputs'!AM13*1)),IF('POA — Monthly financial forecas'!T27="","",'POA — Monthly financial forecas'!T27),"")</f>
      </c>
    </row>
    <row r="1650">
      <c r="A1650" t="inlineStr" s="25">
        <is>
          <t xml:space="preserve">Calculation</t>
        </is>
      </c>
      <c r="B1650">
        <f>IF(IF(DATE(2028,5,1)=EDATE(DATE(2028,8,1),-'Model inputs'!AM13*1)="",FALSE,DATE(2028,5,1)=EDATE(DATE(2028,8,1),-'Model inputs'!AM13*1)),IF('POA — Monthly financial forecas'!U27="","",'POA — Monthly financial forecas'!U27),"")</f>
      </c>
    </row>
    <row r="1651">
      <c r="A1651" t="inlineStr" s="25">
        <is>
          <t xml:space="preserve">Calculation</t>
        </is>
      </c>
      <c r="B1651">
        <f>IF(IF(DATE(2028,6,1)=EDATE(DATE(2028,8,1),-'Model inputs'!AM13*1)="",FALSE,DATE(2028,6,1)=EDATE(DATE(2028,8,1),-'Model inputs'!AM13*1)),IF('POA — Monthly financial forecas'!V27="","",'POA — Monthly financial forecas'!V27),"")</f>
      </c>
    </row>
    <row r="1652">
      <c r="A1652" t="inlineStr" s="25">
        <is>
          <t xml:space="preserve">Calculation</t>
        </is>
      </c>
      <c r="B1652">
        <f>IF(IF(DATE(2028,7,1)=EDATE(DATE(2028,8,1),-'Model inputs'!AM13*1)="",FALSE,DATE(2028,7,1)=EDATE(DATE(2028,8,1),-'Model inputs'!AM13*1)),IF('POA — Monthly financial forecas'!W27="","",'POA — Monthly financial forecas'!W27),"")</f>
      </c>
    </row>
    <row r="1653">
      <c r="A1653" t="inlineStr" s="25">
        <is>
          <t xml:space="preserve">Calculation</t>
        </is>
      </c>
      <c r="B1653">
        <f>IF(IF(DATE(2028,8,1)=EDATE(DATE(2028,8,1),-'Model inputs'!AM13*1)="",FALSE,DATE(2028,8,1)=EDATE(DATE(2028,8,1),-'Model inputs'!AM13*1)),IF('POA — Monthly financial forecas'!X27="","",'POA — Monthly financial forecas'!X27),"")</f>
      </c>
    </row>
    <row r="1654">
      <c r="A1654" t="inlineStr" s="25">
        <is>
          <t xml:space="preserve">Calculation</t>
        </is>
      </c>
      <c r="B1654">
        <f>IF(IF(DATE(2028,9,1)=EDATE(DATE(2028,8,1),-'Model inputs'!AM13*1)="",FALSE,DATE(2028,9,1)=EDATE(DATE(2028,8,1),-'Model inputs'!AM13*1)),IF('POA — Monthly financial forecas'!Y27="","",'POA — Monthly financial forecas'!Y27),"")</f>
      </c>
    </row>
    <row r="1655">
      <c r="A1655" t="inlineStr" s="25">
        <is>
          <t xml:space="preserve">Calculation</t>
        </is>
      </c>
      <c r="B1655">
        <f>IF(IF(DATE(2028,10,1)=EDATE(DATE(2028,8,1),-'Model inputs'!AM13*1)="",FALSE,DATE(2028,10,1)=EDATE(DATE(2028,8,1),-'Model inputs'!AM13*1)),IF('POA — Monthly financial forecas'!Z27="","",'POA — Monthly financial forecas'!Z27),"")</f>
      </c>
    </row>
    <row r="1656">
      <c r="A1656" t="inlineStr" s="25">
        <is>
          <t xml:space="preserve">Calculation</t>
        </is>
      </c>
      <c r="B1656">
        <f>IF(IF(DATE(2028,11,1)=EDATE(DATE(2028,8,1),-'Model inputs'!AM13*1)="",FALSE,DATE(2028,11,1)=EDATE(DATE(2028,8,1),-'Model inputs'!AM13*1)),IF('POA — Monthly financial forecas'!AA27="","",'POA — Monthly financial forecas'!AA27),"")</f>
      </c>
    </row>
    <row r="1657">
      <c r="A1657" t="inlineStr" s="25">
        <is>
          <t xml:space="preserve">Calculation</t>
        </is>
      </c>
      <c r="B1657">
        <f>IF(IF(DATE(2028,12,1)=EDATE(DATE(2028,8,1),-'Model inputs'!AM13*1)="",FALSE,DATE(2028,12,1)=EDATE(DATE(2028,8,1),-'Model inputs'!AM13*1)),IF('POA — Monthly financial forecas'!AB27="","",'POA — Monthly financial forecas'!AB27),"")</f>
      </c>
    </row>
    <row r="1658">
      <c r="A1658" t="inlineStr" s="25">
        <is>
          <t xml:space="preserve">Calculation</t>
        </is>
      </c>
      <c r="B1658">
        <f>IF(IF(DATE(2029,1,1)=EDATE(DATE(2028,8,1),-'Model inputs'!AM13*1)="",FALSE,DATE(2029,1,1)=EDATE(DATE(2028,8,1),-'Model inputs'!AM13*1)),IF('POA — Monthly financial forecas'!AC27="","",'POA — Monthly financial forecas'!AC27),"")</f>
      </c>
    </row>
    <row r="1659">
      <c r="A1659" t="inlineStr" s="25">
        <is>
          <t xml:space="preserve">Calculation</t>
        </is>
      </c>
      <c r="B1659">
        <f>IF(IF(DATE(2029,2,1)=EDATE(DATE(2028,8,1),-'Model inputs'!AM13*1)="",FALSE,DATE(2029,2,1)=EDATE(DATE(2028,8,1),-'Model inputs'!AM13*1)),IF('POA — Monthly financial forecas'!AD27="","",'POA — Monthly financial forecas'!AD27),"")</f>
      </c>
    </row>
    <row r="1660">
      <c r="A1660" t="inlineStr" s="25">
        <is>
          <t xml:space="preserve">Calculation</t>
        </is>
      </c>
      <c r="B1660">
        <f>IF(IF(DATE(2029,3,1)=EDATE(DATE(2028,8,1),-'Model inputs'!AM13*1)="",FALSE,DATE(2029,3,1)=EDATE(DATE(2028,8,1),-'Model inputs'!AM13*1)),IF('POA — Monthly financial forecas'!AE27="","",'POA — Monthly financial forecas'!AE27),"")</f>
      </c>
    </row>
    <row r="1661">
      <c r="A1661" t="inlineStr" s="25">
        <is>
          <t xml:space="preserve">Calculation</t>
        </is>
      </c>
      <c r="B1661">
        <f>IF(IF(DATE(2029,4,1)=EDATE(DATE(2028,8,1),-'Model inputs'!AM13*1)="",FALSE,DATE(2029,4,1)=EDATE(DATE(2028,8,1),-'Model inputs'!AM13*1)),IF('POA — Monthly financial forecas'!AF27="","",'POA — Monthly financial forecas'!AF27),"")</f>
      </c>
    </row>
    <row r="1662">
      <c r="A1662" t="inlineStr" s="25">
        <is>
          <t xml:space="preserve">Calculation</t>
        </is>
      </c>
      <c r="B1662">
        <f>IF(IF(DATE(2029,5,1)=EDATE(DATE(2028,8,1),-'Model inputs'!AM13*1)="",FALSE,DATE(2029,5,1)=EDATE(DATE(2028,8,1),-'Model inputs'!AM13*1)),IF('POA — Monthly financial forecas'!AG27="","",'POA — Monthly financial forecas'!AG27),"")</f>
      </c>
    </row>
    <row r="1663">
      <c r="A1663" t="inlineStr" s="25">
        <is>
          <t xml:space="preserve">Calculation</t>
        </is>
      </c>
      <c r="B1663">
        <f>IF(IF(DATE(2029,6,1)=EDATE(DATE(2028,8,1),-'Model inputs'!AM13*1)="",FALSE,DATE(2029,6,1)=EDATE(DATE(2028,8,1),-'Model inputs'!AM13*1)),IF('POA — Monthly financial forecas'!AH27="","",'POA — Monthly financial forecas'!AH27),"")</f>
      </c>
    </row>
    <row r="1664">
      <c r="A1664" t="inlineStr" s="25">
        <is>
          <t xml:space="preserve">Calculation</t>
        </is>
      </c>
      <c r="B1664">
        <f>IF(IF(DATE(2029,7,1)=EDATE(DATE(2028,8,1),-'Model inputs'!AM13*1)="",FALSE,DATE(2029,7,1)=EDATE(DATE(2028,8,1),-'Model inputs'!AM13*1)),IF('POA — Monthly financial forecas'!AI27="","",'POA — Monthly financial forecas'!AI27),"")</f>
      </c>
    </row>
    <row r="1665">
      <c r="A1665" t="inlineStr" s="25">
        <is>
          <t xml:space="preserve">Calculation</t>
        </is>
      </c>
      <c r="B1665">
        <f>IF(IF(DATE(2029,8,1)=EDATE(DATE(2028,8,1),-'Model inputs'!AM13*1)="",FALSE,DATE(2029,8,1)=EDATE(DATE(2028,8,1),-'Model inputs'!AM13*1)),IF('POA — Monthly financial forecas'!AJ27="","",'POA — Monthly financial forecas'!AJ27),"")</f>
      </c>
    </row>
    <row r="1666">
      <c r="A1666" t="inlineStr" s="25">
        <is>
          <t xml:space="preserve">Calculation</t>
        </is>
      </c>
      <c r="B1666">
        <f>IF(IF(DATE(2029,9,1)=EDATE(DATE(2028,8,1),-'Model inputs'!AM13*1)="",FALSE,DATE(2029,9,1)=EDATE(DATE(2028,8,1),-'Model inputs'!AM13*1)),IF('POA — Monthly financial forecas'!AK27="","",'POA — Monthly financial forecas'!AK27),"")</f>
      </c>
    </row>
    <row r="1667">
      <c r="A1667" t="inlineStr" s="25">
        <is>
          <t xml:space="preserve">Calculation</t>
        </is>
      </c>
      <c r="B1667">
        <f>IF(IF(DATE(2026,9,1)=EDATE(DATE(2028,8,1),-'Model inputs'!AM13*1)="",FALSE,DATE(2026,9,1)=EDATE(DATE(2028,8,1),-'Model inputs'!AM13*1)),IF('Model inputs'!B85="","",'Model inputs'!B85),"")</f>
      </c>
    </row>
    <row r="1668">
      <c r="A1668" t="inlineStr" s="25">
        <is>
          <t xml:space="preserve">Calculation</t>
        </is>
      </c>
      <c r="B1668">
        <f>SUM(IF(IF('Model inputs'!B1631="",0,1)="",0,IF('Model inputs'!B1631="",0,1)),IF(IF('Model inputs'!B1632="",0,1)="",0,IF('Model inputs'!B1632="",0,1)),IF(IF('Model inputs'!B1633="",0,1)="",0,IF('Model inputs'!B1633="",0,1)),IF(IF('Model inputs'!B1634="",0,1)="",0,IF('Model inputs'!B1634="",0,1)),IF(IF('Model inputs'!B1635="",0,1)="",0,IF('Model inputs'!B1635="",0,1)),IF(IF('Model inputs'!B1636="",0,1)="",0,IF('Model inputs'!B1636="",0,1)),IF(IF('Model inputs'!B1637="",0,1)="",0,IF('Model inputs'!B1637="",0,1)),IF(IF('Model inputs'!B1638="",0,1)="",0,IF('Model inputs'!B1638="",0,1)),IF(IF('Model inputs'!B1639="",0,1)="",0,IF('Model inputs'!B1639="",0,1)),IF(IF('Model inputs'!B1640="",0,1)="",0,IF('Model inputs'!B1640="",0,1)),IF(IF('Model inputs'!B1641="",0,1)="",0,IF('Model inputs'!B1641="",0,1)),IF(IF('Model inputs'!B1642="",0,1)="",0,IF('Model inputs'!B1642="",0,1)),IF(IF('Model inputs'!B1643="",0,1)="",0,IF('Model inputs'!B1643="",0,1)),IF(IF('Model inputs'!B1644="",0,1)="",0,IF('Model inputs'!B1644="",0,1)),IF(IF('Model inputs'!B1645="",0,1)="",0,IF('Model inputs'!B1645="",0,1)),IF(IF('Model inputs'!B1646="",0,1)="",0,IF('Model inputs'!B1646="",0,1)),IF(IF('Model inputs'!B1647="",0,1)="",0,IF('Model inputs'!B1647="",0,1)),IF(IF('Model inputs'!B1648="",0,1)="",0,IF('Model inputs'!B1648="",0,1)),IF(IF('Model inputs'!B1649="",0,1)="",0,IF('Model inputs'!B1649="",0,1)),IF(IF('Model inputs'!B1650="",0,1)="",0,IF('Model inputs'!B1650="",0,1)),IF(IF('Model inputs'!B1651="",0,1)="",0,IF('Model inputs'!B1651="",0,1)),IF(IF('Model inputs'!B1652="",0,1)="",0,IF('Model inputs'!B1652="",0,1)),IF(IF('Model inputs'!B1653="",0,1)="",0,IF('Model inputs'!B1653="",0,1)),IF(IF('Model inputs'!B1654="",0,1)="",0,IF('Model inputs'!B1654="",0,1)),IF(IF('Model inputs'!B1655="",0,1)="",0,IF('Model inputs'!B1655="",0,1)),IF(IF('Model inputs'!B1656="",0,1)="",0,IF('Model inputs'!B1656="",0,1)),IF(IF('Model inputs'!B1657="",0,1)="",0,IF('Model inputs'!B1657="",0,1)),IF(IF('Model inputs'!B1658="",0,1)="",0,IF('Model inputs'!B1658="",0,1)),IF(IF('Model inputs'!B1659="",0,1)="",0,IF('Model inputs'!B1659="",0,1)),IF(IF('Model inputs'!B1660="",0,1)="",0,IF('Model inputs'!B1660="",0,1)),IF(IF('Model inputs'!B1661="",0,1)="",0,IF('Model inputs'!B1661="",0,1)),IF(IF('Model inputs'!B1662="",0,1)="",0,IF('Model inputs'!B1662="",0,1)),IF(IF('Model inputs'!B1663="",0,1)="",0,IF('Model inputs'!B1663="",0,1)),IF(IF('Model inputs'!B1664="",0,1)="",0,IF('Model inputs'!B1664="",0,1)),IF(IF('Model inputs'!B1665="",0,1)="",0,IF('Model inputs'!B1665="",0,1)),IF(IF('Model inputs'!B1666="",0,1)="",0,IF('Model inputs'!B1666="",0,1)),IF(IF('Model inputs'!B1667="",0,1)="",0,IF('Model inputs'!B1667="",0,1)))</f>
      </c>
    </row>
    <row r="1669">
      <c r="A1669" t="inlineStr" s="25">
        <is>
          <t xml:space="preserve">Calculation</t>
        </is>
      </c>
      <c r="B1669">
        <f>IF(IF(DATE(2026,10,1)=EDATE(DATE(2028,9,1),-'Model inputs'!AM13*1)="",FALSE,DATE(2026,10,1)=EDATE(DATE(2028,9,1),-'Model inputs'!AM13*1)),IF('POA — Monthly financial forecas'!B27="","",'POA — Monthly financial forecas'!B27),"")</f>
      </c>
    </row>
    <row r="1670">
      <c r="A1670" t="inlineStr" s="25">
        <is>
          <t xml:space="preserve">Calculation</t>
        </is>
      </c>
      <c r="B1670">
        <f>IF(IF(DATE(2026,11,1)=EDATE(DATE(2028,9,1),-'Model inputs'!AM13*1)="",FALSE,DATE(2026,11,1)=EDATE(DATE(2028,9,1),-'Model inputs'!AM13*1)),IF('POA — Monthly financial forecas'!C27="","",'POA — Monthly financial forecas'!C27),"")</f>
      </c>
    </row>
    <row r="1671">
      <c r="A1671" t="inlineStr" s="25">
        <is>
          <t xml:space="preserve">Calculation</t>
        </is>
      </c>
      <c r="B1671">
        <f>IF(IF(DATE(2026,12,1)=EDATE(DATE(2028,9,1),-'Model inputs'!AM13*1)="",FALSE,DATE(2026,12,1)=EDATE(DATE(2028,9,1),-'Model inputs'!AM13*1)),IF('POA — Monthly financial forecas'!D27="","",'POA — Monthly financial forecas'!D27),"")</f>
      </c>
    </row>
    <row r="1672">
      <c r="A1672" t="inlineStr" s="25">
        <is>
          <t xml:space="preserve">Calculation</t>
        </is>
      </c>
      <c r="B1672">
        <f>IF(IF(DATE(2027,1,1)=EDATE(DATE(2028,9,1),-'Model inputs'!AM13*1)="",FALSE,DATE(2027,1,1)=EDATE(DATE(2028,9,1),-'Model inputs'!AM13*1)),IF('POA — Monthly financial forecas'!E27="","",'POA — Monthly financial forecas'!E27),"")</f>
      </c>
    </row>
    <row r="1673">
      <c r="A1673" t="inlineStr" s="25">
        <is>
          <t xml:space="preserve">Calculation</t>
        </is>
      </c>
      <c r="B1673">
        <f>IF(IF(DATE(2027,2,1)=EDATE(DATE(2028,9,1),-'Model inputs'!AM13*1)="",FALSE,DATE(2027,2,1)=EDATE(DATE(2028,9,1),-'Model inputs'!AM13*1)),IF('POA — Monthly financial forecas'!F27="","",'POA — Monthly financial forecas'!F27),"")</f>
      </c>
    </row>
    <row r="1674">
      <c r="A1674" t="inlineStr" s="25">
        <is>
          <t xml:space="preserve">Calculation</t>
        </is>
      </c>
      <c r="B1674">
        <f>IF(IF(DATE(2027,3,1)=EDATE(DATE(2028,9,1),-'Model inputs'!AM13*1)="",FALSE,DATE(2027,3,1)=EDATE(DATE(2028,9,1),-'Model inputs'!AM13*1)),IF('POA — Monthly financial forecas'!G27="","",'POA — Monthly financial forecas'!G27),"")</f>
      </c>
    </row>
    <row r="1675">
      <c r="A1675" t="inlineStr" s="25">
        <is>
          <t xml:space="preserve">Calculation</t>
        </is>
      </c>
      <c r="B1675">
        <f>IF(IF(DATE(2027,4,1)=EDATE(DATE(2028,9,1),-'Model inputs'!AM13*1)="",FALSE,DATE(2027,4,1)=EDATE(DATE(2028,9,1),-'Model inputs'!AM13*1)),IF('POA — Monthly financial forecas'!H27="","",'POA — Monthly financial forecas'!H27),"")</f>
      </c>
    </row>
    <row r="1676">
      <c r="A1676" t="inlineStr" s="25">
        <is>
          <t xml:space="preserve">Calculation</t>
        </is>
      </c>
      <c r="B1676">
        <f>IF(IF(DATE(2027,5,1)=EDATE(DATE(2028,9,1),-'Model inputs'!AM13*1)="",FALSE,DATE(2027,5,1)=EDATE(DATE(2028,9,1),-'Model inputs'!AM13*1)),IF('POA — Monthly financial forecas'!I27="","",'POA — Monthly financial forecas'!I27),"")</f>
      </c>
    </row>
    <row r="1677">
      <c r="A1677" t="inlineStr" s="25">
        <is>
          <t xml:space="preserve">Calculation</t>
        </is>
      </c>
      <c r="B1677">
        <f>IF(IF(DATE(2027,6,1)=EDATE(DATE(2028,9,1),-'Model inputs'!AM13*1)="",FALSE,DATE(2027,6,1)=EDATE(DATE(2028,9,1),-'Model inputs'!AM13*1)),IF('POA — Monthly financial forecas'!J27="","",'POA — Monthly financial forecas'!J27),"")</f>
      </c>
    </row>
    <row r="1678">
      <c r="A1678" t="inlineStr" s="25">
        <is>
          <t xml:space="preserve">Calculation</t>
        </is>
      </c>
      <c r="B1678">
        <f>IF(IF(DATE(2027,7,1)=EDATE(DATE(2028,9,1),-'Model inputs'!AM13*1)="",FALSE,DATE(2027,7,1)=EDATE(DATE(2028,9,1),-'Model inputs'!AM13*1)),IF('POA — Monthly financial forecas'!K27="","",'POA — Monthly financial forecas'!K27),"")</f>
      </c>
    </row>
    <row r="1679">
      <c r="A1679" t="inlineStr" s="25">
        <is>
          <t xml:space="preserve">Calculation</t>
        </is>
      </c>
      <c r="B1679">
        <f>IF(IF(DATE(2027,8,1)=EDATE(DATE(2028,9,1),-'Model inputs'!AM13*1)="",FALSE,DATE(2027,8,1)=EDATE(DATE(2028,9,1),-'Model inputs'!AM13*1)),IF('POA — Monthly financial forecas'!L27="","",'POA — Monthly financial forecas'!L27),"")</f>
      </c>
    </row>
    <row r="1680">
      <c r="A1680" t="inlineStr" s="25">
        <is>
          <t xml:space="preserve">Calculation</t>
        </is>
      </c>
      <c r="B1680">
        <f>IF(IF(DATE(2027,9,1)=EDATE(DATE(2028,9,1),-'Model inputs'!AM13*1)="",FALSE,DATE(2027,9,1)=EDATE(DATE(2028,9,1),-'Model inputs'!AM13*1)),IF('POA — Monthly financial forecas'!M27="","",'POA — Monthly financial forecas'!M27),"")</f>
      </c>
    </row>
    <row r="1681">
      <c r="A1681" t="inlineStr" s="25">
        <is>
          <t xml:space="preserve">Calculation</t>
        </is>
      </c>
      <c r="B1681">
        <f>IF(IF(DATE(2027,10,1)=EDATE(DATE(2028,9,1),-'Model inputs'!AM13*1)="",FALSE,DATE(2027,10,1)=EDATE(DATE(2028,9,1),-'Model inputs'!AM13*1)),IF('POA — Monthly financial forecas'!N27="","",'POA — Monthly financial forecas'!N27),"")</f>
      </c>
    </row>
    <row r="1682">
      <c r="A1682" t="inlineStr" s="25">
        <is>
          <t xml:space="preserve">Calculation</t>
        </is>
      </c>
      <c r="B1682">
        <f>IF(IF(DATE(2027,11,1)=EDATE(DATE(2028,9,1),-'Model inputs'!AM13*1)="",FALSE,DATE(2027,11,1)=EDATE(DATE(2028,9,1),-'Model inputs'!AM13*1)),IF('POA — Monthly financial forecas'!O27="","",'POA — Monthly financial forecas'!O27),"")</f>
      </c>
    </row>
    <row r="1683">
      <c r="A1683" t="inlineStr" s="25">
        <is>
          <t xml:space="preserve">Calculation</t>
        </is>
      </c>
      <c r="B1683">
        <f>IF(IF(DATE(2027,12,1)=EDATE(DATE(2028,9,1),-'Model inputs'!AM13*1)="",FALSE,DATE(2027,12,1)=EDATE(DATE(2028,9,1),-'Model inputs'!AM13*1)),IF('POA — Monthly financial forecas'!P27="","",'POA — Monthly financial forecas'!P27),"")</f>
      </c>
    </row>
    <row r="1684">
      <c r="A1684" t="inlineStr" s="25">
        <is>
          <t xml:space="preserve">Calculation</t>
        </is>
      </c>
      <c r="B1684">
        <f>IF(IF(DATE(2028,1,1)=EDATE(DATE(2028,9,1),-'Model inputs'!AM13*1)="",FALSE,DATE(2028,1,1)=EDATE(DATE(2028,9,1),-'Model inputs'!AM13*1)),IF('POA — Monthly financial forecas'!Q27="","",'POA — Monthly financial forecas'!Q27),"")</f>
      </c>
    </row>
    <row r="1685">
      <c r="A1685" t="inlineStr" s="25">
        <is>
          <t xml:space="preserve">Calculation</t>
        </is>
      </c>
      <c r="B1685">
        <f>IF(IF(DATE(2028,2,1)=EDATE(DATE(2028,9,1),-'Model inputs'!AM13*1)="",FALSE,DATE(2028,2,1)=EDATE(DATE(2028,9,1),-'Model inputs'!AM13*1)),IF('POA — Monthly financial forecas'!R27="","",'POA — Monthly financial forecas'!R27),"")</f>
      </c>
    </row>
    <row r="1686">
      <c r="A1686" t="inlineStr" s="25">
        <is>
          <t xml:space="preserve">Calculation</t>
        </is>
      </c>
      <c r="B1686">
        <f>IF(IF(DATE(2028,3,1)=EDATE(DATE(2028,9,1),-'Model inputs'!AM13*1)="",FALSE,DATE(2028,3,1)=EDATE(DATE(2028,9,1),-'Model inputs'!AM13*1)),IF('POA — Monthly financial forecas'!S27="","",'POA — Monthly financial forecas'!S27),"")</f>
      </c>
    </row>
    <row r="1687">
      <c r="A1687" t="inlineStr" s="25">
        <is>
          <t xml:space="preserve">Calculation</t>
        </is>
      </c>
      <c r="B1687">
        <f>IF(IF(DATE(2028,4,1)=EDATE(DATE(2028,9,1),-'Model inputs'!AM13*1)="",FALSE,DATE(2028,4,1)=EDATE(DATE(2028,9,1),-'Model inputs'!AM13*1)),IF('POA — Monthly financial forecas'!T27="","",'POA — Monthly financial forecas'!T27),"")</f>
      </c>
    </row>
    <row r="1688">
      <c r="A1688" t="inlineStr" s="25">
        <is>
          <t xml:space="preserve">Calculation</t>
        </is>
      </c>
      <c r="B1688">
        <f>IF(IF(DATE(2028,5,1)=EDATE(DATE(2028,9,1),-'Model inputs'!AM13*1)="",FALSE,DATE(2028,5,1)=EDATE(DATE(2028,9,1),-'Model inputs'!AM13*1)),IF('POA — Monthly financial forecas'!U27="","",'POA — Monthly financial forecas'!U27),"")</f>
      </c>
    </row>
    <row r="1689">
      <c r="A1689" t="inlineStr" s="25">
        <is>
          <t xml:space="preserve">Calculation</t>
        </is>
      </c>
      <c r="B1689">
        <f>IF(IF(DATE(2028,6,1)=EDATE(DATE(2028,9,1),-'Model inputs'!AM13*1)="",FALSE,DATE(2028,6,1)=EDATE(DATE(2028,9,1),-'Model inputs'!AM13*1)),IF('POA — Monthly financial forecas'!V27="","",'POA — Monthly financial forecas'!V27),"")</f>
      </c>
    </row>
    <row r="1690">
      <c r="A1690" t="inlineStr" s="25">
        <is>
          <t xml:space="preserve">Calculation</t>
        </is>
      </c>
      <c r="B1690">
        <f>IF(IF(DATE(2028,7,1)=EDATE(DATE(2028,9,1),-'Model inputs'!AM13*1)="",FALSE,DATE(2028,7,1)=EDATE(DATE(2028,9,1),-'Model inputs'!AM13*1)),IF('POA — Monthly financial forecas'!W27="","",'POA — Monthly financial forecas'!W27),"")</f>
      </c>
    </row>
    <row r="1691">
      <c r="A1691" t="inlineStr" s="25">
        <is>
          <t xml:space="preserve">Calculation</t>
        </is>
      </c>
      <c r="B1691">
        <f>IF(IF(DATE(2028,8,1)=EDATE(DATE(2028,9,1),-'Model inputs'!AM13*1)="",FALSE,DATE(2028,8,1)=EDATE(DATE(2028,9,1),-'Model inputs'!AM13*1)),IF('POA — Monthly financial forecas'!X27="","",'POA — Monthly financial forecas'!X27),"")</f>
      </c>
    </row>
    <row r="1692">
      <c r="A1692" t="inlineStr" s="25">
        <is>
          <t xml:space="preserve">Calculation</t>
        </is>
      </c>
      <c r="B1692">
        <f>IF(IF(DATE(2028,9,1)=EDATE(DATE(2028,9,1),-'Model inputs'!AM13*1)="",FALSE,DATE(2028,9,1)=EDATE(DATE(2028,9,1),-'Model inputs'!AM13*1)),IF('POA — Monthly financial forecas'!Y27="","",'POA — Monthly financial forecas'!Y27),"")</f>
      </c>
    </row>
    <row r="1693">
      <c r="A1693" t="inlineStr" s="25">
        <is>
          <t xml:space="preserve">Calculation</t>
        </is>
      </c>
      <c r="B1693">
        <f>IF(IF(DATE(2028,10,1)=EDATE(DATE(2028,9,1),-'Model inputs'!AM13*1)="",FALSE,DATE(2028,10,1)=EDATE(DATE(2028,9,1),-'Model inputs'!AM13*1)),IF('POA — Monthly financial forecas'!Z27="","",'POA — Monthly financial forecas'!Z27),"")</f>
      </c>
    </row>
    <row r="1694">
      <c r="A1694" t="inlineStr" s="25">
        <is>
          <t xml:space="preserve">Calculation</t>
        </is>
      </c>
      <c r="B1694">
        <f>IF(IF(DATE(2028,11,1)=EDATE(DATE(2028,9,1),-'Model inputs'!AM13*1)="",FALSE,DATE(2028,11,1)=EDATE(DATE(2028,9,1),-'Model inputs'!AM13*1)),IF('POA — Monthly financial forecas'!AA27="","",'POA — Monthly financial forecas'!AA27),"")</f>
      </c>
    </row>
    <row r="1695">
      <c r="A1695" t="inlineStr" s="25">
        <is>
          <t xml:space="preserve">Calculation</t>
        </is>
      </c>
      <c r="B1695">
        <f>IF(IF(DATE(2028,12,1)=EDATE(DATE(2028,9,1),-'Model inputs'!AM13*1)="",FALSE,DATE(2028,12,1)=EDATE(DATE(2028,9,1),-'Model inputs'!AM13*1)),IF('POA — Monthly financial forecas'!AB27="","",'POA — Monthly financial forecas'!AB27),"")</f>
      </c>
    </row>
    <row r="1696">
      <c r="A1696" t="inlineStr" s="25">
        <is>
          <t xml:space="preserve">Calculation</t>
        </is>
      </c>
      <c r="B1696">
        <f>IF(IF(DATE(2029,1,1)=EDATE(DATE(2028,9,1),-'Model inputs'!AM13*1)="",FALSE,DATE(2029,1,1)=EDATE(DATE(2028,9,1),-'Model inputs'!AM13*1)),IF('POA — Monthly financial forecas'!AC27="","",'POA — Monthly financial forecas'!AC27),"")</f>
      </c>
    </row>
    <row r="1697">
      <c r="A1697" t="inlineStr" s="25">
        <is>
          <t xml:space="preserve">Calculation</t>
        </is>
      </c>
      <c r="B1697">
        <f>IF(IF(DATE(2029,2,1)=EDATE(DATE(2028,9,1),-'Model inputs'!AM13*1)="",FALSE,DATE(2029,2,1)=EDATE(DATE(2028,9,1),-'Model inputs'!AM13*1)),IF('POA — Monthly financial forecas'!AD27="","",'POA — Monthly financial forecas'!AD27),"")</f>
      </c>
    </row>
    <row r="1698">
      <c r="A1698" t="inlineStr" s="25">
        <is>
          <t xml:space="preserve">Calculation</t>
        </is>
      </c>
      <c r="B1698">
        <f>IF(IF(DATE(2029,3,1)=EDATE(DATE(2028,9,1),-'Model inputs'!AM13*1)="",FALSE,DATE(2029,3,1)=EDATE(DATE(2028,9,1),-'Model inputs'!AM13*1)),IF('POA — Monthly financial forecas'!AE27="","",'POA — Monthly financial forecas'!AE27),"")</f>
      </c>
    </row>
    <row r="1699">
      <c r="A1699" t="inlineStr" s="25">
        <is>
          <t xml:space="preserve">Calculation</t>
        </is>
      </c>
      <c r="B1699">
        <f>IF(IF(DATE(2029,4,1)=EDATE(DATE(2028,9,1),-'Model inputs'!AM13*1)="",FALSE,DATE(2029,4,1)=EDATE(DATE(2028,9,1),-'Model inputs'!AM13*1)),IF('POA — Monthly financial forecas'!AF27="","",'POA — Monthly financial forecas'!AF27),"")</f>
      </c>
    </row>
    <row r="1700">
      <c r="A1700" t="inlineStr" s="25">
        <is>
          <t xml:space="preserve">Calculation</t>
        </is>
      </c>
      <c r="B1700">
        <f>IF(IF(DATE(2029,5,1)=EDATE(DATE(2028,9,1),-'Model inputs'!AM13*1)="",FALSE,DATE(2029,5,1)=EDATE(DATE(2028,9,1),-'Model inputs'!AM13*1)),IF('POA — Monthly financial forecas'!AG27="","",'POA — Monthly financial forecas'!AG27),"")</f>
      </c>
    </row>
    <row r="1701">
      <c r="A1701" t="inlineStr" s="25">
        <is>
          <t xml:space="preserve">Calculation</t>
        </is>
      </c>
      <c r="B1701">
        <f>IF(IF(DATE(2029,6,1)=EDATE(DATE(2028,9,1),-'Model inputs'!AM13*1)="",FALSE,DATE(2029,6,1)=EDATE(DATE(2028,9,1),-'Model inputs'!AM13*1)),IF('POA — Monthly financial forecas'!AH27="","",'POA — Monthly financial forecas'!AH27),"")</f>
      </c>
    </row>
    <row r="1702">
      <c r="A1702" t="inlineStr" s="25">
        <is>
          <t xml:space="preserve">Calculation</t>
        </is>
      </c>
      <c r="B1702">
        <f>IF(IF(DATE(2029,7,1)=EDATE(DATE(2028,9,1),-'Model inputs'!AM13*1)="",FALSE,DATE(2029,7,1)=EDATE(DATE(2028,9,1),-'Model inputs'!AM13*1)),IF('POA — Monthly financial forecas'!AI27="","",'POA — Monthly financial forecas'!AI27),"")</f>
      </c>
    </row>
    <row r="1703">
      <c r="A1703" t="inlineStr" s="25">
        <is>
          <t xml:space="preserve">Calculation</t>
        </is>
      </c>
      <c r="B1703">
        <f>IF(IF(DATE(2029,8,1)=EDATE(DATE(2028,9,1),-'Model inputs'!AM13*1)="",FALSE,DATE(2029,8,1)=EDATE(DATE(2028,9,1),-'Model inputs'!AM13*1)),IF('POA — Monthly financial forecas'!AJ27="","",'POA — Monthly financial forecas'!AJ27),"")</f>
      </c>
    </row>
    <row r="1704">
      <c r="A1704" t="inlineStr" s="25">
        <is>
          <t xml:space="preserve">Calculation</t>
        </is>
      </c>
      <c r="B1704">
        <f>IF(IF(DATE(2029,9,1)=EDATE(DATE(2028,9,1),-'Model inputs'!AM13*1)="",FALSE,DATE(2029,9,1)=EDATE(DATE(2028,9,1),-'Model inputs'!AM13*1)),IF('POA — Monthly financial forecas'!AK27="","",'POA — Monthly financial forecas'!AK27),"")</f>
      </c>
    </row>
    <row r="1705">
      <c r="A1705" t="inlineStr" s="25">
        <is>
          <t xml:space="preserve">Calculation</t>
        </is>
      </c>
      <c r="B1705">
        <f>IF(IF(DATE(2026,9,1)=EDATE(DATE(2028,9,1),-'Model inputs'!AM13*1)="",FALSE,DATE(2026,9,1)=EDATE(DATE(2028,9,1),-'Model inputs'!AM13*1)),IF('Model inputs'!B85="","",'Model inputs'!B85),"")</f>
      </c>
    </row>
    <row r="1706">
      <c r="A1706" t="inlineStr" s="25">
        <is>
          <t xml:space="preserve">Calculation</t>
        </is>
      </c>
      <c r="B1706">
        <f>SUM(IF(IF('Model inputs'!B1669="",0,1)="",0,IF('Model inputs'!B1669="",0,1)),IF(IF('Model inputs'!B1670="",0,1)="",0,IF('Model inputs'!B1670="",0,1)),IF(IF('Model inputs'!B1671="",0,1)="",0,IF('Model inputs'!B1671="",0,1)),IF(IF('Model inputs'!B1672="",0,1)="",0,IF('Model inputs'!B1672="",0,1)),IF(IF('Model inputs'!B1673="",0,1)="",0,IF('Model inputs'!B1673="",0,1)),IF(IF('Model inputs'!B1674="",0,1)="",0,IF('Model inputs'!B1674="",0,1)),IF(IF('Model inputs'!B1675="",0,1)="",0,IF('Model inputs'!B1675="",0,1)),IF(IF('Model inputs'!B1676="",0,1)="",0,IF('Model inputs'!B1676="",0,1)),IF(IF('Model inputs'!B1677="",0,1)="",0,IF('Model inputs'!B1677="",0,1)),IF(IF('Model inputs'!B1678="",0,1)="",0,IF('Model inputs'!B1678="",0,1)),IF(IF('Model inputs'!B1679="",0,1)="",0,IF('Model inputs'!B1679="",0,1)),IF(IF('Model inputs'!B1680="",0,1)="",0,IF('Model inputs'!B1680="",0,1)),IF(IF('Model inputs'!B1681="",0,1)="",0,IF('Model inputs'!B1681="",0,1)),IF(IF('Model inputs'!B1682="",0,1)="",0,IF('Model inputs'!B1682="",0,1)),IF(IF('Model inputs'!B1683="",0,1)="",0,IF('Model inputs'!B1683="",0,1)),IF(IF('Model inputs'!B1684="",0,1)="",0,IF('Model inputs'!B1684="",0,1)),IF(IF('Model inputs'!B1685="",0,1)="",0,IF('Model inputs'!B1685="",0,1)),IF(IF('Model inputs'!B1686="",0,1)="",0,IF('Model inputs'!B1686="",0,1)),IF(IF('Model inputs'!B1687="",0,1)="",0,IF('Model inputs'!B1687="",0,1)),IF(IF('Model inputs'!B1688="",0,1)="",0,IF('Model inputs'!B1688="",0,1)),IF(IF('Model inputs'!B1689="",0,1)="",0,IF('Model inputs'!B1689="",0,1)),IF(IF('Model inputs'!B1690="",0,1)="",0,IF('Model inputs'!B1690="",0,1)),IF(IF('Model inputs'!B1691="",0,1)="",0,IF('Model inputs'!B1691="",0,1)),IF(IF('Model inputs'!B1692="",0,1)="",0,IF('Model inputs'!B1692="",0,1)),IF(IF('Model inputs'!B1693="",0,1)="",0,IF('Model inputs'!B1693="",0,1)),IF(IF('Model inputs'!B1694="",0,1)="",0,IF('Model inputs'!B1694="",0,1)),IF(IF('Model inputs'!B1695="",0,1)="",0,IF('Model inputs'!B1695="",0,1)),IF(IF('Model inputs'!B1696="",0,1)="",0,IF('Model inputs'!B1696="",0,1)),IF(IF('Model inputs'!B1697="",0,1)="",0,IF('Model inputs'!B1697="",0,1)),IF(IF('Model inputs'!B1698="",0,1)="",0,IF('Model inputs'!B1698="",0,1)),IF(IF('Model inputs'!B1699="",0,1)="",0,IF('Model inputs'!B1699="",0,1)),IF(IF('Model inputs'!B1700="",0,1)="",0,IF('Model inputs'!B1700="",0,1)),IF(IF('Model inputs'!B1701="",0,1)="",0,IF('Model inputs'!B1701="",0,1)),IF(IF('Model inputs'!B1702="",0,1)="",0,IF('Model inputs'!B1702="",0,1)),IF(IF('Model inputs'!B1703="",0,1)="",0,IF('Model inputs'!B1703="",0,1)),IF(IF('Model inputs'!B1704="",0,1)="",0,IF('Model inputs'!B1704="",0,1)),IF(IF('Model inputs'!B1705="",0,1)="",0,IF('Model inputs'!B1705="",0,1)))</f>
      </c>
    </row>
    <row r="1707">
      <c r="A1707" t="inlineStr" s="25">
        <is>
          <t xml:space="preserve">Calculation</t>
        </is>
      </c>
      <c r="B1707">
        <f>IF(IF(DATE(2026,10,1)=EDATE(DATE(2028,10,1),-'Model inputs'!AM13*1)="",FALSE,DATE(2026,10,1)=EDATE(DATE(2028,10,1),-'Model inputs'!AM13*1)),IF('POA — Monthly financial forecas'!B27="","",'POA — Monthly financial forecas'!B27),"")</f>
      </c>
    </row>
    <row r="1708">
      <c r="A1708" t="inlineStr" s="25">
        <is>
          <t xml:space="preserve">Calculation</t>
        </is>
      </c>
      <c r="B1708">
        <f>IF(IF(DATE(2026,11,1)=EDATE(DATE(2028,10,1),-'Model inputs'!AM13*1)="",FALSE,DATE(2026,11,1)=EDATE(DATE(2028,10,1),-'Model inputs'!AM13*1)),IF('POA — Monthly financial forecas'!C27="","",'POA — Monthly financial forecas'!C27),"")</f>
      </c>
    </row>
    <row r="1709">
      <c r="A1709" t="inlineStr" s="25">
        <is>
          <t xml:space="preserve">Calculation</t>
        </is>
      </c>
      <c r="B1709">
        <f>IF(IF(DATE(2026,12,1)=EDATE(DATE(2028,10,1),-'Model inputs'!AM13*1)="",FALSE,DATE(2026,12,1)=EDATE(DATE(2028,10,1),-'Model inputs'!AM13*1)),IF('POA — Monthly financial forecas'!D27="","",'POA — Monthly financial forecas'!D27),"")</f>
      </c>
    </row>
    <row r="1710">
      <c r="A1710" t="inlineStr" s="25">
        <is>
          <t xml:space="preserve">Calculation</t>
        </is>
      </c>
      <c r="B1710">
        <f>IF(IF(DATE(2027,1,1)=EDATE(DATE(2028,10,1),-'Model inputs'!AM13*1)="",FALSE,DATE(2027,1,1)=EDATE(DATE(2028,10,1),-'Model inputs'!AM13*1)),IF('POA — Monthly financial forecas'!E27="","",'POA — Monthly financial forecas'!E27),"")</f>
      </c>
    </row>
    <row r="1711">
      <c r="A1711" t="inlineStr" s="25">
        <is>
          <t xml:space="preserve">Calculation</t>
        </is>
      </c>
      <c r="B1711">
        <f>IF(IF(DATE(2027,2,1)=EDATE(DATE(2028,10,1),-'Model inputs'!AM13*1)="",FALSE,DATE(2027,2,1)=EDATE(DATE(2028,10,1),-'Model inputs'!AM13*1)),IF('POA — Monthly financial forecas'!F27="","",'POA — Monthly financial forecas'!F27),"")</f>
      </c>
    </row>
    <row r="1712">
      <c r="A1712" t="inlineStr" s="25">
        <is>
          <t xml:space="preserve">Calculation</t>
        </is>
      </c>
      <c r="B1712">
        <f>IF(IF(DATE(2027,3,1)=EDATE(DATE(2028,10,1),-'Model inputs'!AM13*1)="",FALSE,DATE(2027,3,1)=EDATE(DATE(2028,10,1),-'Model inputs'!AM13*1)),IF('POA — Monthly financial forecas'!G27="","",'POA — Monthly financial forecas'!G27),"")</f>
      </c>
    </row>
    <row r="1713">
      <c r="A1713" t="inlineStr" s="25">
        <is>
          <t xml:space="preserve">Calculation</t>
        </is>
      </c>
      <c r="B1713">
        <f>IF(IF(DATE(2027,4,1)=EDATE(DATE(2028,10,1),-'Model inputs'!AM13*1)="",FALSE,DATE(2027,4,1)=EDATE(DATE(2028,10,1),-'Model inputs'!AM13*1)),IF('POA — Monthly financial forecas'!H27="","",'POA — Monthly financial forecas'!H27),"")</f>
      </c>
    </row>
    <row r="1714">
      <c r="A1714" t="inlineStr" s="25">
        <is>
          <t xml:space="preserve">Calculation</t>
        </is>
      </c>
      <c r="B1714">
        <f>IF(IF(DATE(2027,5,1)=EDATE(DATE(2028,10,1),-'Model inputs'!AM13*1)="",FALSE,DATE(2027,5,1)=EDATE(DATE(2028,10,1),-'Model inputs'!AM13*1)),IF('POA — Monthly financial forecas'!I27="","",'POA — Monthly financial forecas'!I27),"")</f>
      </c>
    </row>
    <row r="1715">
      <c r="A1715" t="inlineStr" s="25">
        <is>
          <t xml:space="preserve">Calculation</t>
        </is>
      </c>
      <c r="B1715">
        <f>IF(IF(DATE(2027,6,1)=EDATE(DATE(2028,10,1),-'Model inputs'!AM13*1)="",FALSE,DATE(2027,6,1)=EDATE(DATE(2028,10,1),-'Model inputs'!AM13*1)),IF('POA — Monthly financial forecas'!J27="","",'POA — Monthly financial forecas'!J27),"")</f>
      </c>
    </row>
    <row r="1716">
      <c r="A1716" t="inlineStr" s="25">
        <is>
          <t xml:space="preserve">Calculation</t>
        </is>
      </c>
      <c r="B1716">
        <f>IF(IF(DATE(2027,7,1)=EDATE(DATE(2028,10,1),-'Model inputs'!AM13*1)="",FALSE,DATE(2027,7,1)=EDATE(DATE(2028,10,1),-'Model inputs'!AM13*1)),IF('POA — Monthly financial forecas'!K27="","",'POA — Monthly financial forecas'!K27),"")</f>
      </c>
    </row>
    <row r="1717">
      <c r="A1717" t="inlineStr" s="25">
        <is>
          <t xml:space="preserve">Calculation</t>
        </is>
      </c>
      <c r="B1717">
        <f>IF(IF(DATE(2027,8,1)=EDATE(DATE(2028,10,1),-'Model inputs'!AM13*1)="",FALSE,DATE(2027,8,1)=EDATE(DATE(2028,10,1),-'Model inputs'!AM13*1)),IF('POA — Monthly financial forecas'!L27="","",'POA — Monthly financial forecas'!L27),"")</f>
      </c>
    </row>
    <row r="1718">
      <c r="A1718" t="inlineStr" s="25">
        <is>
          <t xml:space="preserve">Calculation</t>
        </is>
      </c>
      <c r="B1718">
        <f>IF(IF(DATE(2027,9,1)=EDATE(DATE(2028,10,1),-'Model inputs'!AM13*1)="",FALSE,DATE(2027,9,1)=EDATE(DATE(2028,10,1),-'Model inputs'!AM13*1)),IF('POA — Monthly financial forecas'!M27="","",'POA — Monthly financial forecas'!M27),"")</f>
      </c>
    </row>
    <row r="1719">
      <c r="A1719" t="inlineStr" s="25">
        <is>
          <t xml:space="preserve">Calculation</t>
        </is>
      </c>
      <c r="B1719">
        <f>IF(IF(DATE(2027,10,1)=EDATE(DATE(2028,10,1),-'Model inputs'!AM13*1)="",FALSE,DATE(2027,10,1)=EDATE(DATE(2028,10,1),-'Model inputs'!AM13*1)),IF('POA — Monthly financial forecas'!N27="","",'POA — Monthly financial forecas'!N27),"")</f>
      </c>
    </row>
    <row r="1720">
      <c r="A1720" t="inlineStr" s="25">
        <is>
          <t xml:space="preserve">Calculation</t>
        </is>
      </c>
      <c r="B1720">
        <f>IF(IF(DATE(2027,11,1)=EDATE(DATE(2028,10,1),-'Model inputs'!AM13*1)="",FALSE,DATE(2027,11,1)=EDATE(DATE(2028,10,1),-'Model inputs'!AM13*1)),IF('POA — Monthly financial forecas'!O27="","",'POA — Monthly financial forecas'!O27),"")</f>
      </c>
    </row>
    <row r="1721">
      <c r="A1721" t="inlineStr" s="25">
        <is>
          <t xml:space="preserve">Calculation</t>
        </is>
      </c>
      <c r="B1721">
        <f>IF(IF(DATE(2027,12,1)=EDATE(DATE(2028,10,1),-'Model inputs'!AM13*1)="",FALSE,DATE(2027,12,1)=EDATE(DATE(2028,10,1),-'Model inputs'!AM13*1)),IF('POA — Monthly financial forecas'!P27="","",'POA — Monthly financial forecas'!P27),"")</f>
      </c>
    </row>
    <row r="1722">
      <c r="A1722" t="inlineStr" s="25">
        <is>
          <t xml:space="preserve">Calculation</t>
        </is>
      </c>
      <c r="B1722">
        <f>IF(IF(DATE(2028,1,1)=EDATE(DATE(2028,10,1),-'Model inputs'!AM13*1)="",FALSE,DATE(2028,1,1)=EDATE(DATE(2028,10,1),-'Model inputs'!AM13*1)),IF('POA — Monthly financial forecas'!Q27="","",'POA — Monthly financial forecas'!Q27),"")</f>
      </c>
    </row>
    <row r="1723">
      <c r="A1723" t="inlineStr" s="25">
        <is>
          <t xml:space="preserve">Calculation</t>
        </is>
      </c>
      <c r="B1723">
        <f>IF(IF(DATE(2028,2,1)=EDATE(DATE(2028,10,1),-'Model inputs'!AM13*1)="",FALSE,DATE(2028,2,1)=EDATE(DATE(2028,10,1),-'Model inputs'!AM13*1)),IF('POA — Monthly financial forecas'!R27="","",'POA — Monthly financial forecas'!R27),"")</f>
      </c>
    </row>
    <row r="1724">
      <c r="A1724" t="inlineStr" s="25">
        <is>
          <t xml:space="preserve">Calculation</t>
        </is>
      </c>
      <c r="B1724">
        <f>IF(IF(DATE(2028,3,1)=EDATE(DATE(2028,10,1),-'Model inputs'!AM13*1)="",FALSE,DATE(2028,3,1)=EDATE(DATE(2028,10,1),-'Model inputs'!AM13*1)),IF('POA — Monthly financial forecas'!S27="","",'POA — Monthly financial forecas'!S27),"")</f>
      </c>
    </row>
    <row r="1725">
      <c r="A1725" t="inlineStr" s="25">
        <is>
          <t xml:space="preserve">Calculation</t>
        </is>
      </c>
      <c r="B1725">
        <f>IF(IF(DATE(2028,4,1)=EDATE(DATE(2028,10,1),-'Model inputs'!AM13*1)="",FALSE,DATE(2028,4,1)=EDATE(DATE(2028,10,1),-'Model inputs'!AM13*1)),IF('POA — Monthly financial forecas'!T27="","",'POA — Monthly financial forecas'!T27),"")</f>
      </c>
    </row>
    <row r="1726">
      <c r="A1726" t="inlineStr" s="25">
        <is>
          <t xml:space="preserve">Calculation</t>
        </is>
      </c>
      <c r="B1726">
        <f>IF(IF(DATE(2028,5,1)=EDATE(DATE(2028,10,1),-'Model inputs'!AM13*1)="",FALSE,DATE(2028,5,1)=EDATE(DATE(2028,10,1),-'Model inputs'!AM13*1)),IF('POA — Monthly financial forecas'!U27="","",'POA — Monthly financial forecas'!U27),"")</f>
      </c>
    </row>
    <row r="1727">
      <c r="A1727" t="inlineStr" s="25">
        <is>
          <t xml:space="preserve">Calculation</t>
        </is>
      </c>
      <c r="B1727">
        <f>IF(IF(DATE(2028,6,1)=EDATE(DATE(2028,10,1),-'Model inputs'!AM13*1)="",FALSE,DATE(2028,6,1)=EDATE(DATE(2028,10,1),-'Model inputs'!AM13*1)),IF('POA — Monthly financial forecas'!V27="","",'POA — Monthly financial forecas'!V27),"")</f>
      </c>
    </row>
    <row r="1728">
      <c r="A1728" t="inlineStr" s="25">
        <is>
          <t xml:space="preserve">Calculation</t>
        </is>
      </c>
      <c r="B1728">
        <f>IF(IF(DATE(2028,7,1)=EDATE(DATE(2028,10,1),-'Model inputs'!AM13*1)="",FALSE,DATE(2028,7,1)=EDATE(DATE(2028,10,1),-'Model inputs'!AM13*1)),IF('POA — Monthly financial forecas'!W27="","",'POA — Monthly financial forecas'!W27),"")</f>
      </c>
    </row>
    <row r="1729">
      <c r="A1729" t="inlineStr" s="25">
        <is>
          <t xml:space="preserve">Calculation</t>
        </is>
      </c>
      <c r="B1729">
        <f>IF(IF(DATE(2028,8,1)=EDATE(DATE(2028,10,1),-'Model inputs'!AM13*1)="",FALSE,DATE(2028,8,1)=EDATE(DATE(2028,10,1),-'Model inputs'!AM13*1)),IF('POA — Monthly financial forecas'!X27="","",'POA — Monthly financial forecas'!X27),"")</f>
      </c>
    </row>
    <row r="1730">
      <c r="A1730" t="inlineStr" s="25">
        <is>
          <t xml:space="preserve">Calculation</t>
        </is>
      </c>
      <c r="B1730">
        <f>IF(IF(DATE(2028,9,1)=EDATE(DATE(2028,10,1),-'Model inputs'!AM13*1)="",FALSE,DATE(2028,9,1)=EDATE(DATE(2028,10,1),-'Model inputs'!AM13*1)),IF('POA — Monthly financial forecas'!Y27="","",'POA — Monthly financial forecas'!Y27),"")</f>
      </c>
    </row>
    <row r="1731">
      <c r="A1731" t="inlineStr" s="25">
        <is>
          <t xml:space="preserve">Calculation</t>
        </is>
      </c>
      <c r="B1731">
        <f>IF(IF(DATE(2028,10,1)=EDATE(DATE(2028,10,1),-'Model inputs'!AM13*1)="",FALSE,DATE(2028,10,1)=EDATE(DATE(2028,10,1),-'Model inputs'!AM13*1)),IF('POA — Monthly financial forecas'!Z27="","",'POA — Monthly financial forecas'!Z27),"")</f>
      </c>
    </row>
    <row r="1732">
      <c r="A1732" t="inlineStr" s="25">
        <is>
          <t xml:space="preserve">Calculation</t>
        </is>
      </c>
      <c r="B1732">
        <f>IF(IF(DATE(2028,11,1)=EDATE(DATE(2028,10,1),-'Model inputs'!AM13*1)="",FALSE,DATE(2028,11,1)=EDATE(DATE(2028,10,1),-'Model inputs'!AM13*1)),IF('POA — Monthly financial forecas'!AA27="","",'POA — Monthly financial forecas'!AA27),"")</f>
      </c>
    </row>
    <row r="1733">
      <c r="A1733" t="inlineStr" s="25">
        <is>
          <t xml:space="preserve">Calculation</t>
        </is>
      </c>
      <c r="B1733">
        <f>IF(IF(DATE(2028,12,1)=EDATE(DATE(2028,10,1),-'Model inputs'!AM13*1)="",FALSE,DATE(2028,12,1)=EDATE(DATE(2028,10,1),-'Model inputs'!AM13*1)),IF('POA — Monthly financial forecas'!AB27="","",'POA — Monthly financial forecas'!AB27),"")</f>
      </c>
    </row>
    <row r="1734">
      <c r="A1734" t="inlineStr" s="25">
        <is>
          <t xml:space="preserve">Calculation</t>
        </is>
      </c>
      <c r="B1734">
        <f>IF(IF(DATE(2029,1,1)=EDATE(DATE(2028,10,1),-'Model inputs'!AM13*1)="",FALSE,DATE(2029,1,1)=EDATE(DATE(2028,10,1),-'Model inputs'!AM13*1)),IF('POA — Monthly financial forecas'!AC27="","",'POA — Monthly financial forecas'!AC27),"")</f>
      </c>
    </row>
    <row r="1735">
      <c r="A1735" t="inlineStr" s="25">
        <is>
          <t xml:space="preserve">Calculation</t>
        </is>
      </c>
      <c r="B1735">
        <f>IF(IF(DATE(2029,2,1)=EDATE(DATE(2028,10,1),-'Model inputs'!AM13*1)="",FALSE,DATE(2029,2,1)=EDATE(DATE(2028,10,1),-'Model inputs'!AM13*1)),IF('POA — Monthly financial forecas'!AD27="","",'POA — Monthly financial forecas'!AD27),"")</f>
      </c>
    </row>
    <row r="1736">
      <c r="A1736" t="inlineStr" s="25">
        <is>
          <t xml:space="preserve">Calculation</t>
        </is>
      </c>
      <c r="B1736">
        <f>IF(IF(DATE(2029,3,1)=EDATE(DATE(2028,10,1),-'Model inputs'!AM13*1)="",FALSE,DATE(2029,3,1)=EDATE(DATE(2028,10,1),-'Model inputs'!AM13*1)),IF('POA — Monthly financial forecas'!AE27="","",'POA — Monthly financial forecas'!AE27),"")</f>
      </c>
    </row>
    <row r="1737">
      <c r="A1737" t="inlineStr" s="25">
        <is>
          <t xml:space="preserve">Calculation</t>
        </is>
      </c>
      <c r="B1737">
        <f>IF(IF(DATE(2029,4,1)=EDATE(DATE(2028,10,1),-'Model inputs'!AM13*1)="",FALSE,DATE(2029,4,1)=EDATE(DATE(2028,10,1),-'Model inputs'!AM13*1)),IF('POA — Monthly financial forecas'!AF27="","",'POA — Monthly financial forecas'!AF27),"")</f>
      </c>
    </row>
    <row r="1738">
      <c r="A1738" t="inlineStr" s="25">
        <is>
          <t xml:space="preserve">Calculation</t>
        </is>
      </c>
      <c r="B1738">
        <f>IF(IF(DATE(2029,5,1)=EDATE(DATE(2028,10,1),-'Model inputs'!AM13*1)="",FALSE,DATE(2029,5,1)=EDATE(DATE(2028,10,1),-'Model inputs'!AM13*1)),IF('POA — Monthly financial forecas'!AG27="","",'POA — Monthly financial forecas'!AG27),"")</f>
      </c>
    </row>
    <row r="1739">
      <c r="A1739" t="inlineStr" s="25">
        <is>
          <t xml:space="preserve">Calculation</t>
        </is>
      </c>
      <c r="B1739">
        <f>IF(IF(DATE(2029,6,1)=EDATE(DATE(2028,10,1),-'Model inputs'!AM13*1)="",FALSE,DATE(2029,6,1)=EDATE(DATE(2028,10,1),-'Model inputs'!AM13*1)),IF('POA — Monthly financial forecas'!AH27="","",'POA — Monthly financial forecas'!AH27),"")</f>
      </c>
    </row>
    <row r="1740">
      <c r="A1740" t="inlineStr" s="25">
        <is>
          <t xml:space="preserve">Calculation</t>
        </is>
      </c>
      <c r="B1740">
        <f>IF(IF(DATE(2029,7,1)=EDATE(DATE(2028,10,1),-'Model inputs'!AM13*1)="",FALSE,DATE(2029,7,1)=EDATE(DATE(2028,10,1),-'Model inputs'!AM13*1)),IF('POA — Monthly financial forecas'!AI27="","",'POA — Monthly financial forecas'!AI27),"")</f>
      </c>
    </row>
    <row r="1741">
      <c r="A1741" t="inlineStr" s="25">
        <is>
          <t xml:space="preserve">Calculation</t>
        </is>
      </c>
      <c r="B1741">
        <f>IF(IF(DATE(2029,8,1)=EDATE(DATE(2028,10,1),-'Model inputs'!AM13*1)="",FALSE,DATE(2029,8,1)=EDATE(DATE(2028,10,1),-'Model inputs'!AM13*1)),IF('POA — Monthly financial forecas'!AJ27="","",'POA — Monthly financial forecas'!AJ27),"")</f>
      </c>
    </row>
    <row r="1742">
      <c r="A1742" t="inlineStr" s="25">
        <is>
          <t xml:space="preserve">Calculation</t>
        </is>
      </c>
      <c r="B1742">
        <f>IF(IF(DATE(2029,9,1)=EDATE(DATE(2028,10,1),-'Model inputs'!AM13*1)="",FALSE,DATE(2029,9,1)=EDATE(DATE(2028,10,1),-'Model inputs'!AM13*1)),IF('POA — Monthly financial forecas'!AK27="","",'POA — Monthly financial forecas'!AK27),"")</f>
      </c>
    </row>
    <row r="1743">
      <c r="A1743" t="inlineStr" s="25">
        <is>
          <t xml:space="preserve">Calculation</t>
        </is>
      </c>
      <c r="B1743">
        <f>IF(IF(DATE(2026,9,1)=EDATE(DATE(2028,10,1),-'Model inputs'!AM13*1)="",FALSE,DATE(2026,9,1)=EDATE(DATE(2028,10,1),-'Model inputs'!AM13*1)),IF('Model inputs'!B85="","",'Model inputs'!B85),"")</f>
      </c>
    </row>
    <row r="1744">
      <c r="A1744" t="inlineStr" s="25">
        <is>
          <t xml:space="preserve">Calculation</t>
        </is>
      </c>
      <c r="B1744">
        <f>SUM(IF(IF('Model inputs'!B1707="",0,1)="",0,IF('Model inputs'!B1707="",0,1)),IF(IF('Model inputs'!B1708="",0,1)="",0,IF('Model inputs'!B1708="",0,1)),IF(IF('Model inputs'!B1709="",0,1)="",0,IF('Model inputs'!B1709="",0,1)),IF(IF('Model inputs'!B1710="",0,1)="",0,IF('Model inputs'!B1710="",0,1)),IF(IF('Model inputs'!B1711="",0,1)="",0,IF('Model inputs'!B1711="",0,1)),IF(IF('Model inputs'!B1712="",0,1)="",0,IF('Model inputs'!B1712="",0,1)),IF(IF('Model inputs'!B1713="",0,1)="",0,IF('Model inputs'!B1713="",0,1)),IF(IF('Model inputs'!B1714="",0,1)="",0,IF('Model inputs'!B1714="",0,1)),IF(IF('Model inputs'!B1715="",0,1)="",0,IF('Model inputs'!B1715="",0,1)),IF(IF('Model inputs'!B1716="",0,1)="",0,IF('Model inputs'!B1716="",0,1)),IF(IF('Model inputs'!B1717="",0,1)="",0,IF('Model inputs'!B1717="",0,1)),IF(IF('Model inputs'!B1718="",0,1)="",0,IF('Model inputs'!B1718="",0,1)),IF(IF('Model inputs'!B1719="",0,1)="",0,IF('Model inputs'!B1719="",0,1)),IF(IF('Model inputs'!B1720="",0,1)="",0,IF('Model inputs'!B1720="",0,1)),IF(IF('Model inputs'!B1721="",0,1)="",0,IF('Model inputs'!B1721="",0,1)),IF(IF('Model inputs'!B1722="",0,1)="",0,IF('Model inputs'!B1722="",0,1)),IF(IF('Model inputs'!B1723="",0,1)="",0,IF('Model inputs'!B1723="",0,1)),IF(IF('Model inputs'!B1724="",0,1)="",0,IF('Model inputs'!B1724="",0,1)),IF(IF('Model inputs'!B1725="",0,1)="",0,IF('Model inputs'!B1725="",0,1)),IF(IF('Model inputs'!B1726="",0,1)="",0,IF('Model inputs'!B1726="",0,1)),IF(IF('Model inputs'!B1727="",0,1)="",0,IF('Model inputs'!B1727="",0,1)),IF(IF('Model inputs'!B1728="",0,1)="",0,IF('Model inputs'!B1728="",0,1)),IF(IF('Model inputs'!B1729="",0,1)="",0,IF('Model inputs'!B1729="",0,1)),IF(IF('Model inputs'!B1730="",0,1)="",0,IF('Model inputs'!B1730="",0,1)),IF(IF('Model inputs'!B1731="",0,1)="",0,IF('Model inputs'!B1731="",0,1)),IF(IF('Model inputs'!B1732="",0,1)="",0,IF('Model inputs'!B1732="",0,1)),IF(IF('Model inputs'!B1733="",0,1)="",0,IF('Model inputs'!B1733="",0,1)),IF(IF('Model inputs'!B1734="",0,1)="",0,IF('Model inputs'!B1734="",0,1)),IF(IF('Model inputs'!B1735="",0,1)="",0,IF('Model inputs'!B1735="",0,1)),IF(IF('Model inputs'!B1736="",0,1)="",0,IF('Model inputs'!B1736="",0,1)),IF(IF('Model inputs'!B1737="",0,1)="",0,IF('Model inputs'!B1737="",0,1)),IF(IF('Model inputs'!B1738="",0,1)="",0,IF('Model inputs'!B1738="",0,1)),IF(IF('Model inputs'!B1739="",0,1)="",0,IF('Model inputs'!B1739="",0,1)),IF(IF('Model inputs'!B1740="",0,1)="",0,IF('Model inputs'!B1740="",0,1)),IF(IF('Model inputs'!B1741="",0,1)="",0,IF('Model inputs'!B1741="",0,1)),IF(IF('Model inputs'!B1742="",0,1)="",0,IF('Model inputs'!B1742="",0,1)),IF(IF('Model inputs'!B1743="",0,1)="",0,IF('Model inputs'!B1743="",0,1)))</f>
      </c>
    </row>
    <row r="1745">
      <c r="A1745" t="inlineStr" s="25">
        <is>
          <t xml:space="preserve">Calculation</t>
        </is>
      </c>
      <c r="B1745">
        <f>IF(IF(DATE(2026,10,1)=EDATE(DATE(2028,11,1),-'Model inputs'!AM13*1)="",FALSE,DATE(2026,10,1)=EDATE(DATE(2028,11,1),-'Model inputs'!AM13*1)),IF('POA — Monthly financial forecas'!B27="","",'POA — Monthly financial forecas'!B27),"")</f>
      </c>
    </row>
    <row r="1746">
      <c r="A1746" t="inlineStr" s="25">
        <is>
          <t xml:space="preserve">Calculation</t>
        </is>
      </c>
      <c r="B1746">
        <f>IF(IF(DATE(2026,11,1)=EDATE(DATE(2028,11,1),-'Model inputs'!AM13*1)="",FALSE,DATE(2026,11,1)=EDATE(DATE(2028,11,1),-'Model inputs'!AM13*1)),IF('POA — Monthly financial forecas'!C27="","",'POA — Monthly financial forecas'!C27),"")</f>
      </c>
    </row>
    <row r="1747">
      <c r="A1747" t="inlineStr" s="25">
        <is>
          <t xml:space="preserve">Calculation</t>
        </is>
      </c>
      <c r="B1747">
        <f>IF(IF(DATE(2026,12,1)=EDATE(DATE(2028,11,1),-'Model inputs'!AM13*1)="",FALSE,DATE(2026,12,1)=EDATE(DATE(2028,11,1),-'Model inputs'!AM13*1)),IF('POA — Monthly financial forecas'!D27="","",'POA — Monthly financial forecas'!D27),"")</f>
      </c>
    </row>
    <row r="1748">
      <c r="A1748" t="inlineStr" s="25">
        <is>
          <t xml:space="preserve">Calculation</t>
        </is>
      </c>
      <c r="B1748">
        <f>IF(IF(DATE(2027,1,1)=EDATE(DATE(2028,11,1),-'Model inputs'!AM13*1)="",FALSE,DATE(2027,1,1)=EDATE(DATE(2028,11,1),-'Model inputs'!AM13*1)),IF('POA — Monthly financial forecas'!E27="","",'POA — Monthly financial forecas'!E27),"")</f>
      </c>
    </row>
    <row r="1749">
      <c r="A1749" t="inlineStr" s="25">
        <is>
          <t xml:space="preserve">Calculation</t>
        </is>
      </c>
      <c r="B1749">
        <f>IF(IF(DATE(2027,2,1)=EDATE(DATE(2028,11,1),-'Model inputs'!AM13*1)="",FALSE,DATE(2027,2,1)=EDATE(DATE(2028,11,1),-'Model inputs'!AM13*1)),IF('POA — Monthly financial forecas'!F27="","",'POA — Monthly financial forecas'!F27),"")</f>
      </c>
    </row>
    <row r="1750">
      <c r="A1750" t="inlineStr" s="25">
        <is>
          <t xml:space="preserve">Calculation</t>
        </is>
      </c>
      <c r="B1750">
        <f>IF(IF(DATE(2027,3,1)=EDATE(DATE(2028,11,1),-'Model inputs'!AM13*1)="",FALSE,DATE(2027,3,1)=EDATE(DATE(2028,11,1),-'Model inputs'!AM13*1)),IF('POA — Monthly financial forecas'!G27="","",'POA — Monthly financial forecas'!G27),"")</f>
      </c>
    </row>
    <row r="1751">
      <c r="A1751" t="inlineStr" s="25">
        <is>
          <t xml:space="preserve">Calculation</t>
        </is>
      </c>
      <c r="B1751">
        <f>IF(IF(DATE(2027,4,1)=EDATE(DATE(2028,11,1),-'Model inputs'!AM13*1)="",FALSE,DATE(2027,4,1)=EDATE(DATE(2028,11,1),-'Model inputs'!AM13*1)),IF('POA — Monthly financial forecas'!H27="","",'POA — Monthly financial forecas'!H27),"")</f>
      </c>
    </row>
    <row r="1752">
      <c r="A1752" t="inlineStr" s="25">
        <is>
          <t xml:space="preserve">Calculation</t>
        </is>
      </c>
      <c r="B1752">
        <f>IF(IF(DATE(2027,5,1)=EDATE(DATE(2028,11,1),-'Model inputs'!AM13*1)="",FALSE,DATE(2027,5,1)=EDATE(DATE(2028,11,1),-'Model inputs'!AM13*1)),IF('POA — Monthly financial forecas'!I27="","",'POA — Monthly financial forecas'!I27),"")</f>
      </c>
    </row>
    <row r="1753">
      <c r="A1753" t="inlineStr" s="25">
        <is>
          <t xml:space="preserve">Calculation</t>
        </is>
      </c>
      <c r="B1753">
        <f>IF(IF(DATE(2027,6,1)=EDATE(DATE(2028,11,1),-'Model inputs'!AM13*1)="",FALSE,DATE(2027,6,1)=EDATE(DATE(2028,11,1),-'Model inputs'!AM13*1)),IF('POA — Monthly financial forecas'!J27="","",'POA — Monthly financial forecas'!J27),"")</f>
      </c>
    </row>
    <row r="1754">
      <c r="A1754" t="inlineStr" s="25">
        <is>
          <t xml:space="preserve">Calculation</t>
        </is>
      </c>
      <c r="B1754">
        <f>IF(IF(DATE(2027,7,1)=EDATE(DATE(2028,11,1),-'Model inputs'!AM13*1)="",FALSE,DATE(2027,7,1)=EDATE(DATE(2028,11,1),-'Model inputs'!AM13*1)),IF('POA — Monthly financial forecas'!K27="","",'POA — Monthly financial forecas'!K27),"")</f>
      </c>
    </row>
    <row r="1755">
      <c r="A1755" t="inlineStr" s="25">
        <is>
          <t xml:space="preserve">Calculation</t>
        </is>
      </c>
      <c r="B1755">
        <f>IF(IF(DATE(2027,8,1)=EDATE(DATE(2028,11,1),-'Model inputs'!AM13*1)="",FALSE,DATE(2027,8,1)=EDATE(DATE(2028,11,1),-'Model inputs'!AM13*1)),IF('POA — Monthly financial forecas'!L27="","",'POA — Monthly financial forecas'!L27),"")</f>
      </c>
    </row>
    <row r="1756">
      <c r="A1756" t="inlineStr" s="25">
        <is>
          <t xml:space="preserve">Calculation</t>
        </is>
      </c>
      <c r="B1756">
        <f>IF(IF(DATE(2027,9,1)=EDATE(DATE(2028,11,1),-'Model inputs'!AM13*1)="",FALSE,DATE(2027,9,1)=EDATE(DATE(2028,11,1),-'Model inputs'!AM13*1)),IF('POA — Monthly financial forecas'!M27="","",'POA — Monthly financial forecas'!M27),"")</f>
      </c>
    </row>
    <row r="1757">
      <c r="A1757" t="inlineStr" s="25">
        <is>
          <t xml:space="preserve">Calculation</t>
        </is>
      </c>
      <c r="B1757">
        <f>IF(IF(DATE(2027,10,1)=EDATE(DATE(2028,11,1),-'Model inputs'!AM13*1)="",FALSE,DATE(2027,10,1)=EDATE(DATE(2028,11,1),-'Model inputs'!AM13*1)),IF('POA — Monthly financial forecas'!N27="","",'POA — Monthly financial forecas'!N27),"")</f>
      </c>
    </row>
    <row r="1758">
      <c r="A1758" t="inlineStr" s="25">
        <is>
          <t xml:space="preserve">Calculation</t>
        </is>
      </c>
      <c r="B1758">
        <f>IF(IF(DATE(2027,11,1)=EDATE(DATE(2028,11,1),-'Model inputs'!AM13*1)="",FALSE,DATE(2027,11,1)=EDATE(DATE(2028,11,1),-'Model inputs'!AM13*1)),IF('POA — Monthly financial forecas'!O27="","",'POA — Monthly financial forecas'!O27),"")</f>
      </c>
    </row>
    <row r="1759">
      <c r="A1759" t="inlineStr" s="25">
        <is>
          <t xml:space="preserve">Calculation</t>
        </is>
      </c>
      <c r="B1759">
        <f>IF(IF(DATE(2027,12,1)=EDATE(DATE(2028,11,1),-'Model inputs'!AM13*1)="",FALSE,DATE(2027,12,1)=EDATE(DATE(2028,11,1),-'Model inputs'!AM13*1)),IF('POA — Monthly financial forecas'!P27="","",'POA — Monthly financial forecas'!P27),"")</f>
      </c>
    </row>
    <row r="1760">
      <c r="A1760" t="inlineStr" s="25">
        <is>
          <t xml:space="preserve">Calculation</t>
        </is>
      </c>
      <c r="B1760">
        <f>IF(IF(DATE(2028,1,1)=EDATE(DATE(2028,11,1),-'Model inputs'!AM13*1)="",FALSE,DATE(2028,1,1)=EDATE(DATE(2028,11,1),-'Model inputs'!AM13*1)),IF('POA — Monthly financial forecas'!Q27="","",'POA — Monthly financial forecas'!Q27),"")</f>
      </c>
    </row>
    <row r="1761">
      <c r="A1761" t="inlineStr" s="25">
        <is>
          <t xml:space="preserve">Calculation</t>
        </is>
      </c>
      <c r="B1761">
        <f>IF(IF(DATE(2028,2,1)=EDATE(DATE(2028,11,1),-'Model inputs'!AM13*1)="",FALSE,DATE(2028,2,1)=EDATE(DATE(2028,11,1),-'Model inputs'!AM13*1)),IF('POA — Monthly financial forecas'!R27="","",'POA — Monthly financial forecas'!R27),"")</f>
      </c>
    </row>
    <row r="1762">
      <c r="A1762" t="inlineStr" s="25">
        <is>
          <t xml:space="preserve">Calculation</t>
        </is>
      </c>
      <c r="B1762">
        <f>IF(IF(DATE(2028,3,1)=EDATE(DATE(2028,11,1),-'Model inputs'!AM13*1)="",FALSE,DATE(2028,3,1)=EDATE(DATE(2028,11,1),-'Model inputs'!AM13*1)),IF('POA — Monthly financial forecas'!S27="","",'POA — Monthly financial forecas'!S27),"")</f>
      </c>
    </row>
    <row r="1763">
      <c r="A1763" t="inlineStr" s="25">
        <is>
          <t xml:space="preserve">Calculation</t>
        </is>
      </c>
      <c r="B1763">
        <f>IF(IF(DATE(2028,4,1)=EDATE(DATE(2028,11,1),-'Model inputs'!AM13*1)="",FALSE,DATE(2028,4,1)=EDATE(DATE(2028,11,1),-'Model inputs'!AM13*1)),IF('POA — Monthly financial forecas'!T27="","",'POA — Monthly financial forecas'!T27),"")</f>
      </c>
    </row>
    <row r="1764">
      <c r="A1764" t="inlineStr" s="25">
        <is>
          <t xml:space="preserve">Calculation</t>
        </is>
      </c>
      <c r="B1764">
        <f>IF(IF(DATE(2028,5,1)=EDATE(DATE(2028,11,1),-'Model inputs'!AM13*1)="",FALSE,DATE(2028,5,1)=EDATE(DATE(2028,11,1),-'Model inputs'!AM13*1)),IF('POA — Monthly financial forecas'!U27="","",'POA — Monthly financial forecas'!U27),"")</f>
      </c>
    </row>
    <row r="1765">
      <c r="A1765" t="inlineStr" s="25">
        <is>
          <t xml:space="preserve">Calculation</t>
        </is>
      </c>
      <c r="B1765">
        <f>IF(IF(DATE(2028,6,1)=EDATE(DATE(2028,11,1),-'Model inputs'!AM13*1)="",FALSE,DATE(2028,6,1)=EDATE(DATE(2028,11,1),-'Model inputs'!AM13*1)),IF('POA — Monthly financial forecas'!V27="","",'POA — Monthly financial forecas'!V27),"")</f>
      </c>
    </row>
    <row r="1766">
      <c r="A1766" t="inlineStr" s="25">
        <is>
          <t xml:space="preserve">Calculation</t>
        </is>
      </c>
      <c r="B1766">
        <f>IF(IF(DATE(2028,7,1)=EDATE(DATE(2028,11,1),-'Model inputs'!AM13*1)="",FALSE,DATE(2028,7,1)=EDATE(DATE(2028,11,1),-'Model inputs'!AM13*1)),IF('POA — Monthly financial forecas'!W27="","",'POA — Monthly financial forecas'!W27),"")</f>
      </c>
    </row>
    <row r="1767">
      <c r="A1767" t="inlineStr" s="25">
        <is>
          <t xml:space="preserve">Calculation</t>
        </is>
      </c>
      <c r="B1767">
        <f>IF(IF(DATE(2028,8,1)=EDATE(DATE(2028,11,1),-'Model inputs'!AM13*1)="",FALSE,DATE(2028,8,1)=EDATE(DATE(2028,11,1),-'Model inputs'!AM13*1)),IF('POA — Monthly financial forecas'!X27="","",'POA — Monthly financial forecas'!X27),"")</f>
      </c>
    </row>
    <row r="1768">
      <c r="A1768" t="inlineStr" s="25">
        <is>
          <t xml:space="preserve">Calculation</t>
        </is>
      </c>
      <c r="B1768">
        <f>IF(IF(DATE(2028,9,1)=EDATE(DATE(2028,11,1),-'Model inputs'!AM13*1)="",FALSE,DATE(2028,9,1)=EDATE(DATE(2028,11,1),-'Model inputs'!AM13*1)),IF('POA — Monthly financial forecas'!Y27="","",'POA — Monthly financial forecas'!Y27),"")</f>
      </c>
    </row>
    <row r="1769">
      <c r="A1769" t="inlineStr" s="25">
        <is>
          <t xml:space="preserve">Calculation</t>
        </is>
      </c>
      <c r="B1769">
        <f>IF(IF(DATE(2028,10,1)=EDATE(DATE(2028,11,1),-'Model inputs'!AM13*1)="",FALSE,DATE(2028,10,1)=EDATE(DATE(2028,11,1),-'Model inputs'!AM13*1)),IF('POA — Monthly financial forecas'!Z27="","",'POA — Monthly financial forecas'!Z27),"")</f>
      </c>
    </row>
    <row r="1770">
      <c r="A1770" t="inlineStr" s="25">
        <is>
          <t xml:space="preserve">Calculation</t>
        </is>
      </c>
      <c r="B1770">
        <f>IF(IF(DATE(2028,11,1)=EDATE(DATE(2028,11,1),-'Model inputs'!AM13*1)="",FALSE,DATE(2028,11,1)=EDATE(DATE(2028,11,1),-'Model inputs'!AM13*1)),IF('POA — Monthly financial forecas'!AA27="","",'POA — Monthly financial forecas'!AA27),"")</f>
      </c>
    </row>
    <row r="1771">
      <c r="A1771" t="inlineStr" s="25">
        <is>
          <t xml:space="preserve">Calculation</t>
        </is>
      </c>
      <c r="B1771">
        <f>IF(IF(DATE(2028,12,1)=EDATE(DATE(2028,11,1),-'Model inputs'!AM13*1)="",FALSE,DATE(2028,12,1)=EDATE(DATE(2028,11,1),-'Model inputs'!AM13*1)),IF('POA — Monthly financial forecas'!AB27="","",'POA — Monthly financial forecas'!AB27),"")</f>
      </c>
    </row>
    <row r="1772">
      <c r="A1772" t="inlineStr" s="25">
        <is>
          <t xml:space="preserve">Calculation</t>
        </is>
      </c>
      <c r="B1772">
        <f>IF(IF(DATE(2029,1,1)=EDATE(DATE(2028,11,1),-'Model inputs'!AM13*1)="",FALSE,DATE(2029,1,1)=EDATE(DATE(2028,11,1),-'Model inputs'!AM13*1)),IF('POA — Monthly financial forecas'!AC27="","",'POA — Monthly financial forecas'!AC27),"")</f>
      </c>
    </row>
    <row r="1773">
      <c r="A1773" t="inlineStr" s="25">
        <is>
          <t xml:space="preserve">Calculation</t>
        </is>
      </c>
      <c r="B1773">
        <f>IF(IF(DATE(2029,2,1)=EDATE(DATE(2028,11,1),-'Model inputs'!AM13*1)="",FALSE,DATE(2029,2,1)=EDATE(DATE(2028,11,1),-'Model inputs'!AM13*1)),IF('POA — Monthly financial forecas'!AD27="","",'POA — Monthly financial forecas'!AD27),"")</f>
      </c>
    </row>
    <row r="1774">
      <c r="A1774" t="inlineStr" s="25">
        <is>
          <t xml:space="preserve">Calculation</t>
        </is>
      </c>
      <c r="B1774">
        <f>IF(IF(DATE(2029,3,1)=EDATE(DATE(2028,11,1),-'Model inputs'!AM13*1)="",FALSE,DATE(2029,3,1)=EDATE(DATE(2028,11,1),-'Model inputs'!AM13*1)),IF('POA — Monthly financial forecas'!AE27="","",'POA — Monthly financial forecas'!AE27),"")</f>
      </c>
    </row>
    <row r="1775">
      <c r="A1775" t="inlineStr" s="25">
        <is>
          <t xml:space="preserve">Calculation</t>
        </is>
      </c>
      <c r="B1775">
        <f>IF(IF(DATE(2029,4,1)=EDATE(DATE(2028,11,1),-'Model inputs'!AM13*1)="",FALSE,DATE(2029,4,1)=EDATE(DATE(2028,11,1),-'Model inputs'!AM13*1)),IF('POA — Monthly financial forecas'!AF27="","",'POA — Monthly financial forecas'!AF27),"")</f>
      </c>
    </row>
    <row r="1776">
      <c r="A1776" t="inlineStr" s="25">
        <is>
          <t xml:space="preserve">Calculation</t>
        </is>
      </c>
      <c r="B1776">
        <f>IF(IF(DATE(2029,5,1)=EDATE(DATE(2028,11,1),-'Model inputs'!AM13*1)="",FALSE,DATE(2029,5,1)=EDATE(DATE(2028,11,1),-'Model inputs'!AM13*1)),IF('POA — Monthly financial forecas'!AG27="","",'POA — Monthly financial forecas'!AG27),"")</f>
      </c>
    </row>
    <row r="1777">
      <c r="A1777" t="inlineStr" s="25">
        <is>
          <t xml:space="preserve">Calculation</t>
        </is>
      </c>
      <c r="B1777">
        <f>IF(IF(DATE(2029,6,1)=EDATE(DATE(2028,11,1),-'Model inputs'!AM13*1)="",FALSE,DATE(2029,6,1)=EDATE(DATE(2028,11,1),-'Model inputs'!AM13*1)),IF('POA — Monthly financial forecas'!AH27="","",'POA — Monthly financial forecas'!AH27),"")</f>
      </c>
    </row>
    <row r="1778">
      <c r="A1778" t="inlineStr" s="25">
        <is>
          <t xml:space="preserve">Calculation</t>
        </is>
      </c>
      <c r="B1778">
        <f>IF(IF(DATE(2029,7,1)=EDATE(DATE(2028,11,1),-'Model inputs'!AM13*1)="",FALSE,DATE(2029,7,1)=EDATE(DATE(2028,11,1),-'Model inputs'!AM13*1)),IF('POA — Monthly financial forecas'!AI27="","",'POA — Monthly financial forecas'!AI27),"")</f>
      </c>
    </row>
    <row r="1779">
      <c r="A1779" t="inlineStr" s="25">
        <is>
          <t xml:space="preserve">Calculation</t>
        </is>
      </c>
      <c r="B1779">
        <f>IF(IF(DATE(2029,8,1)=EDATE(DATE(2028,11,1),-'Model inputs'!AM13*1)="",FALSE,DATE(2029,8,1)=EDATE(DATE(2028,11,1),-'Model inputs'!AM13*1)),IF('POA — Monthly financial forecas'!AJ27="","",'POA — Monthly financial forecas'!AJ27),"")</f>
      </c>
    </row>
    <row r="1780">
      <c r="A1780" t="inlineStr" s="25">
        <is>
          <t xml:space="preserve">Calculation</t>
        </is>
      </c>
      <c r="B1780">
        <f>IF(IF(DATE(2029,9,1)=EDATE(DATE(2028,11,1),-'Model inputs'!AM13*1)="",FALSE,DATE(2029,9,1)=EDATE(DATE(2028,11,1),-'Model inputs'!AM13*1)),IF('POA — Monthly financial forecas'!AK27="","",'POA — Monthly financial forecas'!AK27),"")</f>
      </c>
    </row>
    <row r="1781">
      <c r="A1781" t="inlineStr" s="25">
        <is>
          <t xml:space="preserve">Calculation</t>
        </is>
      </c>
      <c r="B1781">
        <f>IF(IF(DATE(2026,9,1)=EDATE(DATE(2028,11,1),-'Model inputs'!AM13*1)="",FALSE,DATE(2026,9,1)=EDATE(DATE(2028,11,1),-'Model inputs'!AM13*1)),IF('Model inputs'!B85="","",'Model inputs'!B85),"")</f>
      </c>
    </row>
    <row r="1782">
      <c r="A1782" t="inlineStr" s="25">
        <is>
          <t xml:space="preserve">Calculation</t>
        </is>
      </c>
      <c r="B1782">
        <f>SUM(IF(IF('Model inputs'!B1745="",0,1)="",0,IF('Model inputs'!B1745="",0,1)),IF(IF('Model inputs'!B1746="",0,1)="",0,IF('Model inputs'!B1746="",0,1)),IF(IF('Model inputs'!B1747="",0,1)="",0,IF('Model inputs'!B1747="",0,1)),IF(IF('Model inputs'!B1748="",0,1)="",0,IF('Model inputs'!B1748="",0,1)),IF(IF('Model inputs'!B1749="",0,1)="",0,IF('Model inputs'!B1749="",0,1)),IF(IF('Model inputs'!B1750="",0,1)="",0,IF('Model inputs'!B1750="",0,1)),IF(IF('Model inputs'!B1751="",0,1)="",0,IF('Model inputs'!B1751="",0,1)),IF(IF('Model inputs'!B1752="",0,1)="",0,IF('Model inputs'!B1752="",0,1)),IF(IF('Model inputs'!B1753="",0,1)="",0,IF('Model inputs'!B1753="",0,1)),IF(IF('Model inputs'!B1754="",0,1)="",0,IF('Model inputs'!B1754="",0,1)),IF(IF('Model inputs'!B1755="",0,1)="",0,IF('Model inputs'!B1755="",0,1)),IF(IF('Model inputs'!B1756="",0,1)="",0,IF('Model inputs'!B1756="",0,1)),IF(IF('Model inputs'!B1757="",0,1)="",0,IF('Model inputs'!B1757="",0,1)),IF(IF('Model inputs'!B1758="",0,1)="",0,IF('Model inputs'!B1758="",0,1)),IF(IF('Model inputs'!B1759="",0,1)="",0,IF('Model inputs'!B1759="",0,1)),IF(IF('Model inputs'!B1760="",0,1)="",0,IF('Model inputs'!B1760="",0,1)),IF(IF('Model inputs'!B1761="",0,1)="",0,IF('Model inputs'!B1761="",0,1)),IF(IF('Model inputs'!B1762="",0,1)="",0,IF('Model inputs'!B1762="",0,1)),IF(IF('Model inputs'!B1763="",0,1)="",0,IF('Model inputs'!B1763="",0,1)),IF(IF('Model inputs'!B1764="",0,1)="",0,IF('Model inputs'!B1764="",0,1)),IF(IF('Model inputs'!B1765="",0,1)="",0,IF('Model inputs'!B1765="",0,1)),IF(IF('Model inputs'!B1766="",0,1)="",0,IF('Model inputs'!B1766="",0,1)),IF(IF('Model inputs'!B1767="",0,1)="",0,IF('Model inputs'!B1767="",0,1)),IF(IF('Model inputs'!B1768="",0,1)="",0,IF('Model inputs'!B1768="",0,1)),IF(IF('Model inputs'!B1769="",0,1)="",0,IF('Model inputs'!B1769="",0,1)),IF(IF('Model inputs'!B1770="",0,1)="",0,IF('Model inputs'!B1770="",0,1)),IF(IF('Model inputs'!B1771="",0,1)="",0,IF('Model inputs'!B1771="",0,1)),IF(IF('Model inputs'!B1772="",0,1)="",0,IF('Model inputs'!B1772="",0,1)),IF(IF('Model inputs'!B1773="",0,1)="",0,IF('Model inputs'!B1773="",0,1)),IF(IF('Model inputs'!B1774="",0,1)="",0,IF('Model inputs'!B1774="",0,1)),IF(IF('Model inputs'!B1775="",0,1)="",0,IF('Model inputs'!B1775="",0,1)),IF(IF('Model inputs'!B1776="",0,1)="",0,IF('Model inputs'!B1776="",0,1)),IF(IF('Model inputs'!B1777="",0,1)="",0,IF('Model inputs'!B1777="",0,1)),IF(IF('Model inputs'!B1778="",0,1)="",0,IF('Model inputs'!B1778="",0,1)),IF(IF('Model inputs'!B1779="",0,1)="",0,IF('Model inputs'!B1779="",0,1)),IF(IF('Model inputs'!B1780="",0,1)="",0,IF('Model inputs'!B1780="",0,1)),IF(IF('Model inputs'!B1781="",0,1)="",0,IF('Model inputs'!B1781="",0,1)))</f>
      </c>
    </row>
    <row r="1783">
      <c r="A1783" t="inlineStr" s="25">
        <is>
          <t xml:space="preserve">Calculation</t>
        </is>
      </c>
      <c r="B1783">
        <f>IF(IF(DATE(2026,10,1)=EDATE(DATE(2028,12,1),-'Model inputs'!AM13*1)="",FALSE,DATE(2026,10,1)=EDATE(DATE(2028,12,1),-'Model inputs'!AM13*1)),IF('POA — Monthly financial forecas'!B27="","",'POA — Monthly financial forecas'!B27),"")</f>
      </c>
    </row>
    <row r="1784">
      <c r="A1784" t="inlineStr" s="25">
        <is>
          <t xml:space="preserve">Calculation</t>
        </is>
      </c>
      <c r="B1784">
        <f>IF(IF(DATE(2026,11,1)=EDATE(DATE(2028,12,1),-'Model inputs'!AM13*1)="",FALSE,DATE(2026,11,1)=EDATE(DATE(2028,12,1),-'Model inputs'!AM13*1)),IF('POA — Monthly financial forecas'!C27="","",'POA — Monthly financial forecas'!C27),"")</f>
      </c>
    </row>
    <row r="1785">
      <c r="A1785" t="inlineStr" s="25">
        <is>
          <t xml:space="preserve">Calculation</t>
        </is>
      </c>
      <c r="B1785">
        <f>IF(IF(DATE(2026,12,1)=EDATE(DATE(2028,12,1),-'Model inputs'!AM13*1)="",FALSE,DATE(2026,12,1)=EDATE(DATE(2028,12,1),-'Model inputs'!AM13*1)),IF('POA — Monthly financial forecas'!D27="","",'POA — Monthly financial forecas'!D27),"")</f>
      </c>
    </row>
    <row r="1786">
      <c r="A1786" t="inlineStr" s="25">
        <is>
          <t xml:space="preserve">Calculation</t>
        </is>
      </c>
      <c r="B1786">
        <f>IF(IF(DATE(2027,1,1)=EDATE(DATE(2028,12,1),-'Model inputs'!AM13*1)="",FALSE,DATE(2027,1,1)=EDATE(DATE(2028,12,1),-'Model inputs'!AM13*1)),IF('POA — Monthly financial forecas'!E27="","",'POA — Monthly financial forecas'!E27),"")</f>
      </c>
    </row>
    <row r="1787">
      <c r="A1787" t="inlineStr" s="25">
        <is>
          <t xml:space="preserve">Calculation</t>
        </is>
      </c>
      <c r="B1787">
        <f>IF(IF(DATE(2027,2,1)=EDATE(DATE(2028,12,1),-'Model inputs'!AM13*1)="",FALSE,DATE(2027,2,1)=EDATE(DATE(2028,12,1),-'Model inputs'!AM13*1)),IF('POA — Monthly financial forecas'!F27="","",'POA — Monthly financial forecas'!F27),"")</f>
      </c>
    </row>
    <row r="1788">
      <c r="A1788" t="inlineStr" s="25">
        <is>
          <t xml:space="preserve">Calculation</t>
        </is>
      </c>
      <c r="B1788">
        <f>IF(IF(DATE(2027,3,1)=EDATE(DATE(2028,12,1),-'Model inputs'!AM13*1)="",FALSE,DATE(2027,3,1)=EDATE(DATE(2028,12,1),-'Model inputs'!AM13*1)),IF('POA — Monthly financial forecas'!G27="","",'POA — Monthly financial forecas'!G27),"")</f>
      </c>
    </row>
    <row r="1789">
      <c r="A1789" t="inlineStr" s="25">
        <is>
          <t xml:space="preserve">Calculation</t>
        </is>
      </c>
      <c r="B1789">
        <f>IF(IF(DATE(2027,4,1)=EDATE(DATE(2028,12,1),-'Model inputs'!AM13*1)="",FALSE,DATE(2027,4,1)=EDATE(DATE(2028,12,1),-'Model inputs'!AM13*1)),IF('POA — Monthly financial forecas'!H27="","",'POA — Monthly financial forecas'!H27),"")</f>
      </c>
    </row>
    <row r="1790">
      <c r="A1790" t="inlineStr" s="25">
        <is>
          <t xml:space="preserve">Calculation</t>
        </is>
      </c>
      <c r="B1790">
        <f>IF(IF(DATE(2027,5,1)=EDATE(DATE(2028,12,1),-'Model inputs'!AM13*1)="",FALSE,DATE(2027,5,1)=EDATE(DATE(2028,12,1),-'Model inputs'!AM13*1)),IF('POA — Monthly financial forecas'!I27="","",'POA — Monthly financial forecas'!I27),"")</f>
      </c>
    </row>
    <row r="1791">
      <c r="A1791" t="inlineStr" s="25">
        <is>
          <t xml:space="preserve">Calculation</t>
        </is>
      </c>
      <c r="B1791">
        <f>IF(IF(DATE(2027,6,1)=EDATE(DATE(2028,12,1),-'Model inputs'!AM13*1)="",FALSE,DATE(2027,6,1)=EDATE(DATE(2028,12,1),-'Model inputs'!AM13*1)),IF('POA — Monthly financial forecas'!J27="","",'POA — Monthly financial forecas'!J27),"")</f>
      </c>
    </row>
    <row r="1792">
      <c r="A1792" t="inlineStr" s="25">
        <is>
          <t xml:space="preserve">Calculation</t>
        </is>
      </c>
      <c r="B1792">
        <f>IF(IF(DATE(2027,7,1)=EDATE(DATE(2028,12,1),-'Model inputs'!AM13*1)="",FALSE,DATE(2027,7,1)=EDATE(DATE(2028,12,1),-'Model inputs'!AM13*1)),IF('POA — Monthly financial forecas'!K27="","",'POA — Monthly financial forecas'!K27),"")</f>
      </c>
    </row>
    <row r="1793">
      <c r="A1793" t="inlineStr" s="25">
        <is>
          <t xml:space="preserve">Calculation</t>
        </is>
      </c>
      <c r="B1793">
        <f>IF(IF(DATE(2027,8,1)=EDATE(DATE(2028,12,1),-'Model inputs'!AM13*1)="",FALSE,DATE(2027,8,1)=EDATE(DATE(2028,12,1),-'Model inputs'!AM13*1)),IF('POA — Monthly financial forecas'!L27="","",'POA — Monthly financial forecas'!L27),"")</f>
      </c>
    </row>
    <row r="1794">
      <c r="A1794" t="inlineStr" s="25">
        <is>
          <t xml:space="preserve">Calculation</t>
        </is>
      </c>
      <c r="B1794">
        <f>IF(IF(DATE(2027,9,1)=EDATE(DATE(2028,12,1),-'Model inputs'!AM13*1)="",FALSE,DATE(2027,9,1)=EDATE(DATE(2028,12,1),-'Model inputs'!AM13*1)),IF('POA — Monthly financial forecas'!M27="","",'POA — Monthly financial forecas'!M27),"")</f>
      </c>
    </row>
    <row r="1795">
      <c r="A1795" t="inlineStr" s="25">
        <is>
          <t xml:space="preserve">Calculation</t>
        </is>
      </c>
      <c r="B1795">
        <f>IF(IF(DATE(2027,10,1)=EDATE(DATE(2028,12,1),-'Model inputs'!AM13*1)="",FALSE,DATE(2027,10,1)=EDATE(DATE(2028,12,1),-'Model inputs'!AM13*1)),IF('POA — Monthly financial forecas'!N27="","",'POA — Monthly financial forecas'!N27),"")</f>
      </c>
    </row>
    <row r="1796">
      <c r="A1796" t="inlineStr" s="25">
        <is>
          <t xml:space="preserve">Calculation</t>
        </is>
      </c>
      <c r="B1796">
        <f>IF(IF(DATE(2027,11,1)=EDATE(DATE(2028,12,1),-'Model inputs'!AM13*1)="",FALSE,DATE(2027,11,1)=EDATE(DATE(2028,12,1),-'Model inputs'!AM13*1)),IF('POA — Monthly financial forecas'!O27="","",'POA — Monthly financial forecas'!O27),"")</f>
      </c>
    </row>
    <row r="1797">
      <c r="A1797" t="inlineStr" s="25">
        <is>
          <t xml:space="preserve">Calculation</t>
        </is>
      </c>
      <c r="B1797">
        <f>IF(IF(DATE(2027,12,1)=EDATE(DATE(2028,12,1),-'Model inputs'!AM13*1)="",FALSE,DATE(2027,12,1)=EDATE(DATE(2028,12,1),-'Model inputs'!AM13*1)),IF('POA — Monthly financial forecas'!P27="","",'POA — Monthly financial forecas'!P27),"")</f>
      </c>
    </row>
    <row r="1798">
      <c r="A1798" t="inlineStr" s="25">
        <is>
          <t xml:space="preserve">Calculation</t>
        </is>
      </c>
      <c r="B1798">
        <f>IF(IF(DATE(2028,1,1)=EDATE(DATE(2028,12,1),-'Model inputs'!AM13*1)="",FALSE,DATE(2028,1,1)=EDATE(DATE(2028,12,1),-'Model inputs'!AM13*1)),IF('POA — Monthly financial forecas'!Q27="","",'POA — Monthly financial forecas'!Q27),"")</f>
      </c>
    </row>
    <row r="1799">
      <c r="A1799" t="inlineStr" s="25">
        <is>
          <t xml:space="preserve">Calculation</t>
        </is>
      </c>
      <c r="B1799">
        <f>IF(IF(DATE(2028,2,1)=EDATE(DATE(2028,12,1),-'Model inputs'!AM13*1)="",FALSE,DATE(2028,2,1)=EDATE(DATE(2028,12,1),-'Model inputs'!AM13*1)),IF('POA — Monthly financial forecas'!R27="","",'POA — Monthly financial forecas'!R27),"")</f>
      </c>
    </row>
    <row r="1800">
      <c r="A1800" t="inlineStr" s="25">
        <is>
          <t xml:space="preserve">Calculation</t>
        </is>
      </c>
      <c r="B1800">
        <f>IF(IF(DATE(2028,3,1)=EDATE(DATE(2028,12,1),-'Model inputs'!AM13*1)="",FALSE,DATE(2028,3,1)=EDATE(DATE(2028,12,1),-'Model inputs'!AM13*1)),IF('POA — Monthly financial forecas'!S27="","",'POA — Monthly financial forecas'!S27),"")</f>
      </c>
    </row>
    <row r="1801">
      <c r="A1801" t="inlineStr" s="25">
        <is>
          <t xml:space="preserve">Calculation</t>
        </is>
      </c>
      <c r="B1801">
        <f>IF(IF(DATE(2028,4,1)=EDATE(DATE(2028,12,1),-'Model inputs'!AM13*1)="",FALSE,DATE(2028,4,1)=EDATE(DATE(2028,12,1),-'Model inputs'!AM13*1)),IF('POA — Monthly financial forecas'!T27="","",'POA — Monthly financial forecas'!T27),"")</f>
      </c>
    </row>
    <row r="1802">
      <c r="A1802" t="inlineStr" s="25">
        <is>
          <t xml:space="preserve">Calculation</t>
        </is>
      </c>
      <c r="B1802">
        <f>IF(IF(DATE(2028,5,1)=EDATE(DATE(2028,12,1),-'Model inputs'!AM13*1)="",FALSE,DATE(2028,5,1)=EDATE(DATE(2028,12,1),-'Model inputs'!AM13*1)),IF('POA — Monthly financial forecas'!U27="","",'POA — Monthly financial forecas'!U27),"")</f>
      </c>
    </row>
    <row r="1803">
      <c r="A1803" t="inlineStr" s="25">
        <is>
          <t xml:space="preserve">Calculation</t>
        </is>
      </c>
      <c r="B1803">
        <f>IF(IF(DATE(2028,6,1)=EDATE(DATE(2028,12,1),-'Model inputs'!AM13*1)="",FALSE,DATE(2028,6,1)=EDATE(DATE(2028,12,1),-'Model inputs'!AM13*1)),IF('POA — Monthly financial forecas'!V27="","",'POA — Monthly financial forecas'!V27),"")</f>
      </c>
    </row>
    <row r="1804">
      <c r="A1804" t="inlineStr" s="25">
        <is>
          <t xml:space="preserve">Calculation</t>
        </is>
      </c>
      <c r="B1804">
        <f>IF(IF(DATE(2028,7,1)=EDATE(DATE(2028,12,1),-'Model inputs'!AM13*1)="",FALSE,DATE(2028,7,1)=EDATE(DATE(2028,12,1),-'Model inputs'!AM13*1)),IF('POA — Monthly financial forecas'!W27="","",'POA — Monthly financial forecas'!W27),"")</f>
      </c>
    </row>
    <row r="1805">
      <c r="A1805" t="inlineStr" s="25">
        <is>
          <t xml:space="preserve">Calculation</t>
        </is>
      </c>
      <c r="B1805">
        <f>IF(IF(DATE(2028,8,1)=EDATE(DATE(2028,12,1),-'Model inputs'!AM13*1)="",FALSE,DATE(2028,8,1)=EDATE(DATE(2028,12,1),-'Model inputs'!AM13*1)),IF('POA — Monthly financial forecas'!X27="","",'POA — Monthly financial forecas'!X27),"")</f>
      </c>
    </row>
    <row r="1806">
      <c r="A1806" t="inlineStr" s="25">
        <is>
          <t xml:space="preserve">Calculation</t>
        </is>
      </c>
      <c r="B1806">
        <f>IF(IF(DATE(2028,9,1)=EDATE(DATE(2028,12,1),-'Model inputs'!AM13*1)="",FALSE,DATE(2028,9,1)=EDATE(DATE(2028,12,1),-'Model inputs'!AM13*1)),IF('POA — Monthly financial forecas'!Y27="","",'POA — Monthly financial forecas'!Y27),"")</f>
      </c>
    </row>
    <row r="1807">
      <c r="A1807" t="inlineStr" s="25">
        <is>
          <t xml:space="preserve">Calculation</t>
        </is>
      </c>
      <c r="B1807">
        <f>IF(IF(DATE(2028,10,1)=EDATE(DATE(2028,12,1),-'Model inputs'!AM13*1)="",FALSE,DATE(2028,10,1)=EDATE(DATE(2028,12,1),-'Model inputs'!AM13*1)),IF('POA — Monthly financial forecas'!Z27="","",'POA — Monthly financial forecas'!Z27),"")</f>
      </c>
    </row>
    <row r="1808">
      <c r="A1808" t="inlineStr" s="25">
        <is>
          <t xml:space="preserve">Calculation</t>
        </is>
      </c>
      <c r="B1808">
        <f>IF(IF(DATE(2028,11,1)=EDATE(DATE(2028,12,1),-'Model inputs'!AM13*1)="",FALSE,DATE(2028,11,1)=EDATE(DATE(2028,12,1),-'Model inputs'!AM13*1)),IF('POA — Monthly financial forecas'!AA27="","",'POA — Monthly financial forecas'!AA27),"")</f>
      </c>
    </row>
    <row r="1809">
      <c r="A1809" t="inlineStr" s="25">
        <is>
          <t xml:space="preserve">Calculation</t>
        </is>
      </c>
      <c r="B1809">
        <f>IF(IF(DATE(2028,12,1)=EDATE(DATE(2028,12,1),-'Model inputs'!AM13*1)="",FALSE,DATE(2028,12,1)=EDATE(DATE(2028,12,1),-'Model inputs'!AM13*1)),IF('POA — Monthly financial forecas'!AB27="","",'POA — Monthly financial forecas'!AB27),"")</f>
      </c>
    </row>
    <row r="1810">
      <c r="A1810" t="inlineStr" s="25">
        <is>
          <t xml:space="preserve">Calculation</t>
        </is>
      </c>
      <c r="B1810">
        <f>IF(IF(DATE(2029,1,1)=EDATE(DATE(2028,12,1),-'Model inputs'!AM13*1)="",FALSE,DATE(2029,1,1)=EDATE(DATE(2028,12,1),-'Model inputs'!AM13*1)),IF('POA — Monthly financial forecas'!AC27="","",'POA — Monthly financial forecas'!AC27),"")</f>
      </c>
    </row>
    <row r="1811">
      <c r="A1811" t="inlineStr" s="25">
        <is>
          <t xml:space="preserve">Calculation</t>
        </is>
      </c>
      <c r="B1811">
        <f>IF(IF(DATE(2029,2,1)=EDATE(DATE(2028,12,1),-'Model inputs'!AM13*1)="",FALSE,DATE(2029,2,1)=EDATE(DATE(2028,12,1),-'Model inputs'!AM13*1)),IF('POA — Monthly financial forecas'!AD27="","",'POA — Monthly financial forecas'!AD27),"")</f>
      </c>
    </row>
    <row r="1812">
      <c r="A1812" t="inlineStr" s="25">
        <is>
          <t xml:space="preserve">Calculation</t>
        </is>
      </c>
      <c r="B1812">
        <f>IF(IF(DATE(2029,3,1)=EDATE(DATE(2028,12,1),-'Model inputs'!AM13*1)="",FALSE,DATE(2029,3,1)=EDATE(DATE(2028,12,1),-'Model inputs'!AM13*1)),IF('POA — Monthly financial forecas'!AE27="","",'POA — Monthly financial forecas'!AE27),"")</f>
      </c>
    </row>
    <row r="1813">
      <c r="A1813" t="inlineStr" s="25">
        <is>
          <t xml:space="preserve">Calculation</t>
        </is>
      </c>
      <c r="B1813">
        <f>IF(IF(DATE(2029,4,1)=EDATE(DATE(2028,12,1),-'Model inputs'!AM13*1)="",FALSE,DATE(2029,4,1)=EDATE(DATE(2028,12,1),-'Model inputs'!AM13*1)),IF('POA — Monthly financial forecas'!AF27="","",'POA — Monthly financial forecas'!AF27),"")</f>
      </c>
    </row>
    <row r="1814">
      <c r="A1814" t="inlineStr" s="25">
        <is>
          <t xml:space="preserve">Calculation</t>
        </is>
      </c>
      <c r="B1814">
        <f>IF(IF(DATE(2029,5,1)=EDATE(DATE(2028,12,1),-'Model inputs'!AM13*1)="",FALSE,DATE(2029,5,1)=EDATE(DATE(2028,12,1),-'Model inputs'!AM13*1)),IF('POA — Monthly financial forecas'!AG27="","",'POA — Monthly financial forecas'!AG27),"")</f>
      </c>
    </row>
    <row r="1815">
      <c r="A1815" t="inlineStr" s="25">
        <is>
          <t xml:space="preserve">Calculation</t>
        </is>
      </c>
      <c r="B1815">
        <f>IF(IF(DATE(2029,6,1)=EDATE(DATE(2028,12,1),-'Model inputs'!AM13*1)="",FALSE,DATE(2029,6,1)=EDATE(DATE(2028,12,1),-'Model inputs'!AM13*1)),IF('POA — Monthly financial forecas'!AH27="","",'POA — Monthly financial forecas'!AH27),"")</f>
      </c>
    </row>
    <row r="1816">
      <c r="A1816" t="inlineStr" s="25">
        <is>
          <t xml:space="preserve">Calculation</t>
        </is>
      </c>
      <c r="B1816">
        <f>IF(IF(DATE(2029,7,1)=EDATE(DATE(2028,12,1),-'Model inputs'!AM13*1)="",FALSE,DATE(2029,7,1)=EDATE(DATE(2028,12,1),-'Model inputs'!AM13*1)),IF('POA — Monthly financial forecas'!AI27="","",'POA — Monthly financial forecas'!AI27),"")</f>
      </c>
    </row>
    <row r="1817">
      <c r="A1817" t="inlineStr" s="25">
        <is>
          <t xml:space="preserve">Calculation</t>
        </is>
      </c>
      <c r="B1817">
        <f>IF(IF(DATE(2029,8,1)=EDATE(DATE(2028,12,1),-'Model inputs'!AM13*1)="",FALSE,DATE(2029,8,1)=EDATE(DATE(2028,12,1),-'Model inputs'!AM13*1)),IF('POA — Monthly financial forecas'!AJ27="","",'POA — Monthly financial forecas'!AJ27),"")</f>
      </c>
    </row>
    <row r="1818">
      <c r="A1818" t="inlineStr" s="25">
        <is>
          <t xml:space="preserve">Calculation</t>
        </is>
      </c>
      <c r="B1818">
        <f>IF(IF(DATE(2029,9,1)=EDATE(DATE(2028,12,1),-'Model inputs'!AM13*1)="",FALSE,DATE(2029,9,1)=EDATE(DATE(2028,12,1),-'Model inputs'!AM13*1)),IF('POA — Monthly financial forecas'!AK27="","",'POA — Monthly financial forecas'!AK27),"")</f>
      </c>
    </row>
    <row r="1819">
      <c r="A1819" t="inlineStr" s="25">
        <is>
          <t xml:space="preserve">Calculation</t>
        </is>
      </c>
      <c r="B1819">
        <f>IF(IF(DATE(2026,9,1)=EDATE(DATE(2028,12,1),-'Model inputs'!AM13*1)="",FALSE,DATE(2026,9,1)=EDATE(DATE(2028,12,1),-'Model inputs'!AM13*1)),IF('Model inputs'!B85="","",'Model inputs'!B85),"")</f>
      </c>
    </row>
    <row r="1820">
      <c r="A1820" t="inlineStr" s="25">
        <is>
          <t xml:space="preserve">Calculation</t>
        </is>
      </c>
      <c r="B1820">
        <f>SUM(IF(IF('Model inputs'!B1783="",0,1)="",0,IF('Model inputs'!B1783="",0,1)),IF(IF('Model inputs'!B1784="",0,1)="",0,IF('Model inputs'!B1784="",0,1)),IF(IF('Model inputs'!B1785="",0,1)="",0,IF('Model inputs'!B1785="",0,1)),IF(IF('Model inputs'!B1786="",0,1)="",0,IF('Model inputs'!B1786="",0,1)),IF(IF('Model inputs'!B1787="",0,1)="",0,IF('Model inputs'!B1787="",0,1)),IF(IF('Model inputs'!B1788="",0,1)="",0,IF('Model inputs'!B1788="",0,1)),IF(IF('Model inputs'!B1789="",0,1)="",0,IF('Model inputs'!B1789="",0,1)),IF(IF('Model inputs'!B1790="",0,1)="",0,IF('Model inputs'!B1790="",0,1)),IF(IF('Model inputs'!B1791="",0,1)="",0,IF('Model inputs'!B1791="",0,1)),IF(IF('Model inputs'!B1792="",0,1)="",0,IF('Model inputs'!B1792="",0,1)),IF(IF('Model inputs'!B1793="",0,1)="",0,IF('Model inputs'!B1793="",0,1)),IF(IF('Model inputs'!B1794="",0,1)="",0,IF('Model inputs'!B1794="",0,1)),IF(IF('Model inputs'!B1795="",0,1)="",0,IF('Model inputs'!B1795="",0,1)),IF(IF('Model inputs'!B1796="",0,1)="",0,IF('Model inputs'!B1796="",0,1)),IF(IF('Model inputs'!B1797="",0,1)="",0,IF('Model inputs'!B1797="",0,1)),IF(IF('Model inputs'!B1798="",0,1)="",0,IF('Model inputs'!B1798="",0,1)),IF(IF('Model inputs'!B1799="",0,1)="",0,IF('Model inputs'!B1799="",0,1)),IF(IF('Model inputs'!B1800="",0,1)="",0,IF('Model inputs'!B1800="",0,1)),IF(IF('Model inputs'!B1801="",0,1)="",0,IF('Model inputs'!B1801="",0,1)),IF(IF('Model inputs'!B1802="",0,1)="",0,IF('Model inputs'!B1802="",0,1)),IF(IF('Model inputs'!B1803="",0,1)="",0,IF('Model inputs'!B1803="",0,1)),IF(IF('Model inputs'!B1804="",0,1)="",0,IF('Model inputs'!B1804="",0,1)),IF(IF('Model inputs'!B1805="",0,1)="",0,IF('Model inputs'!B1805="",0,1)),IF(IF('Model inputs'!B1806="",0,1)="",0,IF('Model inputs'!B1806="",0,1)),IF(IF('Model inputs'!B1807="",0,1)="",0,IF('Model inputs'!B1807="",0,1)),IF(IF('Model inputs'!B1808="",0,1)="",0,IF('Model inputs'!B1808="",0,1)),IF(IF('Model inputs'!B1809="",0,1)="",0,IF('Model inputs'!B1809="",0,1)),IF(IF('Model inputs'!B1810="",0,1)="",0,IF('Model inputs'!B1810="",0,1)),IF(IF('Model inputs'!B1811="",0,1)="",0,IF('Model inputs'!B1811="",0,1)),IF(IF('Model inputs'!B1812="",0,1)="",0,IF('Model inputs'!B1812="",0,1)),IF(IF('Model inputs'!B1813="",0,1)="",0,IF('Model inputs'!B1813="",0,1)),IF(IF('Model inputs'!B1814="",0,1)="",0,IF('Model inputs'!B1814="",0,1)),IF(IF('Model inputs'!B1815="",0,1)="",0,IF('Model inputs'!B1815="",0,1)),IF(IF('Model inputs'!B1816="",0,1)="",0,IF('Model inputs'!B1816="",0,1)),IF(IF('Model inputs'!B1817="",0,1)="",0,IF('Model inputs'!B1817="",0,1)),IF(IF('Model inputs'!B1818="",0,1)="",0,IF('Model inputs'!B1818="",0,1)),IF(IF('Model inputs'!B1819="",0,1)="",0,IF('Model inputs'!B1819="",0,1)))</f>
      </c>
    </row>
    <row r="1821">
      <c r="A1821" t="inlineStr" s="25">
        <is>
          <t xml:space="preserve">Calculation</t>
        </is>
      </c>
      <c r="B1821">
        <f>IF(IF(DATE(2026,10,1)=EDATE(DATE(2029,1,1),-'Model inputs'!AM13*1)="",FALSE,DATE(2026,10,1)=EDATE(DATE(2029,1,1),-'Model inputs'!AM13*1)),IF('POA — Monthly financial forecas'!B27="","",'POA — Monthly financial forecas'!B27),"")</f>
      </c>
    </row>
    <row r="1822">
      <c r="A1822" t="inlineStr" s="25">
        <is>
          <t xml:space="preserve">Calculation</t>
        </is>
      </c>
      <c r="B1822">
        <f>IF(IF(DATE(2026,11,1)=EDATE(DATE(2029,1,1),-'Model inputs'!AM13*1)="",FALSE,DATE(2026,11,1)=EDATE(DATE(2029,1,1),-'Model inputs'!AM13*1)),IF('POA — Monthly financial forecas'!C27="","",'POA — Monthly financial forecas'!C27),"")</f>
      </c>
    </row>
    <row r="1823">
      <c r="A1823" t="inlineStr" s="25">
        <is>
          <t xml:space="preserve">Calculation</t>
        </is>
      </c>
      <c r="B1823">
        <f>IF(IF(DATE(2026,12,1)=EDATE(DATE(2029,1,1),-'Model inputs'!AM13*1)="",FALSE,DATE(2026,12,1)=EDATE(DATE(2029,1,1),-'Model inputs'!AM13*1)),IF('POA — Monthly financial forecas'!D27="","",'POA — Monthly financial forecas'!D27),"")</f>
      </c>
    </row>
    <row r="1824">
      <c r="A1824" t="inlineStr" s="25">
        <is>
          <t xml:space="preserve">Calculation</t>
        </is>
      </c>
      <c r="B1824">
        <f>IF(IF(DATE(2027,1,1)=EDATE(DATE(2029,1,1),-'Model inputs'!AM13*1)="",FALSE,DATE(2027,1,1)=EDATE(DATE(2029,1,1),-'Model inputs'!AM13*1)),IF('POA — Monthly financial forecas'!E27="","",'POA — Monthly financial forecas'!E27),"")</f>
      </c>
    </row>
    <row r="1825">
      <c r="A1825" t="inlineStr" s="25">
        <is>
          <t xml:space="preserve">Calculation</t>
        </is>
      </c>
      <c r="B1825">
        <f>IF(IF(DATE(2027,2,1)=EDATE(DATE(2029,1,1),-'Model inputs'!AM13*1)="",FALSE,DATE(2027,2,1)=EDATE(DATE(2029,1,1),-'Model inputs'!AM13*1)),IF('POA — Monthly financial forecas'!F27="","",'POA — Monthly financial forecas'!F27),"")</f>
      </c>
    </row>
    <row r="1826">
      <c r="A1826" t="inlineStr" s="25">
        <is>
          <t xml:space="preserve">Calculation</t>
        </is>
      </c>
      <c r="B1826">
        <f>IF(IF(DATE(2027,3,1)=EDATE(DATE(2029,1,1),-'Model inputs'!AM13*1)="",FALSE,DATE(2027,3,1)=EDATE(DATE(2029,1,1),-'Model inputs'!AM13*1)),IF('POA — Monthly financial forecas'!G27="","",'POA — Monthly financial forecas'!G27),"")</f>
      </c>
    </row>
    <row r="1827">
      <c r="A1827" t="inlineStr" s="25">
        <is>
          <t xml:space="preserve">Calculation</t>
        </is>
      </c>
      <c r="B1827">
        <f>IF(IF(DATE(2027,4,1)=EDATE(DATE(2029,1,1),-'Model inputs'!AM13*1)="",FALSE,DATE(2027,4,1)=EDATE(DATE(2029,1,1),-'Model inputs'!AM13*1)),IF('POA — Monthly financial forecas'!H27="","",'POA — Monthly financial forecas'!H27),"")</f>
      </c>
    </row>
    <row r="1828">
      <c r="A1828" t="inlineStr" s="25">
        <is>
          <t xml:space="preserve">Calculation</t>
        </is>
      </c>
      <c r="B1828">
        <f>IF(IF(DATE(2027,5,1)=EDATE(DATE(2029,1,1),-'Model inputs'!AM13*1)="",FALSE,DATE(2027,5,1)=EDATE(DATE(2029,1,1),-'Model inputs'!AM13*1)),IF('POA — Monthly financial forecas'!I27="","",'POA — Monthly financial forecas'!I27),"")</f>
      </c>
    </row>
    <row r="1829">
      <c r="A1829" t="inlineStr" s="25">
        <is>
          <t xml:space="preserve">Calculation</t>
        </is>
      </c>
      <c r="B1829">
        <f>IF(IF(DATE(2027,6,1)=EDATE(DATE(2029,1,1),-'Model inputs'!AM13*1)="",FALSE,DATE(2027,6,1)=EDATE(DATE(2029,1,1),-'Model inputs'!AM13*1)),IF('POA — Monthly financial forecas'!J27="","",'POA — Monthly financial forecas'!J27),"")</f>
      </c>
    </row>
    <row r="1830">
      <c r="A1830" t="inlineStr" s="25">
        <is>
          <t xml:space="preserve">Calculation</t>
        </is>
      </c>
      <c r="B1830">
        <f>IF(IF(DATE(2027,7,1)=EDATE(DATE(2029,1,1),-'Model inputs'!AM13*1)="",FALSE,DATE(2027,7,1)=EDATE(DATE(2029,1,1),-'Model inputs'!AM13*1)),IF('POA — Monthly financial forecas'!K27="","",'POA — Monthly financial forecas'!K27),"")</f>
      </c>
    </row>
    <row r="1831">
      <c r="A1831" t="inlineStr" s="25">
        <is>
          <t xml:space="preserve">Calculation</t>
        </is>
      </c>
      <c r="B1831">
        <f>IF(IF(DATE(2027,8,1)=EDATE(DATE(2029,1,1),-'Model inputs'!AM13*1)="",FALSE,DATE(2027,8,1)=EDATE(DATE(2029,1,1),-'Model inputs'!AM13*1)),IF('POA — Monthly financial forecas'!L27="","",'POA — Monthly financial forecas'!L27),"")</f>
      </c>
    </row>
    <row r="1832">
      <c r="A1832" t="inlineStr" s="25">
        <is>
          <t xml:space="preserve">Calculation</t>
        </is>
      </c>
      <c r="B1832">
        <f>IF(IF(DATE(2027,9,1)=EDATE(DATE(2029,1,1),-'Model inputs'!AM13*1)="",FALSE,DATE(2027,9,1)=EDATE(DATE(2029,1,1),-'Model inputs'!AM13*1)),IF('POA — Monthly financial forecas'!M27="","",'POA — Monthly financial forecas'!M27),"")</f>
      </c>
    </row>
    <row r="1833">
      <c r="A1833" t="inlineStr" s="25">
        <is>
          <t xml:space="preserve">Calculation</t>
        </is>
      </c>
      <c r="B1833">
        <f>IF(IF(DATE(2027,10,1)=EDATE(DATE(2029,1,1),-'Model inputs'!AM13*1)="",FALSE,DATE(2027,10,1)=EDATE(DATE(2029,1,1),-'Model inputs'!AM13*1)),IF('POA — Monthly financial forecas'!N27="","",'POA — Monthly financial forecas'!N27),"")</f>
      </c>
    </row>
    <row r="1834">
      <c r="A1834" t="inlineStr" s="25">
        <is>
          <t xml:space="preserve">Calculation</t>
        </is>
      </c>
      <c r="B1834">
        <f>IF(IF(DATE(2027,11,1)=EDATE(DATE(2029,1,1),-'Model inputs'!AM13*1)="",FALSE,DATE(2027,11,1)=EDATE(DATE(2029,1,1),-'Model inputs'!AM13*1)),IF('POA — Monthly financial forecas'!O27="","",'POA — Monthly financial forecas'!O27),"")</f>
      </c>
    </row>
    <row r="1835">
      <c r="A1835" t="inlineStr" s="25">
        <is>
          <t xml:space="preserve">Calculation</t>
        </is>
      </c>
      <c r="B1835">
        <f>IF(IF(DATE(2027,12,1)=EDATE(DATE(2029,1,1),-'Model inputs'!AM13*1)="",FALSE,DATE(2027,12,1)=EDATE(DATE(2029,1,1),-'Model inputs'!AM13*1)),IF('POA — Monthly financial forecas'!P27="","",'POA — Monthly financial forecas'!P27),"")</f>
      </c>
    </row>
    <row r="1836">
      <c r="A1836" t="inlineStr" s="25">
        <is>
          <t xml:space="preserve">Calculation</t>
        </is>
      </c>
      <c r="B1836">
        <f>IF(IF(DATE(2028,1,1)=EDATE(DATE(2029,1,1),-'Model inputs'!AM13*1)="",FALSE,DATE(2028,1,1)=EDATE(DATE(2029,1,1),-'Model inputs'!AM13*1)),IF('POA — Monthly financial forecas'!Q27="","",'POA — Monthly financial forecas'!Q27),"")</f>
      </c>
    </row>
    <row r="1837">
      <c r="A1837" t="inlineStr" s="25">
        <is>
          <t xml:space="preserve">Calculation</t>
        </is>
      </c>
      <c r="B1837">
        <f>IF(IF(DATE(2028,2,1)=EDATE(DATE(2029,1,1),-'Model inputs'!AM13*1)="",FALSE,DATE(2028,2,1)=EDATE(DATE(2029,1,1),-'Model inputs'!AM13*1)),IF('POA — Monthly financial forecas'!R27="","",'POA — Monthly financial forecas'!R27),"")</f>
      </c>
    </row>
    <row r="1838">
      <c r="A1838" t="inlineStr" s="25">
        <is>
          <t xml:space="preserve">Calculation</t>
        </is>
      </c>
      <c r="B1838">
        <f>IF(IF(DATE(2028,3,1)=EDATE(DATE(2029,1,1),-'Model inputs'!AM13*1)="",FALSE,DATE(2028,3,1)=EDATE(DATE(2029,1,1),-'Model inputs'!AM13*1)),IF('POA — Monthly financial forecas'!S27="","",'POA — Monthly financial forecas'!S27),"")</f>
      </c>
    </row>
    <row r="1839">
      <c r="A1839" t="inlineStr" s="25">
        <is>
          <t xml:space="preserve">Calculation</t>
        </is>
      </c>
      <c r="B1839">
        <f>IF(IF(DATE(2028,4,1)=EDATE(DATE(2029,1,1),-'Model inputs'!AM13*1)="",FALSE,DATE(2028,4,1)=EDATE(DATE(2029,1,1),-'Model inputs'!AM13*1)),IF('POA — Monthly financial forecas'!T27="","",'POA — Monthly financial forecas'!T27),"")</f>
      </c>
    </row>
    <row r="1840">
      <c r="A1840" t="inlineStr" s="25">
        <is>
          <t xml:space="preserve">Calculation</t>
        </is>
      </c>
      <c r="B1840">
        <f>IF(IF(DATE(2028,5,1)=EDATE(DATE(2029,1,1),-'Model inputs'!AM13*1)="",FALSE,DATE(2028,5,1)=EDATE(DATE(2029,1,1),-'Model inputs'!AM13*1)),IF('POA — Monthly financial forecas'!U27="","",'POA — Monthly financial forecas'!U27),"")</f>
      </c>
    </row>
    <row r="1841">
      <c r="A1841" t="inlineStr" s="25">
        <is>
          <t xml:space="preserve">Calculation</t>
        </is>
      </c>
      <c r="B1841">
        <f>IF(IF(DATE(2028,6,1)=EDATE(DATE(2029,1,1),-'Model inputs'!AM13*1)="",FALSE,DATE(2028,6,1)=EDATE(DATE(2029,1,1),-'Model inputs'!AM13*1)),IF('POA — Monthly financial forecas'!V27="","",'POA — Monthly financial forecas'!V27),"")</f>
      </c>
    </row>
    <row r="1842">
      <c r="A1842" t="inlineStr" s="25">
        <is>
          <t xml:space="preserve">Calculation</t>
        </is>
      </c>
      <c r="B1842">
        <f>IF(IF(DATE(2028,7,1)=EDATE(DATE(2029,1,1),-'Model inputs'!AM13*1)="",FALSE,DATE(2028,7,1)=EDATE(DATE(2029,1,1),-'Model inputs'!AM13*1)),IF('POA — Monthly financial forecas'!W27="","",'POA — Monthly financial forecas'!W27),"")</f>
      </c>
    </row>
    <row r="1843">
      <c r="A1843" t="inlineStr" s="25">
        <is>
          <t xml:space="preserve">Calculation</t>
        </is>
      </c>
      <c r="B1843">
        <f>IF(IF(DATE(2028,8,1)=EDATE(DATE(2029,1,1),-'Model inputs'!AM13*1)="",FALSE,DATE(2028,8,1)=EDATE(DATE(2029,1,1),-'Model inputs'!AM13*1)),IF('POA — Monthly financial forecas'!X27="","",'POA — Monthly financial forecas'!X27),"")</f>
      </c>
    </row>
    <row r="1844">
      <c r="A1844" t="inlineStr" s="25">
        <is>
          <t xml:space="preserve">Calculation</t>
        </is>
      </c>
      <c r="B1844">
        <f>IF(IF(DATE(2028,9,1)=EDATE(DATE(2029,1,1),-'Model inputs'!AM13*1)="",FALSE,DATE(2028,9,1)=EDATE(DATE(2029,1,1),-'Model inputs'!AM13*1)),IF('POA — Monthly financial forecas'!Y27="","",'POA — Monthly financial forecas'!Y27),"")</f>
      </c>
    </row>
    <row r="1845">
      <c r="A1845" t="inlineStr" s="25">
        <is>
          <t xml:space="preserve">Calculation</t>
        </is>
      </c>
      <c r="B1845">
        <f>IF(IF(DATE(2028,10,1)=EDATE(DATE(2029,1,1),-'Model inputs'!AM13*1)="",FALSE,DATE(2028,10,1)=EDATE(DATE(2029,1,1),-'Model inputs'!AM13*1)),IF('POA — Monthly financial forecas'!Z27="","",'POA — Monthly financial forecas'!Z27),"")</f>
      </c>
    </row>
    <row r="1846">
      <c r="A1846" t="inlineStr" s="25">
        <is>
          <t xml:space="preserve">Calculation</t>
        </is>
      </c>
      <c r="B1846">
        <f>IF(IF(DATE(2028,11,1)=EDATE(DATE(2029,1,1),-'Model inputs'!AM13*1)="",FALSE,DATE(2028,11,1)=EDATE(DATE(2029,1,1),-'Model inputs'!AM13*1)),IF('POA — Monthly financial forecas'!AA27="","",'POA — Monthly financial forecas'!AA27),"")</f>
      </c>
    </row>
    <row r="1847">
      <c r="A1847" t="inlineStr" s="25">
        <is>
          <t xml:space="preserve">Calculation</t>
        </is>
      </c>
      <c r="B1847">
        <f>IF(IF(DATE(2028,12,1)=EDATE(DATE(2029,1,1),-'Model inputs'!AM13*1)="",FALSE,DATE(2028,12,1)=EDATE(DATE(2029,1,1),-'Model inputs'!AM13*1)),IF('POA — Monthly financial forecas'!AB27="","",'POA — Monthly financial forecas'!AB27),"")</f>
      </c>
    </row>
    <row r="1848">
      <c r="A1848" t="inlineStr" s="25">
        <is>
          <t xml:space="preserve">Calculation</t>
        </is>
      </c>
      <c r="B1848">
        <f>IF(IF(DATE(2029,1,1)=EDATE(DATE(2029,1,1),-'Model inputs'!AM13*1)="",FALSE,DATE(2029,1,1)=EDATE(DATE(2029,1,1),-'Model inputs'!AM13*1)),IF('POA — Monthly financial forecas'!AC27="","",'POA — Monthly financial forecas'!AC27),"")</f>
      </c>
    </row>
    <row r="1849">
      <c r="A1849" t="inlineStr" s="25">
        <is>
          <t xml:space="preserve">Calculation</t>
        </is>
      </c>
      <c r="B1849">
        <f>IF(IF(DATE(2029,2,1)=EDATE(DATE(2029,1,1),-'Model inputs'!AM13*1)="",FALSE,DATE(2029,2,1)=EDATE(DATE(2029,1,1),-'Model inputs'!AM13*1)),IF('POA — Monthly financial forecas'!AD27="","",'POA — Monthly financial forecas'!AD27),"")</f>
      </c>
    </row>
    <row r="1850">
      <c r="A1850" t="inlineStr" s="25">
        <is>
          <t xml:space="preserve">Calculation</t>
        </is>
      </c>
      <c r="B1850">
        <f>IF(IF(DATE(2029,3,1)=EDATE(DATE(2029,1,1),-'Model inputs'!AM13*1)="",FALSE,DATE(2029,3,1)=EDATE(DATE(2029,1,1),-'Model inputs'!AM13*1)),IF('POA — Monthly financial forecas'!AE27="","",'POA — Monthly financial forecas'!AE27),"")</f>
      </c>
    </row>
    <row r="1851">
      <c r="A1851" t="inlineStr" s="25">
        <is>
          <t xml:space="preserve">Calculation</t>
        </is>
      </c>
      <c r="B1851">
        <f>IF(IF(DATE(2029,4,1)=EDATE(DATE(2029,1,1),-'Model inputs'!AM13*1)="",FALSE,DATE(2029,4,1)=EDATE(DATE(2029,1,1),-'Model inputs'!AM13*1)),IF('POA — Monthly financial forecas'!AF27="","",'POA — Monthly financial forecas'!AF27),"")</f>
      </c>
    </row>
    <row r="1852">
      <c r="A1852" t="inlineStr" s="25">
        <is>
          <t xml:space="preserve">Calculation</t>
        </is>
      </c>
      <c r="B1852">
        <f>IF(IF(DATE(2029,5,1)=EDATE(DATE(2029,1,1),-'Model inputs'!AM13*1)="",FALSE,DATE(2029,5,1)=EDATE(DATE(2029,1,1),-'Model inputs'!AM13*1)),IF('POA — Monthly financial forecas'!AG27="","",'POA — Monthly financial forecas'!AG27),"")</f>
      </c>
    </row>
    <row r="1853">
      <c r="A1853" t="inlineStr" s="25">
        <is>
          <t xml:space="preserve">Calculation</t>
        </is>
      </c>
      <c r="B1853">
        <f>IF(IF(DATE(2029,6,1)=EDATE(DATE(2029,1,1),-'Model inputs'!AM13*1)="",FALSE,DATE(2029,6,1)=EDATE(DATE(2029,1,1),-'Model inputs'!AM13*1)),IF('POA — Monthly financial forecas'!AH27="","",'POA — Monthly financial forecas'!AH27),"")</f>
      </c>
    </row>
    <row r="1854">
      <c r="A1854" t="inlineStr" s="25">
        <is>
          <t xml:space="preserve">Calculation</t>
        </is>
      </c>
      <c r="B1854">
        <f>IF(IF(DATE(2029,7,1)=EDATE(DATE(2029,1,1),-'Model inputs'!AM13*1)="",FALSE,DATE(2029,7,1)=EDATE(DATE(2029,1,1),-'Model inputs'!AM13*1)),IF('POA — Monthly financial forecas'!AI27="","",'POA — Monthly financial forecas'!AI27),"")</f>
      </c>
    </row>
    <row r="1855">
      <c r="A1855" t="inlineStr" s="25">
        <is>
          <t xml:space="preserve">Calculation</t>
        </is>
      </c>
      <c r="B1855">
        <f>IF(IF(DATE(2029,8,1)=EDATE(DATE(2029,1,1),-'Model inputs'!AM13*1)="",FALSE,DATE(2029,8,1)=EDATE(DATE(2029,1,1),-'Model inputs'!AM13*1)),IF('POA — Monthly financial forecas'!AJ27="","",'POA — Monthly financial forecas'!AJ27),"")</f>
      </c>
    </row>
    <row r="1856">
      <c r="A1856" t="inlineStr" s="25">
        <is>
          <t xml:space="preserve">Calculation</t>
        </is>
      </c>
      <c r="B1856">
        <f>IF(IF(DATE(2029,9,1)=EDATE(DATE(2029,1,1),-'Model inputs'!AM13*1)="",FALSE,DATE(2029,9,1)=EDATE(DATE(2029,1,1),-'Model inputs'!AM13*1)),IF('POA — Monthly financial forecas'!AK27="","",'POA — Monthly financial forecas'!AK27),"")</f>
      </c>
    </row>
    <row r="1857">
      <c r="A1857" t="inlineStr" s="25">
        <is>
          <t xml:space="preserve">Calculation</t>
        </is>
      </c>
      <c r="B1857">
        <f>IF(IF(DATE(2026,9,1)=EDATE(DATE(2029,1,1),-'Model inputs'!AM13*1)="",FALSE,DATE(2026,9,1)=EDATE(DATE(2029,1,1),-'Model inputs'!AM13*1)),IF('Model inputs'!B85="","",'Model inputs'!B85),"")</f>
      </c>
    </row>
    <row r="1858">
      <c r="A1858" t="inlineStr" s="25">
        <is>
          <t xml:space="preserve">Calculation</t>
        </is>
      </c>
      <c r="B1858">
        <f>SUM(IF(IF('Model inputs'!B1821="",0,1)="",0,IF('Model inputs'!B1821="",0,1)),IF(IF('Model inputs'!B1822="",0,1)="",0,IF('Model inputs'!B1822="",0,1)),IF(IF('Model inputs'!B1823="",0,1)="",0,IF('Model inputs'!B1823="",0,1)),IF(IF('Model inputs'!B1824="",0,1)="",0,IF('Model inputs'!B1824="",0,1)),IF(IF('Model inputs'!B1825="",0,1)="",0,IF('Model inputs'!B1825="",0,1)),IF(IF('Model inputs'!B1826="",0,1)="",0,IF('Model inputs'!B1826="",0,1)),IF(IF('Model inputs'!B1827="",0,1)="",0,IF('Model inputs'!B1827="",0,1)),IF(IF('Model inputs'!B1828="",0,1)="",0,IF('Model inputs'!B1828="",0,1)),IF(IF('Model inputs'!B1829="",0,1)="",0,IF('Model inputs'!B1829="",0,1)),IF(IF('Model inputs'!B1830="",0,1)="",0,IF('Model inputs'!B1830="",0,1)),IF(IF('Model inputs'!B1831="",0,1)="",0,IF('Model inputs'!B1831="",0,1)),IF(IF('Model inputs'!B1832="",0,1)="",0,IF('Model inputs'!B1832="",0,1)),IF(IF('Model inputs'!B1833="",0,1)="",0,IF('Model inputs'!B1833="",0,1)),IF(IF('Model inputs'!B1834="",0,1)="",0,IF('Model inputs'!B1834="",0,1)),IF(IF('Model inputs'!B1835="",0,1)="",0,IF('Model inputs'!B1835="",0,1)),IF(IF('Model inputs'!B1836="",0,1)="",0,IF('Model inputs'!B1836="",0,1)),IF(IF('Model inputs'!B1837="",0,1)="",0,IF('Model inputs'!B1837="",0,1)),IF(IF('Model inputs'!B1838="",0,1)="",0,IF('Model inputs'!B1838="",0,1)),IF(IF('Model inputs'!B1839="",0,1)="",0,IF('Model inputs'!B1839="",0,1)),IF(IF('Model inputs'!B1840="",0,1)="",0,IF('Model inputs'!B1840="",0,1)),IF(IF('Model inputs'!B1841="",0,1)="",0,IF('Model inputs'!B1841="",0,1)),IF(IF('Model inputs'!B1842="",0,1)="",0,IF('Model inputs'!B1842="",0,1)),IF(IF('Model inputs'!B1843="",0,1)="",0,IF('Model inputs'!B1843="",0,1)),IF(IF('Model inputs'!B1844="",0,1)="",0,IF('Model inputs'!B1844="",0,1)),IF(IF('Model inputs'!B1845="",0,1)="",0,IF('Model inputs'!B1845="",0,1)),IF(IF('Model inputs'!B1846="",0,1)="",0,IF('Model inputs'!B1846="",0,1)),IF(IF('Model inputs'!B1847="",0,1)="",0,IF('Model inputs'!B1847="",0,1)),IF(IF('Model inputs'!B1848="",0,1)="",0,IF('Model inputs'!B1848="",0,1)),IF(IF('Model inputs'!B1849="",0,1)="",0,IF('Model inputs'!B1849="",0,1)),IF(IF('Model inputs'!B1850="",0,1)="",0,IF('Model inputs'!B1850="",0,1)),IF(IF('Model inputs'!B1851="",0,1)="",0,IF('Model inputs'!B1851="",0,1)),IF(IF('Model inputs'!B1852="",0,1)="",0,IF('Model inputs'!B1852="",0,1)),IF(IF('Model inputs'!B1853="",0,1)="",0,IF('Model inputs'!B1853="",0,1)),IF(IF('Model inputs'!B1854="",0,1)="",0,IF('Model inputs'!B1854="",0,1)),IF(IF('Model inputs'!B1855="",0,1)="",0,IF('Model inputs'!B1855="",0,1)),IF(IF('Model inputs'!B1856="",0,1)="",0,IF('Model inputs'!B1856="",0,1)),IF(IF('Model inputs'!B1857="",0,1)="",0,IF('Model inputs'!B1857="",0,1)))</f>
      </c>
    </row>
    <row r="1859">
      <c r="A1859" t="inlineStr" s="25">
        <is>
          <t xml:space="preserve">Calculation</t>
        </is>
      </c>
      <c r="B1859">
        <f>IF(IF(DATE(2026,10,1)=EDATE(DATE(2029,2,1),-'Model inputs'!AM13*1)="",FALSE,DATE(2026,10,1)=EDATE(DATE(2029,2,1),-'Model inputs'!AM13*1)),IF('POA — Monthly financial forecas'!B27="","",'POA — Monthly financial forecas'!B27),"")</f>
      </c>
    </row>
    <row r="1860">
      <c r="A1860" t="inlineStr" s="25">
        <is>
          <t xml:space="preserve">Calculation</t>
        </is>
      </c>
      <c r="B1860">
        <f>IF(IF(DATE(2026,11,1)=EDATE(DATE(2029,2,1),-'Model inputs'!AM13*1)="",FALSE,DATE(2026,11,1)=EDATE(DATE(2029,2,1),-'Model inputs'!AM13*1)),IF('POA — Monthly financial forecas'!C27="","",'POA — Monthly financial forecas'!C27),"")</f>
      </c>
    </row>
    <row r="1861">
      <c r="A1861" t="inlineStr" s="25">
        <is>
          <t xml:space="preserve">Calculation</t>
        </is>
      </c>
      <c r="B1861">
        <f>IF(IF(DATE(2026,12,1)=EDATE(DATE(2029,2,1),-'Model inputs'!AM13*1)="",FALSE,DATE(2026,12,1)=EDATE(DATE(2029,2,1),-'Model inputs'!AM13*1)),IF('POA — Monthly financial forecas'!D27="","",'POA — Monthly financial forecas'!D27),"")</f>
      </c>
    </row>
    <row r="1862">
      <c r="A1862" t="inlineStr" s="25">
        <is>
          <t xml:space="preserve">Calculation</t>
        </is>
      </c>
      <c r="B1862">
        <f>IF(IF(DATE(2027,1,1)=EDATE(DATE(2029,2,1),-'Model inputs'!AM13*1)="",FALSE,DATE(2027,1,1)=EDATE(DATE(2029,2,1),-'Model inputs'!AM13*1)),IF('POA — Monthly financial forecas'!E27="","",'POA — Monthly financial forecas'!E27),"")</f>
      </c>
    </row>
    <row r="1863">
      <c r="A1863" t="inlineStr" s="25">
        <is>
          <t xml:space="preserve">Calculation</t>
        </is>
      </c>
      <c r="B1863">
        <f>IF(IF(DATE(2027,2,1)=EDATE(DATE(2029,2,1),-'Model inputs'!AM13*1)="",FALSE,DATE(2027,2,1)=EDATE(DATE(2029,2,1),-'Model inputs'!AM13*1)),IF('POA — Monthly financial forecas'!F27="","",'POA — Monthly financial forecas'!F27),"")</f>
      </c>
    </row>
    <row r="1864">
      <c r="A1864" t="inlineStr" s="25">
        <is>
          <t xml:space="preserve">Calculation</t>
        </is>
      </c>
      <c r="B1864">
        <f>IF(IF(DATE(2027,3,1)=EDATE(DATE(2029,2,1),-'Model inputs'!AM13*1)="",FALSE,DATE(2027,3,1)=EDATE(DATE(2029,2,1),-'Model inputs'!AM13*1)),IF('POA — Monthly financial forecas'!G27="","",'POA — Monthly financial forecas'!G27),"")</f>
      </c>
    </row>
    <row r="1865">
      <c r="A1865" t="inlineStr" s="25">
        <is>
          <t xml:space="preserve">Calculation</t>
        </is>
      </c>
      <c r="B1865">
        <f>IF(IF(DATE(2027,4,1)=EDATE(DATE(2029,2,1),-'Model inputs'!AM13*1)="",FALSE,DATE(2027,4,1)=EDATE(DATE(2029,2,1),-'Model inputs'!AM13*1)),IF('POA — Monthly financial forecas'!H27="","",'POA — Monthly financial forecas'!H27),"")</f>
      </c>
    </row>
    <row r="1866">
      <c r="A1866" t="inlineStr" s="25">
        <is>
          <t xml:space="preserve">Calculation</t>
        </is>
      </c>
      <c r="B1866">
        <f>IF(IF(DATE(2027,5,1)=EDATE(DATE(2029,2,1),-'Model inputs'!AM13*1)="",FALSE,DATE(2027,5,1)=EDATE(DATE(2029,2,1),-'Model inputs'!AM13*1)),IF('POA — Monthly financial forecas'!I27="","",'POA — Monthly financial forecas'!I27),"")</f>
      </c>
    </row>
    <row r="1867">
      <c r="A1867" t="inlineStr" s="25">
        <is>
          <t xml:space="preserve">Calculation</t>
        </is>
      </c>
      <c r="B1867">
        <f>IF(IF(DATE(2027,6,1)=EDATE(DATE(2029,2,1),-'Model inputs'!AM13*1)="",FALSE,DATE(2027,6,1)=EDATE(DATE(2029,2,1),-'Model inputs'!AM13*1)),IF('POA — Monthly financial forecas'!J27="","",'POA — Monthly financial forecas'!J27),"")</f>
      </c>
    </row>
    <row r="1868">
      <c r="A1868" t="inlineStr" s="25">
        <is>
          <t xml:space="preserve">Calculation</t>
        </is>
      </c>
      <c r="B1868">
        <f>IF(IF(DATE(2027,7,1)=EDATE(DATE(2029,2,1),-'Model inputs'!AM13*1)="",FALSE,DATE(2027,7,1)=EDATE(DATE(2029,2,1),-'Model inputs'!AM13*1)),IF('POA — Monthly financial forecas'!K27="","",'POA — Monthly financial forecas'!K27),"")</f>
      </c>
    </row>
    <row r="1869">
      <c r="A1869" t="inlineStr" s="25">
        <is>
          <t xml:space="preserve">Calculation</t>
        </is>
      </c>
      <c r="B1869">
        <f>IF(IF(DATE(2027,8,1)=EDATE(DATE(2029,2,1),-'Model inputs'!AM13*1)="",FALSE,DATE(2027,8,1)=EDATE(DATE(2029,2,1),-'Model inputs'!AM13*1)),IF('POA — Monthly financial forecas'!L27="","",'POA — Monthly financial forecas'!L27),"")</f>
      </c>
    </row>
    <row r="1870">
      <c r="A1870" t="inlineStr" s="25">
        <is>
          <t xml:space="preserve">Calculation</t>
        </is>
      </c>
      <c r="B1870">
        <f>IF(IF(DATE(2027,9,1)=EDATE(DATE(2029,2,1),-'Model inputs'!AM13*1)="",FALSE,DATE(2027,9,1)=EDATE(DATE(2029,2,1),-'Model inputs'!AM13*1)),IF('POA — Monthly financial forecas'!M27="","",'POA — Monthly financial forecas'!M27),"")</f>
      </c>
    </row>
    <row r="1871">
      <c r="A1871" t="inlineStr" s="25">
        <is>
          <t xml:space="preserve">Calculation</t>
        </is>
      </c>
      <c r="B1871">
        <f>IF(IF(DATE(2027,10,1)=EDATE(DATE(2029,2,1),-'Model inputs'!AM13*1)="",FALSE,DATE(2027,10,1)=EDATE(DATE(2029,2,1),-'Model inputs'!AM13*1)),IF('POA — Monthly financial forecas'!N27="","",'POA — Monthly financial forecas'!N27),"")</f>
      </c>
    </row>
    <row r="1872">
      <c r="A1872" t="inlineStr" s="25">
        <is>
          <t xml:space="preserve">Calculation</t>
        </is>
      </c>
      <c r="B1872">
        <f>IF(IF(DATE(2027,11,1)=EDATE(DATE(2029,2,1),-'Model inputs'!AM13*1)="",FALSE,DATE(2027,11,1)=EDATE(DATE(2029,2,1),-'Model inputs'!AM13*1)),IF('POA — Monthly financial forecas'!O27="","",'POA — Monthly financial forecas'!O27),"")</f>
      </c>
    </row>
    <row r="1873">
      <c r="A1873" t="inlineStr" s="25">
        <is>
          <t xml:space="preserve">Calculation</t>
        </is>
      </c>
      <c r="B1873">
        <f>IF(IF(DATE(2027,12,1)=EDATE(DATE(2029,2,1),-'Model inputs'!AM13*1)="",FALSE,DATE(2027,12,1)=EDATE(DATE(2029,2,1),-'Model inputs'!AM13*1)),IF('POA — Monthly financial forecas'!P27="","",'POA — Monthly financial forecas'!P27),"")</f>
      </c>
    </row>
    <row r="1874">
      <c r="A1874" t="inlineStr" s="25">
        <is>
          <t xml:space="preserve">Calculation</t>
        </is>
      </c>
      <c r="B1874">
        <f>IF(IF(DATE(2028,1,1)=EDATE(DATE(2029,2,1),-'Model inputs'!AM13*1)="",FALSE,DATE(2028,1,1)=EDATE(DATE(2029,2,1),-'Model inputs'!AM13*1)),IF('POA — Monthly financial forecas'!Q27="","",'POA — Monthly financial forecas'!Q27),"")</f>
      </c>
    </row>
    <row r="1875">
      <c r="A1875" t="inlineStr" s="25">
        <is>
          <t xml:space="preserve">Calculation</t>
        </is>
      </c>
      <c r="B1875">
        <f>IF(IF(DATE(2028,2,1)=EDATE(DATE(2029,2,1),-'Model inputs'!AM13*1)="",FALSE,DATE(2028,2,1)=EDATE(DATE(2029,2,1),-'Model inputs'!AM13*1)),IF('POA — Monthly financial forecas'!R27="","",'POA — Monthly financial forecas'!R27),"")</f>
      </c>
    </row>
    <row r="1876">
      <c r="A1876" t="inlineStr" s="25">
        <is>
          <t xml:space="preserve">Calculation</t>
        </is>
      </c>
      <c r="B1876">
        <f>IF(IF(DATE(2028,3,1)=EDATE(DATE(2029,2,1),-'Model inputs'!AM13*1)="",FALSE,DATE(2028,3,1)=EDATE(DATE(2029,2,1),-'Model inputs'!AM13*1)),IF('POA — Monthly financial forecas'!S27="","",'POA — Monthly financial forecas'!S27),"")</f>
      </c>
    </row>
    <row r="1877">
      <c r="A1877" t="inlineStr" s="25">
        <is>
          <t xml:space="preserve">Calculation</t>
        </is>
      </c>
      <c r="B1877">
        <f>IF(IF(DATE(2028,4,1)=EDATE(DATE(2029,2,1),-'Model inputs'!AM13*1)="",FALSE,DATE(2028,4,1)=EDATE(DATE(2029,2,1),-'Model inputs'!AM13*1)),IF('POA — Monthly financial forecas'!T27="","",'POA — Monthly financial forecas'!T27),"")</f>
      </c>
    </row>
    <row r="1878">
      <c r="A1878" t="inlineStr" s="25">
        <is>
          <t xml:space="preserve">Calculation</t>
        </is>
      </c>
      <c r="B1878">
        <f>IF(IF(DATE(2028,5,1)=EDATE(DATE(2029,2,1),-'Model inputs'!AM13*1)="",FALSE,DATE(2028,5,1)=EDATE(DATE(2029,2,1),-'Model inputs'!AM13*1)),IF('POA — Monthly financial forecas'!U27="","",'POA — Monthly financial forecas'!U27),"")</f>
      </c>
    </row>
    <row r="1879">
      <c r="A1879" t="inlineStr" s="25">
        <is>
          <t xml:space="preserve">Calculation</t>
        </is>
      </c>
      <c r="B1879">
        <f>IF(IF(DATE(2028,6,1)=EDATE(DATE(2029,2,1),-'Model inputs'!AM13*1)="",FALSE,DATE(2028,6,1)=EDATE(DATE(2029,2,1),-'Model inputs'!AM13*1)),IF('POA — Monthly financial forecas'!V27="","",'POA — Monthly financial forecas'!V27),"")</f>
      </c>
    </row>
    <row r="1880">
      <c r="A1880" t="inlineStr" s="25">
        <is>
          <t xml:space="preserve">Calculation</t>
        </is>
      </c>
      <c r="B1880">
        <f>IF(IF(DATE(2028,7,1)=EDATE(DATE(2029,2,1),-'Model inputs'!AM13*1)="",FALSE,DATE(2028,7,1)=EDATE(DATE(2029,2,1),-'Model inputs'!AM13*1)),IF('POA — Monthly financial forecas'!W27="","",'POA — Monthly financial forecas'!W27),"")</f>
      </c>
    </row>
    <row r="1881">
      <c r="A1881" t="inlineStr" s="25">
        <is>
          <t xml:space="preserve">Calculation</t>
        </is>
      </c>
      <c r="B1881">
        <f>IF(IF(DATE(2028,8,1)=EDATE(DATE(2029,2,1),-'Model inputs'!AM13*1)="",FALSE,DATE(2028,8,1)=EDATE(DATE(2029,2,1),-'Model inputs'!AM13*1)),IF('POA — Monthly financial forecas'!X27="","",'POA — Monthly financial forecas'!X27),"")</f>
      </c>
    </row>
    <row r="1882">
      <c r="A1882" t="inlineStr" s="25">
        <is>
          <t xml:space="preserve">Calculation</t>
        </is>
      </c>
      <c r="B1882">
        <f>IF(IF(DATE(2028,9,1)=EDATE(DATE(2029,2,1),-'Model inputs'!AM13*1)="",FALSE,DATE(2028,9,1)=EDATE(DATE(2029,2,1),-'Model inputs'!AM13*1)),IF('POA — Monthly financial forecas'!Y27="","",'POA — Monthly financial forecas'!Y27),"")</f>
      </c>
    </row>
    <row r="1883">
      <c r="A1883" t="inlineStr" s="25">
        <is>
          <t xml:space="preserve">Calculation</t>
        </is>
      </c>
      <c r="B1883">
        <f>IF(IF(DATE(2028,10,1)=EDATE(DATE(2029,2,1),-'Model inputs'!AM13*1)="",FALSE,DATE(2028,10,1)=EDATE(DATE(2029,2,1),-'Model inputs'!AM13*1)),IF('POA — Monthly financial forecas'!Z27="","",'POA — Monthly financial forecas'!Z27),"")</f>
      </c>
    </row>
    <row r="1884">
      <c r="A1884" t="inlineStr" s="25">
        <is>
          <t xml:space="preserve">Calculation</t>
        </is>
      </c>
      <c r="B1884">
        <f>IF(IF(DATE(2028,11,1)=EDATE(DATE(2029,2,1),-'Model inputs'!AM13*1)="",FALSE,DATE(2028,11,1)=EDATE(DATE(2029,2,1),-'Model inputs'!AM13*1)),IF('POA — Monthly financial forecas'!AA27="","",'POA — Monthly financial forecas'!AA27),"")</f>
      </c>
    </row>
    <row r="1885">
      <c r="A1885" t="inlineStr" s="25">
        <is>
          <t xml:space="preserve">Calculation</t>
        </is>
      </c>
      <c r="B1885">
        <f>IF(IF(DATE(2028,12,1)=EDATE(DATE(2029,2,1),-'Model inputs'!AM13*1)="",FALSE,DATE(2028,12,1)=EDATE(DATE(2029,2,1),-'Model inputs'!AM13*1)),IF('POA — Monthly financial forecas'!AB27="","",'POA — Monthly financial forecas'!AB27),"")</f>
      </c>
    </row>
    <row r="1886">
      <c r="A1886" t="inlineStr" s="25">
        <is>
          <t xml:space="preserve">Calculation</t>
        </is>
      </c>
      <c r="B1886">
        <f>IF(IF(DATE(2029,1,1)=EDATE(DATE(2029,2,1),-'Model inputs'!AM13*1)="",FALSE,DATE(2029,1,1)=EDATE(DATE(2029,2,1),-'Model inputs'!AM13*1)),IF('POA — Monthly financial forecas'!AC27="","",'POA — Monthly financial forecas'!AC27),"")</f>
      </c>
    </row>
    <row r="1887">
      <c r="A1887" t="inlineStr" s="25">
        <is>
          <t xml:space="preserve">Calculation</t>
        </is>
      </c>
      <c r="B1887">
        <f>IF(IF(DATE(2029,2,1)=EDATE(DATE(2029,2,1),-'Model inputs'!AM13*1)="",FALSE,DATE(2029,2,1)=EDATE(DATE(2029,2,1),-'Model inputs'!AM13*1)),IF('POA — Monthly financial forecas'!AD27="","",'POA — Monthly financial forecas'!AD27),"")</f>
      </c>
    </row>
    <row r="1888">
      <c r="A1888" t="inlineStr" s="25">
        <is>
          <t xml:space="preserve">Calculation</t>
        </is>
      </c>
      <c r="B1888">
        <f>IF(IF(DATE(2029,3,1)=EDATE(DATE(2029,2,1),-'Model inputs'!AM13*1)="",FALSE,DATE(2029,3,1)=EDATE(DATE(2029,2,1),-'Model inputs'!AM13*1)),IF('POA — Monthly financial forecas'!AE27="","",'POA — Monthly financial forecas'!AE27),"")</f>
      </c>
    </row>
    <row r="1889">
      <c r="A1889" t="inlineStr" s="25">
        <is>
          <t xml:space="preserve">Calculation</t>
        </is>
      </c>
      <c r="B1889">
        <f>IF(IF(DATE(2029,4,1)=EDATE(DATE(2029,2,1),-'Model inputs'!AM13*1)="",FALSE,DATE(2029,4,1)=EDATE(DATE(2029,2,1),-'Model inputs'!AM13*1)),IF('POA — Monthly financial forecas'!AF27="","",'POA — Monthly financial forecas'!AF27),"")</f>
      </c>
    </row>
    <row r="1890">
      <c r="A1890" t="inlineStr" s="25">
        <is>
          <t xml:space="preserve">Calculation</t>
        </is>
      </c>
      <c r="B1890">
        <f>IF(IF(DATE(2029,5,1)=EDATE(DATE(2029,2,1),-'Model inputs'!AM13*1)="",FALSE,DATE(2029,5,1)=EDATE(DATE(2029,2,1),-'Model inputs'!AM13*1)),IF('POA — Monthly financial forecas'!AG27="","",'POA — Monthly financial forecas'!AG27),"")</f>
      </c>
    </row>
    <row r="1891">
      <c r="A1891" t="inlineStr" s="25">
        <is>
          <t xml:space="preserve">Calculation</t>
        </is>
      </c>
      <c r="B1891">
        <f>IF(IF(DATE(2029,6,1)=EDATE(DATE(2029,2,1),-'Model inputs'!AM13*1)="",FALSE,DATE(2029,6,1)=EDATE(DATE(2029,2,1),-'Model inputs'!AM13*1)),IF('POA — Monthly financial forecas'!AH27="","",'POA — Monthly financial forecas'!AH27),"")</f>
      </c>
    </row>
    <row r="1892">
      <c r="A1892" t="inlineStr" s="25">
        <is>
          <t xml:space="preserve">Calculation</t>
        </is>
      </c>
      <c r="B1892">
        <f>IF(IF(DATE(2029,7,1)=EDATE(DATE(2029,2,1),-'Model inputs'!AM13*1)="",FALSE,DATE(2029,7,1)=EDATE(DATE(2029,2,1),-'Model inputs'!AM13*1)),IF('POA — Monthly financial forecas'!AI27="","",'POA — Monthly financial forecas'!AI27),"")</f>
      </c>
    </row>
    <row r="1893">
      <c r="A1893" t="inlineStr" s="25">
        <is>
          <t xml:space="preserve">Calculation</t>
        </is>
      </c>
      <c r="B1893">
        <f>IF(IF(DATE(2029,8,1)=EDATE(DATE(2029,2,1),-'Model inputs'!AM13*1)="",FALSE,DATE(2029,8,1)=EDATE(DATE(2029,2,1),-'Model inputs'!AM13*1)),IF('POA — Monthly financial forecas'!AJ27="","",'POA — Monthly financial forecas'!AJ27),"")</f>
      </c>
    </row>
    <row r="1894">
      <c r="A1894" t="inlineStr" s="25">
        <is>
          <t xml:space="preserve">Calculation</t>
        </is>
      </c>
      <c r="B1894">
        <f>IF(IF(DATE(2029,9,1)=EDATE(DATE(2029,2,1),-'Model inputs'!AM13*1)="",FALSE,DATE(2029,9,1)=EDATE(DATE(2029,2,1),-'Model inputs'!AM13*1)),IF('POA — Monthly financial forecas'!AK27="","",'POA — Monthly financial forecas'!AK27),"")</f>
      </c>
    </row>
    <row r="1895">
      <c r="A1895" t="inlineStr" s="25">
        <is>
          <t xml:space="preserve">Calculation</t>
        </is>
      </c>
      <c r="B1895">
        <f>IF(IF(DATE(2026,9,1)=EDATE(DATE(2029,2,1),-'Model inputs'!AM13*1)="",FALSE,DATE(2026,9,1)=EDATE(DATE(2029,2,1),-'Model inputs'!AM13*1)),IF('Model inputs'!B85="","",'Model inputs'!B85),"")</f>
      </c>
    </row>
    <row r="1896">
      <c r="A1896" t="inlineStr" s="25">
        <is>
          <t xml:space="preserve">Calculation</t>
        </is>
      </c>
      <c r="B1896">
        <f>SUM(IF(IF('Model inputs'!B1859="",0,1)="",0,IF('Model inputs'!B1859="",0,1)),IF(IF('Model inputs'!B1860="",0,1)="",0,IF('Model inputs'!B1860="",0,1)),IF(IF('Model inputs'!B1861="",0,1)="",0,IF('Model inputs'!B1861="",0,1)),IF(IF('Model inputs'!B1862="",0,1)="",0,IF('Model inputs'!B1862="",0,1)),IF(IF('Model inputs'!B1863="",0,1)="",0,IF('Model inputs'!B1863="",0,1)),IF(IF('Model inputs'!B1864="",0,1)="",0,IF('Model inputs'!B1864="",0,1)),IF(IF('Model inputs'!B1865="",0,1)="",0,IF('Model inputs'!B1865="",0,1)),IF(IF('Model inputs'!B1866="",0,1)="",0,IF('Model inputs'!B1866="",0,1)),IF(IF('Model inputs'!B1867="",0,1)="",0,IF('Model inputs'!B1867="",0,1)),IF(IF('Model inputs'!B1868="",0,1)="",0,IF('Model inputs'!B1868="",0,1)),IF(IF('Model inputs'!B1869="",0,1)="",0,IF('Model inputs'!B1869="",0,1)),IF(IF('Model inputs'!B1870="",0,1)="",0,IF('Model inputs'!B1870="",0,1)),IF(IF('Model inputs'!B1871="",0,1)="",0,IF('Model inputs'!B1871="",0,1)),IF(IF('Model inputs'!B1872="",0,1)="",0,IF('Model inputs'!B1872="",0,1)),IF(IF('Model inputs'!B1873="",0,1)="",0,IF('Model inputs'!B1873="",0,1)),IF(IF('Model inputs'!B1874="",0,1)="",0,IF('Model inputs'!B1874="",0,1)),IF(IF('Model inputs'!B1875="",0,1)="",0,IF('Model inputs'!B1875="",0,1)),IF(IF('Model inputs'!B1876="",0,1)="",0,IF('Model inputs'!B1876="",0,1)),IF(IF('Model inputs'!B1877="",0,1)="",0,IF('Model inputs'!B1877="",0,1)),IF(IF('Model inputs'!B1878="",0,1)="",0,IF('Model inputs'!B1878="",0,1)),IF(IF('Model inputs'!B1879="",0,1)="",0,IF('Model inputs'!B1879="",0,1)),IF(IF('Model inputs'!B1880="",0,1)="",0,IF('Model inputs'!B1880="",0,1)),IF(IF('Model inputs'!B1881="",0,1)="",0,IF('Model inputs'!B1881="",0,1)),IF(IF('Model inputs'!B1882="",0,1)="",0,IF('Model inputs'!B1882="",0,1)),IF(IF('Model inputs'!B1883="",0,1)="",0,IF('Model inputs'!B1883="",0,1)),IF(IF('Model inputs'!B1884="",0,1)="",0,IF('Model inputs'!B1884="",0,1)),IF(IF('Model inputs'!B1885="",0,1)="",0,IF('Model inputs'!B1885="",0,1)),IF(IF('Model inputs'!B1886="",0,1)="",0,IF('Model inputs'!B1886="",0,1)),IF(IF('Model inputs'!B1887="",0,1)="",0,IF('Model inputs'!B1887="",0,1)),IF(IF('Model inputs'!B1888="",0,1)="",0,IF('Model inputs'!B1888="",0,1)),IF(IF('Model inputs'!B1889="",0,1)="",0,IF('Model inputs'!B1889="",0,1)),IF(IF('Model inputs'!B1890="",0,1)="",0,IF('Model inputs'!B1890="",0,1)),IF(IF('Model inputs'!B1891="",0,1)="",0,IF('Model inputs'!B1891="",0,1)),IF(IF('Model inputs'!B1892="",0,1)="",0,IF('Model inputs'!B1892="",0,1)),IF(IF('Model inputs'!B1893="",0,1)="",0,IF('Model inputs'!B1893="",0,1)),IF(IF('Model inputs'!B1894="",0,1)="",0,IF('Model inputs'!B1894="",0,1)),IF(IF('Model inputs'!B1895="",0,1)="",0,IF('Model inputs'!B1895="",0,1)))</f>
      </c>
    </row>
    <row r="1897">
      <c r="A1897" t="inlineStr" s="25">
        <is>
          <t xml:space="preserve">Calculation</t>
        </is>
      </c>
      <c r="B1897">
        <f>IF(IF(DATE(2026,10,1)=EDATE(DATE(2029,3,1),-'Model inputs'!AM13*1)="",FALSE,DATE(2026,10,1)=EDATE(DATE(2029,3,1),-'Model inputs'!AM13*1)),IF('POA — Monthly financial forecas'!B27="","",'POA — Monthly financial forecas'!B27),"")</f>
      </c>
    </row>
    <row r="1898">
      <c r="A1898" t="inlineStr" s="25">
        <is>
          <t xml:space="preserve">Calculation</t>
        </is>
      </c>
      <c r="B1898">
        <f>IF(IF(DATE(2026,11,1)=EDATE(DATE(2029,3,1),-'Model inputs'!AM13*1)="",FALSE,DATE(2026,11,1)=EDATE(DATE(2029,3,1),-'Model inputs'!AM13*1)),IF('POA — Monthly financial forecas'!C27="","",'POA — Monthly financial forecas'!C27),"")</f>
      </c>
    </row>
    <row r="1899">
      <c r="A1899" t="inlineStr" s="25">
        <is>
          <t xml:space="preserve">Calculation</t>
        </is>
      </c>
      <c r="B1899">
        <f>IF(IF(DATE(2026,12,1)=EDATE(DATE(2029,3,1),-'Model inputs'!AM13*1)="",FALSE,DATE(2026,12,1)=EDATE(DATE(2029,3,1),-'Model inputs'!AM13*1)),IF('POA — Monthly financial forecas'!D27="","",'POA — Monthly financial forecas'!D27),"")</f>
      </c>
    </row>
    <row r="1900">
      <c r="A1900" t="inlineStr" s="25">
        <is>
          <t xml:space="preserve">Calculation</t>
        </is>
      </c>
      <c r="B1900">
        <f>IF(IF(DATE(2027,1,1)=EDATE(DATE(2029,3,1),-'Model inputs'!AM13*1)="",FALSE,DATE(2027,1,1)=EDATE(DATE(2029,3,1),-'Model inputs'!AM13*1)),IF('POA — Monthly financial forecas'!E27="","",'POA — Monthly financial forecas'!E27),"")</f>
      </c>
    </row>
    <row r="1901">
      <c r="A1901" t="inlineStr" s="25">
        <is>
          <t xml:space="preserve">Calculation</t>
        </is>
      </c>
      <c r="B1901">
        <f>IF(IF(DATE(2027,2,1)=EDATE(DATE(2029,3,1),-'Model inputs'!AM13*1)="",FALSE,DATE(2027,2,1)=EDATE(DATE(2029,3,1),-'Model inputs'!AM13*1)),IF('POA — Monthly financial forecas'!F27="","",'POA — Monthly financial forecas'!F27),"")</f>
      </c>
    </row>
    <row r="1902">
      <c r="A1902" t="inlineStr" s="25">
        <is>
          <t xml:space="preserve">Calculation</t>
        </is>
      </c>
      <c r="B1902">
        <f>IF(IF(DATE(2027,3,1)=EDATE(DATE(2029,3,1),-'Model inputs'!AM13*1)="",FALSE,DATE(2027,3,1)=EDATE(DATE(2029,3,1),-'Model inputs'!AM13*1)),IF('POA — Monthly financial forecas'!G27="","",'POA — Monthly financial forecas'!G27),"")</f>
      </c>
    </row>
    <row r="1903">
      <c r="A1903" t="inlineStr" s="25">
        <is>
          <t xml:space="preserve">Calculation</t>
        </is>
      </c>
      <c r="B1903">
        <f>IF(IF(DATE(2027,4,1)=EDATE(DATE(2029,3,1),-'Model inputs'!AM13*1)="",FALSE,DATE(2027,4,1)=EDATE(DATE(2029,3,1),-'Model inputs'!AM13*1)),IF('POA — Monthly financial forecas'!H27="","",'POA — Monthly financial forecas'!H27),"")</f>
      </c>
    </row>
    <row r="1904">
      <c r="A1904" t="inlineStr" s="25">
        <is>
          <t xml:space="preserve">Calculation</t>
        </is>
      </c>
      <c r="B1904">
        <f>IF(IF(DATE(2027,5,1)=EDATE(DATE(2029,3,1),-'Model inputs'!AM13*1)="",FALSE,DATE(2027,5,1)=EDATE(DATE(2029,3,1),-'Model inputs'!AM13*1)),IF('POA — Monthly financial forecas'!I27="","",'POA — Monthly financial forecas'!I27),"")</f>
      </c>
    </row>
    <row r="1905">
      <c r="A1905" t="inlineStr" s="25">
        <is>
          <t xml:space="preserve">Calculation</t>
        </is>
      </c>
      <c r="B1905">
        <f>IF(IF(DATE(2027,6,1)=EDATE(DATE(2029,3,1),-'Model inputs'!AM13*1)="",FALSE,DATE(2027,6,1)=EDATE(DATE(2029,3,1),-'Model inputs'!AM13*1)),IF('POA — Monthly financial forecas'!J27="","",'POA — Monthly financial forecas'!J27),"")</f>
      </c>
    </row>
    <row r="1906">
      <c r="A1906" t="inlineStr" s="25">
        <is>
          <t xml:space="preserve">Calculation</t>
        </is>
      </c>
      <c r="B1906">
        <f>IF(IF(DATE(2027,7,1)=EDATE(DATE(2029,3,1),-'Model inputs'!AM13*1)="",FALSE,DATE(2027,7,1)=EDATE(DATE(2029,3,1),-'Model inputs'!AM13*1)),IF('POA — Monthly financial forecas'!K27="","",'POA — Monthly financial forecas'!K27),"")</f>
      </c>
    </row>
    <row r="1907">
      <c r="A1907" t="inlineStr" s="25">
        <is>
          <t xml:space="preserve">Calculation</t>
        </is>
      </c>
      <c r="B1907">
        <f>IF(IF(DATE(2027,8,1)=EDATE(DATE(2029,3,1),-'Model inputs'!AM13*1)="",FALSE,DATE(2027,8,1)=EDATE(DATE(2029,3,1),-'Model inputs'!AM13*1)),IF('POA — Monthly financial forecas'!L27="","",'POA — Monthly financial forecas'!L27),"")</f>
      </c>
    </row>
    <row r="1908">
      <c r="A1908" t="inlineStr" s="25">
        <is>
          <t xml:space="preserve">Calculation</t>
        </is>
      </c>
      <c r="B1908">
        <f>IF(IF(DATE(2027,9,1)=EDATE(DATE(2029,3,1),-'Model inputs'!AM13*1)="",FALSE,DATE(2027,9,1)=EDATE(DATE(2029,3,1),-'Model inputs'!AM13*1)),IF('POA — Monthly financial forecas'!M27="","",'POA — Monthly financial forecas'!M27),"")</f>
      </c>
    </row>
    <row r="1909">
      <c r="A1909" t="inlineStr" s="25">
        <is>
          <t xml:space="preserve">Calculation</t>
        </is>
      </c>
      <c r="B1909">
        <f>IF(IF(DATE(2027,10,1)=EDATE(DATE(2029,3,1),-'Model inputs'!AM13*1)="",FALSE,DATE(2027,10,1)=EDATE(DATE(2029,3,1),-'Model inputs'!AM13*1)),IF('POA — Monthly financial forecas'!N27="","",'POA — Monthly financial forecas'!N27),"")</f>
      </c>
    </row>
    <row r="1910">
      <c r="A1910" t="inlineStr" s="25">
        <is>
          <t xml:space="preserve">Calculation</t>
        </is>
      </c>
      <c r="B1910">
        <f>IF(IF(DATE(2027,11,1)=EDATE(DATE(2029,3,1),-'Model inputs'!AM13*1)="",FALSE,DATE(2027,11,1)=EDATE(DATE(2029,3,1),-'Model inputs'!AM13*1)),IF('POA — Monthly financial forecas'!O27="","",'POA — Monthly financial forecas'!O27),"")</f>
      </c>
    </row>
    <row r="1911">
      <c r="A1911" t="inlineStr" s="25">
        <is>
          <t xml:space="preserve">Calculation</t>
        </is>
      </c>
      <c r="B1911">
        <f>IF(IF(DATE(2027,12,1)=EDATE(DATE(2029,3,1),-'Model inputs'!AM13*1)="",FALSE,DATE(2027,12,1)=EDATE(DATE(2029,3,1),-'Model inputs'!AM13*1)),IF('POA — Monthly financial forecas'!P27="","",'POA — Monthly financial forecas'!P27),"")</f>
      </c>
    </row>
    <row r="1912">
      <c r="A1912" t="inlineStr" s="25">
        <is>
          <t xml:space="preserve">Calculation</t>
        </is>
      </c>
      <c r="B1912">
        <f>IF(IF(DATE(2028,1,1)=EDATE(DATE(2029,3,1),-'Model inputs'!AM13*1)="",FALSE,DATE(2028,1,1)=EDATE(DATE(2029,3,1),-'Model inputs'!AM13*1)),IF('POA — Monthly financial forecas'!Q27="","",'POA — Monthly financial forecas'!Q27),"")</f>
      </c>
    </row>
    <row r="1913">
      <c r="A1913" t="inlineStr" s="25">
        <is>
          <t xml:space="preserve">Calculation</t>
        </is>
      </c>
      <c r="B1913">
        <f>IF(IF(DATE(2028,2,1)=EDATE(DATE(2029,3,1),-'Model inputs'!AM13*1)="",FALSE,DATE(2028,2,1)=EDATE(DATE(2029,3,1),-'Model inputs'!AM13*1)),IF('POA — Monthly financial forecas'!R27="","",'POA — Monthly financial forecas'!R27),"")</f>
      </c>
    </row>
    <row r="1914">
      <c r="A1914" t="inlineStr" s="25">
        <is>
          <t xml:space="preserve">Calculation</t>
        </is>
      </c>
      <c r="B1914">
        <f>IF(IF(DATE(2028,3,1)=EDATE(DATE(2029,3,1),-'Model inputs'!AM13*1)="",FALSE,DATE(2028,3,1)=EDATE(DATE(2029,3,1),-'Model inputs'!AM13*1)),IF('POA — Monthly financial forecas'!S27="","",'POA — Monthly financial forecas'!S27),"")</f>
      </c>
    </row>
    <row r="1915">
      <c r="A1915" t="inlineStr" s="25">
        <is>
          <t xml:space="preserve">Calculation</t>
        </is>
      </c>
      <c r="B1915">
        <f>IF(IF(DATE(2028,4,1)=EDATE(DATE(2029,3,1),-'Model inputs'!AM13*1)="",FALSE,DATE(2028,4,1)=EDATE(DATE(2029,3,1),-'Model inputs'!AM13*1)),IF('POA — Monthly financial forecas'!T27="","",'POA — Monthly financial forecas'!T27),"")</f>
      </c>
    </row>
    <row r="1916">
      <c r="A1916" t="inlineStr" s="25">
        <is>
          <t xml:space="preserve">Calculation</t>
        </is>
      </c>
      <c r="B1916">
        <f>IF(IF(DATE(2028,5,1)=EDATE(DATE(2029,3,1),-'Model inputs'!AM13*1)="",FALSE,DATE(2028,5,1)=EDATE(DATE(2029,3,1),-'Model inputs'!AM13*1)),IF('POA — Monthly financial forecas'!U27="","",'POA — Monthly financial forecas'!U27),"")</f>
      </c>
    </row>
    <row r="1917">
      <c r="A1917" t="inlineStr" s="25">
        <is>
          <t xml:space="preserve">Calculation</t>
        </is>
      </c>
      <c r="B1917">
        <f>IF(IF(DATE(2028,6,1)=EDATE(DATE(2029,3,1),-'Model inputs'!AM13*1)="",FALSE,DATE(2028,6,1)=EDATE(DATE(2029,3,1),-'Model inputs'!AM13*1)),IF('POA — Monthly financial forecas'!V27="","",'POA — Monthly financial forecas'!V27),"")</f>
      </c>
    </row>
    <row r="1918">
      <c r="A1918" t="inlineStr" s="25">
        <is>
          <t xml:space="preserve">Calculation</t>
        </is>
      </c>
      <c r="B1918">
        <f>IF(IF(DATE(2028,7,1)=EDATE(DATE(2029,3,1),-'Model inputs'!AM13*1)="",FALSE,DATE(2028,7,1)=EDATE(DATE(2029,3,1),-'Model inputs'!AM13*1)),IF('POA — Monthly financial forecas'!W27="","",'POA — Monthly financial forecas'!W27),"")</f>
      </c>
    </row>
    <row r="1919">
      <c r="A1919" t="inlineStr" s="25">
        <is>
          <t xml:space="preserve">Calculation</t>
        </is>
      </c>
      <c r="B1919">
        <f>IF(IF(DATE(2028,8,1)=EDATE(DATE(2029,3,1),-'Model inputs'!AM13*1)="",FALSE,DATE(2028,8,1)=EDATE(DATE(2029,3,1),-'Model inputs'!AM13*1)),IF('POA — Monthly financial forecas'!X27="","",'POA — Monthly financial forecas'!X27),"")</f>
      </c>
    </row>
    <row r="1920">
      <c r="A1920" t="inlineStr" s="25">
        <is>
          <t xml:space="preserve">Calculation</t>
        </is>
      </c>
      <c r="B1920">
        <f>IF(IF(DATE(2028,9,1)=EDATE(DATE(2029,3,1),-'Model inputs'!AM13*1)="",FALSE,DATE(2028,9,1)=EDATE(DATE(2029,3,1),-'Model inputs'!AM13*1)),IF('POA — Monthly financial forecas'!Y27="","",'POA — Monthly financial forecas'!Y27),"")</f>
      </c>
    </row>
    <row r="1921">
      <c r="A1921" t="inlineStr" s="25">
        <is>
          <t xml:space="preserve">Calculation</t>
        </is>
      </c>
      <c r="B1921">
        <f>IF(IF(DATE(2028,10,1)=EDATE(DATE(2029,3,1),-'Model inputs'!AM13*1)="",FALSE,DATE(2028,10,1)=EDATE(DATE(2029,3,1),-'Model inputs'!AM13*1)),IF('POA — Monthly financial forecas'!Z27="","",'POA — Monthly financial forecas'!Z27),"")</f>
      </c>
    </row>
    <row r="1922">
      <c r="A1922" t="inlineStr" s="25">
        <is>
          <t xml:space="preserve">Calculation</t>
        </is>
      </c>
      <c r="B1922">
        <f>IF(IF(DATE(2028,11,1)=EDATE(DATE(2029,3,1),-'Model inputs'!AM13*1)="",FALSE,DATE(2028,11,1)=EDATE(DATE(2029,3,1),-'Model inputs'!AM13*1)),IF('POA — Monthly financial forecas'!AA27="","",'POA — Monthly financial forecas'!AA27),"")</f>
      </c>
    </row>
    <row r="1923">
      <c r="A1923" t="inlineStr" s="25">
        <is>
          <t xml:space="preserve">Calculation</t>
        </is>
      </c>
      <c r="B1923">
        <f>IF(IF(DATE(2028,12,1)=EDATE(DATE(2029,3,1),-'Model inputs'!AM13*1)="",FALSE,DATE(2028,12,1)=EDATE(DATE(2029,3,1),-'Model inputs'!AM13*1)),IF('POA — Monthly financial forecas'!AB27="","",'POA — Monthly financial forecas'!AB27),"")</f>
      </c>
    </row>
    <row r="1924">
      <c r="A1924" t="inlineStr" s="25">
        <is>
          <t xml:space="preserve">Calculation</t>
        </is>
      </c>
      <c r="B1924">
        <f>IF(IF(DATE(2029,1,1)=EDATE(DATE(2029,3,1),-'Model inputs'!AM13*1)="",FALSE,DATE(2029,1,1)=EDATE(DATE(2029,3,1),-'Model inputs'!AM13*1)),IF('POA — Monthly financial forecas'!AC27="","",'POA — Monthly financial forecas'!AC27),"")</f>
      </c>
    </row>
    <row r="1925">
      <c r="A1925" t="inlineStr" s="25">
        <is>
          <t xml:space="preserve">Calculation</t>
        </is>
      </c>
      <c r="B1925">
        <f>IF(IF(DATE(2029,2,1)=EDATE(DATE(2029,3,1),-'Model inputs'!AM13*1)="",FALSE,DATE(2029,2,1)=EDATE(DATE(2029,3,1),-'Model inputs'!AM13*1)),IF('POA — Monthly financial forecas'!AD27="","",'POA — Monthly financial forecas'!AD27),"")</f>
      </c>
    </row>
    <row r="1926">
      <c r="A1926" t="inlineStr" s="25">
        <is>
          <t xml:space="preserve">Calculation</t>
        </is>
      </c>
      <c r="B1926">
        <f>IF(IF(DATE(2029,3,1)=EDATE(DATE(2029,3,1),-'Model inputs'!AM13*1)="",FALSE,DATE(2029,3,1)=EDATE(DATE(2029,3,1),-'Model inputs'!AM13*1)),IF('POA — Monthly financial forecas'!AE27="","",'POA — Monthly financial forecas'!AE27),"")</f>
      </c>
    </row>
    <row r="1927">
      <c r="A1927" t="inlineStr" s="25">
        <is>
          <t xml:space="preserve">Calculation</t>
        </is>
      </c>
      <c r="B1927">
        <f>IF(IF(DATE(2029,4,1)=EDATE(DATE(2029,3,1),-'Model inputs'!AM13*1)="",FALSE,DATE(2029,4,1)=EDATE(DATE(2029,3,1),-'Model inputs'!AM13*1)),IF('POA — Monthly financial forecas'!AF27="","",'POA — Monthly financial forecas'!AF27),"")</f>
      </c>
    </row>
    <row r="1928">
      <c r="A1928" t="inlineStr" s="25">
        <is>
          <t xml:space="preserve">Calculation</t>
        </is>
      </c>
      <c r="B1928">
        <f>IF(IF(DATE(2029,5,1)=EDATE(DATE(2029,3,1),-'Model inputs'!AM13*1)="",FALSE,DATE(2029,5,1)=EDATE(DATE(2029,3,1),-'Model inputs'!AM13*1)),IF('POA — Monthly financial forecas'!AG27="","",'POA — Monthly financial forecas'!AG27),"")</f>
      </c>
    </row>
    <row r="1929">
      <c r="A1929" t="inlineStr" s="25">
        <is>
          <t xml:space="preserve">Calculation</t>
        </is>
      </c>
      <c r="B1929">
        <f>IF(IF(DATE(2029,6,1)=EDATE(DATE(2029,3,1),-'Model inputs'!AM13*1)="",FALSE,DATE(2029,6,1)=EDATE(DATE(2029,3,1),-'Model inputs'!AM13*1)),IF('POA — Monthly financial forecas'!AH27="","",'POA — Monthly financial forecas'!AH27),"")</f>
      </c>
    </row>
    <row r="1930">
      <c r="A1930" t="inlineStr" s="25">
        <is>
          <t xml:space="preserve">Calculation</t>
        </is>
      </c>
      <c r="B1930">
        <f>IF(IF(DATE(2029,7,1)=EDATE(DATE(2029,3,1),-'Model inputs'!AM13*1)="",FALSE,DATE(2029,7,1)=EDATE(DATE(2029,3,1),-'Model inputs'!AM13*1)),IF('POA — Monthly financial forecas'!AI27="","",'POA — Monthly financial forecas'!AI27),"")</f>
      </c>
    </row>
    <row r="1931">
      <c r="A1931" t="inlineStr" s="25">
        <is>
          <t xml:space="preserve">Calculation</t>
        </is>
      </c>
      <c r="B1931">
        <f>IF(IF(DATE(2029,8,1)=EDATE(DATE(2029,3,1),-'Model inputs'!AM13*1)="",FALSE,DATE(2029,8,1)=EDATE(DATE(2029,3,1),-'Model inputs'!AM13*1)),IF('POA — Monthly financial forecas'!AJ27="","",'POA — Monthly financial forecas'!AJ27),"")</f>
      </c>
    </row>
    <row r="1932">
      <c r="A1932" t="inlineStr" s="25">
        <is>
          <t xml:space="preserve">Calculation</t>
        </is>
      </c>
      <c r="B1932">
        <f>IF(IF(DATE(2029,9,1)=EDATE(DATE(2029,3,1),-'Model inputs'!AM13*1)="",FALSE,DATE(2029,9,1)=EDATE(DATE(2029,3,1),-'Model inputs'!AM13*1)),IF('POA — Monthly financial forecas'!AK27="","",'POA — Monthly financial forecas'!AK27),"")</f>
      </c>
    </row>
    <row r="1933">
      <c r="A1933" t="inlineStr" s="25">
        <is>
          <t xml:space="preserve">Calculation</t>
        </is>
      </c>
      <c r="B1933">
        <f>IF(IF(DATE(2026,9,1)=EDATE(DATE(2029,3,1),-'Model inputs'!AM13*1)="",FALSE,DATE(2026,9,1)=EDATE(DATE(2029,3,1),-'Model inputs'!AM13*1)),IF('Model inputs'!B85="","",'Model inputs'!B85),"")</f>
      </c>
    </row>
    <row r="1934">
      <c r="A1934" t="inlineStr" s="25">
        <is>
          <t xml:space="preserve">Calculation</t>
        </is>
      </c>
      <c r="B1934">
        <f>SUM(IF(IF('Model inputs'!B1897="",0,1)="",0,IF('Model inputs'!B1897="",0,1)),IF(IF('Model inputs'!B1898="",0,1)="",0,IF('Model inputs'!B1898="",0,1)),IF(IF('Model inputs'!B1899="",0,1)="",0,IF('Model inputs'!B1899="",0,1)),IF(IF('Model inputs'!B1900="",0,1)="",0,IF('Model inputs'!B1900="",0,1)),IF(IF('Model inputs'!B1901="",0,1)="",0,IF('Model inputs'!B1901="",0,1)),IF(IF('Model inputs'!B1902="",0,1)="",0,IF('Model inputs'!B1902="",0,1)),IF(IF('Model inputs'!B1903="",0,1)="",0,IF('Model inputs'!B1903="",0,1)),IF(IF('Model inputs'!B1904="",0,1)="",0,IF('Model inputs'!B1904="",0,1)),IF(IF('Model inputs'!B1905="",0,1)="",0,IF('Model inputs'!B1905="",0,1)),IF(IF('Model inputs'!B1906="",0,1)="",0,IF('Model inputs'!B1906="",0,1)),IF(IF('Model inputs'!B1907="",0,1)="",0,IF('Model inputs'!B1907="",0,1)),IF(IF('Model inputs'!B1908="",0,1)="",0,IF('Model inputs'!B1908="",0,1)),IF(IF('Model inputs'!B1909="",0,1)="",0,IF('Model inputs'!B1909="",0,1)),IF(IF('Model inputs'!B1910="",0,1)="",0,IF('Model inputs'!B1910="",0,1)),IF(IF('Model inputs'!B1911="",0,1)="",0,IF('Model inputs'!B1911="",0,1)),IF(IF('Model inputs'!B1912="",0,1)="",0,IF('Model inputs'!B1912="",0,1)),IF(IF('Model inputs'!B1913="",0,1)="",0,IF('Model inputs'!B1913="",0,1)),IF(IF('Model inputs'!B1914="",0,1)="",0,IF('Model inputs'!B1914="",0,1)),IF(IF('Model inputs'!B1915="",0,1)="",0,IF('Model inputs'!B1915="",0,1)),IF(IF('Model inputs'!B1916="",0,1)="",0,IF('Model inputs'!B1916="",0,1)),IF(IF('Model inputs'!B1917="",0,1)="",0,IF('Model inputs'!B1917="",0,1)),IF(IF('Model inputs'!B1918="",0,1)="",0,IF('Model inputs'!B1918="",0,1)),IF(IF('Model inputs'!B1919="",0,1)="",0,IF('Model inputs'!B1919="",0,1)),IF(IF('Model inputs'!B1920="",0,1)="",0,IF('Model inputs'!B1920="",0,1)),IF(IF('Model inputs'!B1921="",0,1)="",0,IF('Model inputs'!B1921="",0,1)),IF(IF('Model inputs'!B1922="",0,1)="",0,IF('Model inputs'!B1922="",0,1)),IF(IF('Model inputs'!B1923="",0,1)="",0,IF('Model inputs'!B1923="",0,1)),IF(IF('Model inputs'!B1924="",0,1)="",0,IF('Model inputs'!B1924="",0,1)),IF(IF('Model inputs'!B1925="",0,1)="",0,IF('Model inputs'!B1925="",0,1)),IF(IF('Model inputs'!B1926="",0,1)="",0,IF('Model inputs'!B1926="",0,1)),IF(IF('Model inputs'!B1927="",0,1)="",0,IF('Model inputs'!B1927="",0,1)),IF(IF('Model inputs'!B1928="",0,1)="",0,IF('Model inputs'!B1928="",0,1)),IF(IF('Model inputs'!B1929="",0,1)="",0,IF('Model inputs'!B1929="",0,1)),IF(IF('Model inputs'!B1930="",0,1)="",0,IF('Model inputs'!B1930="",0,1)),IF(IF('Model inputs'!B1931="",0,1)="",0,IF('Model inputs'!B1931="",0,1)),IF(IF('Model inputs'!B1932="",0,1)="",0,IF('Model inputs'!B1932="",0,1)),IF(IF('Model inputs'!B1933="",0,1)="",0,IF('Model inputs'!B1933="",0,1)))</f>
      </c>
    </row>
    <row r="1935">
      <c r="A1935" t="inlineStr" s="25">
        <is>
          <t xml:space="preserve">Calculation</t>
        </is>
      </c>
      <c r="B1935">
        <f>IF(IF(DATE(2026,10,1)=EDATE(DATE(2029,4,1),-'Model inputs'!AM13*1)="",FALSE,DATE(2026,10,1)=EDATE(DATE(2029,4,1),-'Model inputs'!AM13*1)),IF('POA — Monthly financial forecas'!B27="","",'POA — Monthly financial forecas'!B27),"")</f>
      </c>
    </row>
    <row r="1936">
      <c r="A1936" t="inlineStr" s="25">
        <is>
          <t xml:space="preserve">Calculation</t>
        </is>
      </c>
      <c r="B1936">
        <f>IF(IF(DATE(2026,11,1)=EDATE(DATE(2029,4,1),-'Model inputs'!AM13*1)="",FALSE,DATE(2026,11,1)=EDATE(DATE(2029,4,1),-'Model inputs'!AM13*1)),IF('POA — Monthly financial forecas'!C27="","",'POA — Monthly financial forecas'!C27),"")</f>
      </c>
    </row>
    <row r="1937">
      <c r="A1937" t="inlineStr" s="25">
        <is>
          <t xml:space="preserve">Calculation</t>
        </is>
      </c>
      <c r="B1937">
        <f>IF(IF(DATE(2026,12,1)=EDATE(DATE(2029,4,1),-'Model inputs'!AM13*1)="",FALSE,DATE(2026,12,1)=EDATE(DATE(2029,4,1),-'Model inputs'!AM13*1)),IF('POA — Monthly financial forecas'!D27="","",'POA — Monthly financial forecas'!D27),"")</f>
      </c>
    </row>
    <row r="1938">
      <c r="A1938" t="inlineStr" s="25">
        <is>
          <t xml:space="preserve">Calculation</t>
        </is>
      </c>
      <c r="B1938">
        <f>IF(IF(DATE(2027,1,1)=EDATE(DATE(2029,4,1),-'Model inputs'!AM13*1)="",FALSE,DATE(2027,1,1)=EDATE(DATE(2029,4,1),-'Model inputs'!AM13*1)),IF('POA — Monthly financial forecas'!E27="","",'POA — Monthly financial forecas'!E27),"")</f>
      </c>
    </row>
    <row r="1939">
      <c r="A1939" t="inlineStr" s="25">
        <is>
          <t xml:space="preserve">Calculation</t>
        </is>
      </c>
      <c r="B1939">
        <f>IF(IF(DATE(2027,2,1)=EDATE(DATE(2029,4,1),-'Model inputs'!AM13*1)="",FALSE,DATE(2027,2,1)=EDATE(DATE(2029,4,1),-'Model inputs'!AM13*1)),IF('POA — Monthly financial forecas'!F27="","",'POA — Monthly financial forecas'!F27),"")</f>
      </c>
    </row>
    <row r="1940">
      <c r="A1940" t="inlineStr" s="25">
        <is>
          <t xml:space="preserve">Calculation</t>
        </is>
      </c>
      <c r="B1940">
        <f>IF(IF(DATE(2027,3,1)=EDATE(DATE(2029,4,1),-'Model inputs'!AM13*1)="",FALSE,DATE(2027,3,1)=EDATE(DATE(2029,4,1),-'Model inputs'!AM13*1)),IF('POA — Monthly financial forecas'!G27="","",'POA — Monthly financial forecas'!G27),"")</f>
      </c>
    </row>
    <row r="1941">
      <c r="A1941" t="inlineStr" s="25">
        <is>
          <t xml:space="preserve">Calculation</t>
        </is>
      </c>
      <c r="B1941">
        <f>IF(IF(DATE(2027,4,1)=EDATE(DATE(2029,4,1),-'Model inputs'!AM13*1)="",FALSE,DATE(2027,4,1)=EDATE(DATE(2029,4,1),-'Model inputs'!AM13*1)),IF('POA — Monthly financial forecas'!H27="","",'POA — Monthly financial forecas'!H27),"")</f>
      </c>
    </row>
    <row r="1942">
      <c r="A1942" t="inlineStr" s="25">
        <is>
          <t xml:space="preserve">Calculation</t>
        </is>
      </c>
      <c r="B1942">
        <f>IF(IF(DATE(2027,5,1)=EDATE(DATE(2029,4,1),-'Model inputs'!AM13*1)="",FALSE,DATE(2027,5,1)=EDATE(DATE(2029,4,1),-'Model inputs'!AM13*1)),IF('POA — Monthly financial forecas'!I27="","",'POA — Monthly financial forecas'!I27),"")</f>
      </c>
    </row>
    <row r="1943">
      <c r="A1943" t="inlineStr" s="25">
        <is>
          <t xml:space="preserve">Calculation</t>
        </is>
      </c>
      <c r="B1943">
        <f>IF(IF(DATE(2027,6,1)=EDATE(DATE(2029,4,1),-'Model inputs'!AM13*1)="",FALSE,DATE(2027,6,1)=EDATE(DATE(2029,4,1),-'Model inputs'!AM13*1)),IF('POA — Monthly financial forecas'!J27="","",'POA — Monthly financial forecas'!J27),"")</f>
      </c>
    </row>
    <row r="1944">
      <c r="A1944" t="inlineStr" s="25">
        <is>
          <t xml:space="preserve">Calculation</t>
        </is>
      </c>
      <c r="B1944">
        <f>IF(IF(DATE(2027,7,1)=EDATE(DATE(2029,4,1),-'Model inputs'!AM13*1)="",FALSE,DATE(2027,7,1)=EDATE(DATE(2029,4,1),-'Model inputs'!AM13*1)),IF('POA — Monthly financial forecas'!K27="","",'POA — Monthly financial forecas'!K27),"")</f>
      </c>
    </row>
    <row r="1945">
      <c r="A1945" t="inlineStr" s="25">
        <is>
          <t xml:space="preserve">Calculation</t>
        </is>
      </c>
      <c r="B1945">
        <f>IF(IF(DATE(2027,8,1)=EDATE(DATE(2029,4,1),-'Model inputs'!AM13*1)="",FALSE,DATE(2027,8,1)=EDATE(DATE(2029,4,1),-'Model inputs'!AM13*1)),IF('POA — Monthly financial forecas'!L27="","",'POA — Monthly financial forecas'!L27),"")</f>
      </c>
    </row>
    <row r="1946">
      <c r="A1946" t="inlineStr" s="25">
        <is>
          <t xml:space="preserve">Calculation</t>
        </is>
      </c>
      <c r="B1946">
        <f>IF(IF(DATE(2027,9,1)=EDATE(DATE(2029,4,1),-'Model inputs'!AM13*1)="",FALSE,DATE(2027,9,1)=EDATE(DATE(2029,4,1),-'Model inputs'!AM13*1)),IF('POA — Monthly financial forecas'!M27="","",'POA — Monthly financial forecas'!M27),"")</f>
      </c>
    </row>
    <row r="1947">
      <c r="A1947" t="inlineStr" s="25">
        <is>
          <t xml:space="preserve">Calculation</t>
        </is>
      </c>
      <c r="B1947">
        <f>IF(IF(DATE(2027,10,1)=EDATE(DATE(2029,4,1),-'Model inputs'!AM13*1)="",FALSE,DATE(2027,10,1)=EDATE(DATE(2029,4,1),-'Model inputs'!AM13*1)),IF('POA — Monthly financial forecas'!N27="","",'POA — Monthly financial forecas'!N27),"")</f>
      </c>
    </row>
    <row r="1948">
      <c r="A1948" t="inlineStr" s="25">
        <is>
          <t xml:space="preserve">Calculation</t>
        </is>
      </c>
      <c r="B1948">
        <f>IF(IF(DATE(2027,11,1)=EDATE(DATE(2029,4,1),-'Model inputs'!AM13*1)="",FALSE,DATE(2027,11,1)=EDATE(DATE(2029,4,1),-'Model inputs'!AM13*1)),IF('POA — Monthly financial forecas'!O27="","",'POA — Monthly financial forecas'!O27),"")</f>
      </c>
    </row>
    <row r="1949">
      <c r="A1949" t="inlineStr" s="25">
        <is>
          <t xml:space="preserve">Calculation</t>
        </is>
      </c>
      <c r="B1949">
        <f>IF(IF(DATE(2027,12,1)=EDATE(DATE(2029,4,1),-'Model inputs'!AM13*1)="",FALSE,DATE(2027,12,1)=EDATE(DATE(2029,4,1),-'Model inputs'!AM13*1)),IF('POA — Monthly financial forecas'!P27="","",'POA — Monthly financial forecas'!P27),"")</f>
      </c>
    </row>
    <row r="1950">
      <c r="A1950" t="inlineStr" s="25">
        <is>
          <t xml:space="preserve">Calculation</t>
        </is>
      </c>
      <c r="B1950">
        <f>IF(IF(DATE(2028,1,1)=EDATE(DATE(2029,4,1),-'Model inputs'!AM13*1)="",FALSE,DATE(2028,1,1)=EDATE(DATE(2029,4,1),-'Model inputs'!AM13*1)),IF('POA — Monthly financial forecas'!Q27="","",'POA — Monthly financial forecas'!Q27),"")</f>
      </c>
    </row>
    <row r="1951">
      <c r="A1951" t="inlineStr" s="25">
        <is>
          <t xml:space="preserve">Calculation</t>
        </is>
      </c>
      <c r="B1951">
        <f>IF(IF(DATE(2028,2,1)=EDATE(DATE(2029,4,1),-'Model inputs'!AM13*1)="",FALSE,DATE(2028,2,1)=EDATE(DATE(2029,4,1),-'Model inputs'!AM13*1)),IF('POA — Monthly financial forecas'!R27="","",'POA — Monthly financial forecas'!R27),"")</f>
      </c>
    </row>
    <row r="1952">
      <c r="A1952" t="inlineStr" s="25">
        <is>
          <t xml:space="preserve">Calculation</t>
        </is>
      </c>
      <c r="B1952">
        <f>IF(IF(DATE(2028,3,1)=EDATE(DATE(2029,4,1),-'Model inputs'!AM13*1)="",FALSE,DATE(2028,3,1)=EDATE(DATE(2029,4,1),-'Model inputs'!AM13*1)),IF('POA — Monthly financial forecas'!S27="","",'POA — Monthly financial forecas'!S27),"")</f>
      </c>
    </row>
    <row r="1953">
      <c r="A1953" t="inlineStr" s="25">
        <is>
          <t xml:space="preserve">Calculation</t>
        </is>
      </c>
      <c r="B1953">
        <f>IF(IF(DATE(2028,4,1)=EDATE(DATE(2029,4,1),-'Model inputs'!AM13*1)="",FALSE,DATE(2028,4,1)=EDATE(DATE(2029,4,1),-'Model inputs'!AM13*1)),IF('POA — Monthly financial forecas'!T27="","",'POA — Monthly financial forecas'!T27),"")</f>
      </c>
    </row>
    <row r="1954">
      <c r="A1954" t="inlineStr" s="25">
        <is>
          <t xml:space="preserve">Calculation</t>
        </is>
      </c>
      <c r="B1954">
        <f>IF(IF(DATE(2028,5,1)=EDATE(DATE(2029,4,1),-'Model inputs'!AM13*1)="",FALSE,DATE(2028,5,1)=EDATE(DATE(2029,4,1),-'Model inputs'!AM13*1)),IF('POA — Monthly financial forecas'!U27="","",'POA — Monthly financial forecas'!U27),"")</f>
      </c>
    </row>
    <row r="1955">
      <c r="A1955" t="inlineStr" s="25">
        <is>
          <t xml:space="preserve">Calculation</t>
        </is>
      </c>
      <c r="B1955">
        <f>IF(IF(DATE(2028,6,1)=EDATE(DATE(2029,4,1),-'Model inputs'!AM13*1)="",FALSE,DATE(2028,6,1)=EDATE(DATE(2029,4,1),-'Model inputs'!AM13*1)),IF('POA — Monthly financial forecas'!V27="","",'POA — Monthly financial forecas'!V27),"")</f>
      </c>
    </row>
    <row r="1956">
      <c r="A1956" t="inlineStr" s="25">
        <is>
          <t xml:space="preserve">Calculation</t>
        </is>
      </c>
      <c r="B1956">
        <f>IF(IF(DATE(2028,7,1)=EDATE(DATE(2029,4,1),-'Model inputs'!AM13*1)="",FALSE,DATE(2028,7,1)=EDATE(DATE(2029,4,1),-'Model inputs'!AM13*1)),IF('POA — Monthly financial forecas'!W27="","",'POA — Monthly financial forecas'!W27),"")</f>
      </c>
    </row>
    <row r="1957">
      <c r="A1957" t="inlineStr" s="25">
        <is>
          <t xml:space="preserve">Calculation</t>
        </is>
      </c>
      <c r="B1957">
        <f>IF(IF(DATE(2028,8,1)=EDATE(DATE(2029,4,1),-'Model inputs'!AM13*1)="",FALSE,DATE(2028,8,1)=EDATE(DATE(2029,4,1),-'Model inputs'!AM13*1)),IF('POA — Monthly financial forecas'!X27="","",'POA — Monthly financial forecas'!X27),"")</f>
      </c>
    </row>
    <row r="1958">
      <c r="A1958" t="inlineStr" s="25">
        <is>
          <t xml:space="preserve">Calculation</t>
        </is>
      </c>
      <c r="B1958">
        <f>IF(IF(DATE(2028,9,1)=EDATE(DATE(2029,4,1),-'Model inputs'!AM13*1)="",FALSE,DATE(2028,9,1)=EDATE(DATE(2029,4,1),-'Model inputs'!AM13*1)),IF('POA — Monthly financial forecas'!Y27="","",'POA — Monthly financial forecas'!Y27),"")</f>
      </c>
    </row>
    <row r="1959">
      <c r="A1959" t="inlineStr" s="25">
        <is>
          <t xml:space="preserve">Calculation</t>
        </is>
      </c>
      <c r="B1959">
        <f>IF(IF(DATE(2028,10,1)=EDATE(DATE(2029,4,1),-'Model inputs'!AM13*1)="",FALSE,DATE(2028,10,1)=EDATE(DATE(2029,4,1),-'Model inputs'!AM13*1)),IF('POA — Monthly financial forecas'!Z27="","",'POA — Monthly financial forecas'!Z27),"")</f>
      </c>
    </row>
    <row r="1960">
      <c r="A1960" t="inlineStr" s="25">
        <is>
          <t xml:space="preserve">Calculation</t>
        </is>
      </c>
      <c r="B1960">
        <f>IF(IF(DATE(2028,11,1)=EDATE(DATE(2029,4,1),-'Model inputs'!AM13*1)="",FALSE,DATE(2028,11,1)=EDATE(DATE(2029,4,1),-'Model inputs'!AM13*1)),IF('POA — Monthly financial forecas'!AA27="","",'POA — Monthly financial forecas'!AA27),"")</f>
      </c>
    </row>
    <row r="1961">
      <c r="A1961" t="inlineStr" s="25">
        <is>
          <t xml:space="preserve">Calculation</t>
        </is>
      </c>
      <c r="B1961">
        <f>IF(IF(DATE(2028,12,1)=EDATE(DATE(2029,4,1),-'Model inputs'!AM13*1)="",FALSE,DATE(2028,12,1)=EDATE(DATE(2029,4,1),-'Model inputs'!AM13*1)),IF('POA — Monthly financial forecas'!AB27="","",'POA — Monthly financial forecas'!AB27),"")</f>
      </c>
    </row>
    <row r="1962">
      <c r="A1962" t="inlineStr" s="25">
        <is>
          <t xml:space="preserve">Calculation</t>
        </is>
      </c>
      <c r="B1962">
        <f>IF(IF(DATE(2029,1,1)=EDATE(DATE(2029,4,1),-'Model inputs'!AM13*1)="",FALSE,DATE(2029,1,1)=EDATE(DATE(2029,4,1),-'Model inputs'!AM13*1)),IF('POA — Monthly financial forecas'!AC27="","",'POA — Monthly financial forecas'!AC27),"")</f>
      </c>
    </row>
    <row r="1963">
      <c r="A1963" t="inlineStr" s="25">
        <is>
          <t xml:space="preserve">Calculation</t>
        </is>
      </c>
      <c r="B1963">
        <f>IF(IF(DATE(2029,2,1)=EDATE(DATE(2029,4,1),-'Model inputs'!AM13*1)="",FALSE,DATE(2029,2,1)=EDATE(DATE(2029,4,1),-'Model inputs'!AM13*1)),IF('POA — Monthly financial forecas'!AD27="","",'POA — Monthly financial forecas'!AD27),"")</f>
      </c>
    </row>
    <row r="1964">
      <c r="A1964" t="inlineStr" s="25">
        <is>
          <t xml:space="preserve">Calculation</t>
        </is>
      </c>
      <c r="B1964">
        <f>IF(IF(DATE(2029,3,1)=EDATE(DATE(2029,4,1),-'Model inputs'!AM13*1)="",FALSE,DATE(2029,3,1)=EDATE(DATE(2029,4,1),-'Model inputs'!AM13*1)),IF('POA — Monthly financial forecas'!AE27="","",'POA — Monthly financial forecas'!AE27),"")</f>
      </c>
    </row>
    <row r="1965">
      <c r="A1965" t="inlineStr" s="25">
        <is>
          <t xml:space="preserve">Calculation</t>
        </is>
      </c>
      <c r="B1965">
        <f>IF(IF(DATE(2029,4,1)=EDATE(DATE(2029,4,1),-'Model inputs'!AM13*1)="",FALSE,DATE(2029,4,1)=EDATE(DATE(2029,4,1),-'Model inputs'!AM13*1)),IF('POA — Monthly financial forecas'!AF27="","",'POA — Monthly financial forecas'!AF27),"")</f>
      </c>
    </row>
    <row r="1966">
      <c r="A1966" t="inlineStr" s="25">
        <is>
          <t xml:space="preserve">Calculation</t>
        </is>
      </c>
      <c r="B1966">
        <f>IF(IF(DATE(2029,5,1)=EDATE(DATE(2029,4,1),-'Model inputs'!AM13*1)="",FALSE,DATE(2029,5,1)=EDATE(DATE(2029,4,1),-'Model inputs'!AM13*1)),IF('POA — Monthly financial forecas'!AG27="","",'POA — Monthly financial forecas'!AG27),"")</f>
      </c>
    </row>
    <row r="1967">
      <c r="A1967" t="inlineStr" s="25">
        <is>
          <t xml:space="preserve">Calculation</t>
        </is>
      </c>
      <c r="B1967">
        <f>IF(IF(DATE(2029,6,1)=EDATE(DATE(2029,4,1),-'Model inputs'!AM13*1)="",FALSE,DATE(2029,6,1)=EDATE(DATE(2029,4,1),-'Model inputs'!AM13*1)),IF('POA — Monthly financial forecas'!AH27="","",'POA — Monthly financial forecas'!AH27),"")</f>
      </c>
    </row>
    <row r="1968">
      <c r="A1968" t="inlineStr" s="25">
        <is>
          <t xml:space="preserve">Calculation</t>
        </is>
      </c>
      <c r="B1968">
        <f>IF(IF(DATE(2029,7,1)=EDATE(DATE(2029,4,1),-'Model inputs'!AM13*1)="",FALSE,DATE(2029,7,1)=EDATE(DATE(2029,4,1),-'Model inputs'!AM13*1)),IF('POA — Monthly financial forecas'!AI27="","",'POA — Monthly financial forecas'!AI27),"")</f>
      </c>
    </row>
    <row r="1969">
      <c r="A1969" t="inlineStr" s="25">
        <is>
          <t xml:space="preserve">Calculation</t>
        </is>
      </c>
      <c r="B1969">
        <f>IF(IF(DATE(2029,8,1)=EDATE(DATE(2029,4,1),-'Model inputs'!AM13*1)="",FALSE,DATE(2029,8,1)=EDATE(DATE(2029,4,1),-'Model inputs'!AM13*1)),IF('POA — Monthly financial forecas'!AJ27="","",'POA — Monthly financial forecas'!AJ27),"")</f>
      </c>
    </row>
    <row r="1970">
      <c r="A1970" t="inlineStr" s="25">
        <is>
          <t xml:space="preserve">Calculation</t>
        </is>
      </c>
      <c r="B1970">
        <f>IF(IF(DATE(2029,9,1)=EDATE(DATE(2029,4,1),-'Model inputs'!AM13*1)="",FALSE,DATE(2029,9,1)=EDATE(DATE(2029,4,1),-'Model inputs'!AM13*1)),IF('POA — Monthly financial forecas'!AK27="","",'POA — Monthly financial forecas'!AK27),"")</f>
      </c>
    </row>
    <row r="1971">
      <c r="A1971" t="inlineStr" s="25">
        <is>
          <t xml:space="preserve">Calculation</t>
        </is>
      </c>
      <c r="B1971">
        <f>IF(IF(DATE(2026,9,1)=EDATE(DATE(2029,4,1),-'Model inputs'!AM13*1)="",FALSE,DATE(2026,9,1)=EDATE(DATE(2029,4,1),-'Model inputs'!AM13*1)),IF('Model inputs'!B85="","",'Model inputs'!B85),"")</f>
      </c>
    </row>
    <row r="1972">
      <c r="A1972" t="inlineStr" s="25">
        <is>
          <t xml:space="preserve">Calculation</t>
        </is>
      </c>
      <c r="B1972">
        <f>SUM(IF(IF('Model inputs'!B1935="",0,1)="",0,IF('Model inputs'!B1935="",0,1)),IF(IF('Model inputs'!B1936="",0,1)="",0,IF('Model inputs'!B1936="",0,1)),IF(IF('Model inputs'!B1937="",0,1)="",0,IF('Model inputs'!B1937="",0,1)),IF(IF('Model inputs'!B1938="",0,1)="",0,IF('Model inputs'!B1938="",0,1)),IF(IF('Model inputs'!B1939="",0,1)="",0,IF('Model inputs'!B1939="",0,1)),IF(IF('Model inputs'!B1940="",0,1)="",0,IF('Model inputs'!B1940="",0,1)),IF(IF('Model inputs'!B1941="",0,1)="",0,IF('Model inputs'!B1941="",0,1)),IF(IF('Model inputs'!B1942="",0,1)="",0,IF('Model inputs'!B1942="",0,1)),IF(IF('Model inputs'!B1943="",0,1)="",0,IF('Model inputs'!B1943="",0,1)),IF(IF('Model inputs'!B1944="",0,1)="",0,IF('Model inputs'!B1944="",0,1)),IF(IF('Model inputs'!B1945="",0,1)="",0,IF('Model inputs'!B1945="",0,1)),IF(IF('Model inputs'!B1946="",0,1)="",0,IF('Model inputs'!B1946="",0,1)),IF(IF('Model inputs'!B1947="",0,1)="",0,IF('Model inputs'!B1947="",0,1)),IF(IF('Model inputs'!B1948="",0,1)="",0,IF('Model inputs'!B1948="",0,1)),IF(IF('Model inputs'!B1949="",0,1)="",0,IF('Model inputs'!B1949="",0,1)),IF(IF('Model inputs'!B1950="",0,1)="",0,IF('Model inputs'!B1950="",0,1)),IF(IF('Model inputs'!B1951="",0,1)="",0,IF('Model inputs'!B1951="",0,1)),IF(IF('Model inputs'!B1952="",0,1)="",0,IF('Model inputs'!B1952="",0,1)),IF(IF('Model inputs'!B1953="",0,1)="",0,IF('Model inputs'!B1953="",0,1)),IF(IF('Model inputs'!B1954="",0,1)="",0,IF('Model inputs'!B1954="",0,1)),IF(IF('Model inputs'!B1955="",0,1)="",0,IF('Model inputs'!B1955="",0,1)),IF(IF('Model inputs'!B1956="",0,1)="",0,IF('Model inputs'!B1956="",0,1)),IF(IF('Model inputs'!B1957="",0,1)="",0,IF('Model inputs'!B1957="",0,1)),IF(IF('Model inputs'!B1958="",0,1)="",0,IF('Model inputs'!B1958="",0,1)),IF(IF('Model inputs'!B1959="",0,1)="",0,IF('Model inputs'!B1959="",0,1)),IF(IF('Model inputs'!B1960="",0,1)="",0,IF('Model inputs'!B1960="",0,1)),IF(IF('Model inputs'!B1961="",0,1)="",0,IF('Model inputs'!B1961="",0,1)),IF(IF('Model inputs'!B1962="",0,1)="",0,IF('Model inputs'!B1962="",0,1)),IF(IF('Model inputs'!B1963="",0,1)="",0,IF('Model inputs'!B1963="",0,1)),IF(IF('Model inputs'!B1964="",0,1)="",0,IF('Model inputs'!B1964="",0,1)),IF(IF('Model inputs'!B1965="",0,1)="",0,IF('Model inputs'!B1965="",0,1)),IF(IF('Model inputs'!B1966="",0,1)="",0,IF('Model inputs'!B1966="",0,1)),IF(IF('Model inputs'!B1967="",0,1)="",0,IF('Model inputs'!B1967="",0,1)),IF(IF('Model inputs'!B1968="",0,1)="",0,IF('Model inputs'!B1968="",0,1)),IF(IF('Model inputs'!B1969="",0,1)="",0,IF('Model inputs'!B1969="",0,1)),IF(IF('Model inputs'!B1970="",0,1)="",0,IF('Model inputs'!B1970="",0,1)),IF(IF('Model inputs'!B1971="",0,1)="",0,IF('Model inputs'!B1971="",0,1)))</f>
      </c>
    </row>
    <row r="1973">
      <c r="A1973" t="inlineStr" s="25">
        <is>
          <t xml:space="preserve">Calculation</t>
        </is>
      </c>
      <c r="B1973">
        <f>IF(IF(DATE(2026,10,1)=EDATE(DATE(2029,5,1),-'Model inputs'!AM13*1)="",FALSE,DATE(2026,10,1)=EDATE(DATE(2029,5,1),-'Model inputs'!AM13*1)),IF('POA — Monthly financial forecas'!B27="","",'POA — Monthly financial forecas'!B27),"")</f>
      </c>
    </row>
    <row r="1974">
      <c r="A1974" t="inlineStr" s="25">
        <is>
          <t xml:space="preserve">Calculation</t>
        </is>
      </c>
      <c r="B1974">
        <f>IF(IF(DATE(2026,11,1)=EDATE(DATE(2029,5,1),-'Model inputs'!AM13*1)="",FALSE,DATE(2026,11,1)=EDATE(DATE(2029,5,1),-'Model inputs'!AM13*1)),IF('POA — Monthly financial forecas'!C27="","",'POA — Monthly financial forecas'!C27),"")</f>
      </c>
    </row>
    <row r="1975">
      <c r="A1975" t="inlineStr" s="25">
        <is>
          <t xml:space="preserve">Calculation</t>
        </is>
      </c>
      <c r="B1975">
        <f>IF(IF(DATE(2026,12,1)=EDATE(DATE(2029,5,1),-'Model inputs'!AM13*1)="",FALSE,DATE(2026,12,1)=EDATE(DATE(2029,5,1),-'Model inputs'!AM13*1)),IF('POA — Monthly financial forecas'!D27="","",'POA — Monthly financial forecas'!D27),"")</f>
      </c>
    </row>
    <row r="1976">
      <c r="A1976" t="inlineStr" s="25">
        <is>
          <t xml:space="preserve">Calculation</t>
        </is>
      </c>
      <c r="B1976">
        <f>IF(IF(DATE(2027,1,1)=EDATE(DATE(2029,5,1),-'Model inputs'!AM13*1)="",FALSE,DATE(2027,1,1)=EDATE(DATE(2029,5,1),-'Model inputs'!AM13*1)),IF('POA — Monthly financial forecas'!E27="","",'POA — Monthly financial forecas'!E27),"")</f>
      </c>
    </row>
    <row r="1977">
      <c r="A1977" t="inlineStr" s="25">
        <is>
          <t xml:space="preserve">Calculation</t>
        </is>
      </c>
      <c r="B1977">
        <f>IF(IF(DATE(2027,2,1)=EDATE(DATE(2029,5,1),-'Model inputs'!AM13*1)="",FALSE,DATE(2027,2,1)=EDATE(DATE(2029,5,1),-'Model inputs'!AM13*1)),IF('POA — Monthly financial forecas'!F27="","",'POA — Monthly financial forecas'!F27),"")</f>
      </c>
    </row>
    <row r="1978">
      <c r="A1978" t="inlineStr" s="25">
        <is>
          <t xml:space="preserve">Calculation</t>
        </is>
      </c>
      <c r="B1978">
        <f>IF(IF(DATE(2027,3,1)=EDATE(DATE(2029,5,1),-'Model inputs'!AM13*1)="",FALSE,DATE(2027,3,1)=EDATE(DATE(2029,5,1),-'Model inputs'!AM13*1)),IF('POA — Monthly financial forecas'!G27="","",'POA — Monthly financial forecas'!G27),"")</f>
      </c>
    </row>
    <row r="1979">
      <c r="A1979" t="inlineStr" s="25">
        <is>
          <t xml:space="preserve">Calculation</t>
        </is>
      </c>
      <c r="B1979">
        <f>IF(IF(DATE(2027,4,1)=EDATE(DATE(2029,5,1),-'Model inputs'!AM13*1)="",FALSE,DATE(2027,4,1)=EDATE(DATE(2029,5,1),-'Model inputs'!AM13*1)),IF('POA — Monthly financial forecas'!H27="","",'POA — Monthly financial forecas'!H27),"")</f>
      </c>
    </row>
    <row r="1980">
      <c r="A1980" t="inlineStr" s="25">
        <is>
          <t xml:space="preserve">Calculation</t>
        </is>
      </c>
      <c r="B1980">
        <f>IF(IF(DATE(2027,5,1)=EDATE(DATE(2029,5,1),-'Model inputs'!AM13*1)="",FALSE,DATE(2027,5,1)=EDATE(DATE(2029,5,1),-'Model inputs'!AM13*1)),IF('POA — Monthly financial forecas'!I27="","",'POA — Monthly financial forecas'!I27),"")</f>
      </c>
    </row>
    <row r="1981">
      <c r="A1981" t="inlineStr" s="25">
        <is>
          <t xml:space="preserve">Calculation</t>
        </is>
      </c>
      <c r="B1981">
        <f>IF(IF(DATE(2027,6,1)=EDATE(DATE(2029,5,1),-'Model inputs'!AM13*1)="",FALSE,DATE(2027,6,1)=EDATE(DATE(2029,5,1),-'Model inputs'!AM13*1)),IF('POA — Monthly financial forecas'!J27="","",'POA — Monthly financial forecas'!J27),"")</f>
      </c>
    </row>
    <row r="1982">
      <c r="A1982" t="inlineStr" s="25">
        <is>
          <t xml:space="preserve">Calculation</t>
        </is>
      </c>
      <c r="B1982">
        <f>IF(IF(DATE(2027,7,1)=EDATE(DATE(2029,5,1),-'Model inputs'!AM13*1)="",FALSE,DATE(2027,7,1)=EDATE(DATE(2029,5,1),-'Model inputs'!AM13*1)),IF('POA — Monthly financial forecas'!K27="","",'POA — Monthly financial forecas'!K27),"")</f>
      </c>
    </row>
    <row r="1983">
      <c r="A1983" t="inlineStr" s="25">
        <is>
          <t xml:space="preserve">Calculation</t>
        </is>
      </c>
      <c r="B1983">
        <f>IF(IF(DATE(2027,8,1)=EDATE(DATE(2029,5,1),-'Model inputs'!AM13*1)="",FALSE,DATE(2027,8,1)=EDATE(DATE(2029,5,1),-'Model inputs'!AM13*1)),IF('POA — Monthly financial forecas'!L27="","",'POA — Monthly financial forecas'!L27),"")</f>
      </c>
    </row>
    <row r="1984">
      <c r="A1984" t="inlineStr" s="25">
        <is>
          <t xml:space="preserve">Calculation</t>
        </is>
      </c>
      <c r="B1984">
        <f>IF(IF(DATE(2027,9,1)=EDATE(DATE(2029,5,1),-'Model inputs'!AM13*1)="",FALSE,DATE(2027,9,1)=EDATE(DATE(2029,5,1),-'Model inputs'!AM13*1)),IF('POA — Monthly financial forecas'!M27="","",'POA — Monthly financial forecas'!M27),"")</f>
      </c>
    </row>
    <row r="1985">
      <c r="A1985" t="inlineStr" s="25">
        <is>
          <t xml:space="preserve">Calculation</t>
        </is>
      </c>
      <c r="B1985">
        <f>IF(IF(DATE(2027,10,1)=EDATE(DATE(2029,5,1),-'Model inputs'!AM13*1)="",FALSE,DATE(2027,10,1)=EDATE(DATE(2029,5,1),-'Model inputs'!AM13*1)),IF('POA — Monthly financial forecas'!N27="","",'POA — Monthly financial forecas'!N27),"")</f>
      </c>
    </row>
    <row r="1986">
      <c r="A1986" t="inlineStr" s="25">
        <is>
          <t xml:space="preserve">Calculation</t>
        </is>
      </c>
      <c r="B1986">
        <f>IF(IF(DATE(2027,11,1)=EDATE(DATE(2029,5,1),-'Model inputs'!AM13*1)="",FALSE,DATE(2027,11,1)=EDATE(DATE(2029,5,1),-'Model inputs'!AM13*1)),IF('POA — Monthly financial forecas'!O27="","",'POA — Monthly financial forecas'!O27),"")</f>
      </c>
    </row>
    <row r="1987">
      <c r="A1987" t="inlineStr" s="25">
        <is>
          <t xml:space="preserve">Calculation</t>
        </is>
      </c>
      <c r="B1987">
        <f>IF(IF(DATE(2027,12,1)=EDATE(DATE(2029,5,1),-'Model inputs'!AM13*1)="",FALSE,DATE(2027,12,1)=EDATE(DATE(2029,5,1),-'Model inputs'!AM13*1)),IF('POA — Monthly financial forecas'!P27="","",'POA — Monthly financial forecas'!P27),"")</f>
      </c>
    </row>
    <row r="1988">
      <c r="A1988" t="inlineStr" s="25">
        <is>
          <t xml:space="preserve">Calculation</t>
        </is>
      </c>
      <c r="B1988">
        <f>IF(IF(DATE(2028,1,1)=EDATE(DATE(2029,5,1),-'Model inputs'!AM13*1)="",FALSE,DATE(2028,1,1)=EDATE(DATE(2029,5,1),-'Model inputs'!AM13*1)),IF('POA — Monthly financial forecas'!Q27="","",'POA — Monthly financial forecas'!Q27),"")</f>
      </c>
    </row>
    <row r="1989">
      <c r="A1989" t="inlineStr" s="25">
        <is>
          <t xml:space="preserve">Calculation</t>
        </is>
      </c>
      <c r="B1989">
        <f>IF(IF(DATE(2028,2,1)=EDATE(DATE(2029,5,1),-'Model inputs'!AM13*1)="",FALSE,DATE(2028,2,1)=EDATE(DATE(2029,5,1),-'Model inputs'!AM13*1)),IF('POA — Monthly financial forecas'!R27="","",'POA — Monthly financial forecas'!R27),"")</f>
      </c>
    </row>
    <row r="1990">
      <c r="A1990" t="inlineStr" s="25">
        <is>
          <t xml:space="preserve">Calculation</t>
        </is>
      </c>
      <c r="B1990">
        <f>IF(IF(DATE(2028,3,1)=EDATE(DATE(2029,5,1),-'Model inputs'!AM13*1)="",FALSE,DATE(2028,3,1)=EDATE(DATE(2029,5,1),-'Model inputs'!AM13*1)),IF('POA — Monthly financial forecas'!S27="","",'POA — Monthly financial forecas'!S27),"")</f>
      </c>
    </row>
    <row r="1991">
      <c r="A1991" t="inlineStr" s="25">
        <is>
          <t xml:space="preserve">Calculation</t>
        </is>
      </c>
      <c r="B1991">
        <f>IF(IF(DATE(2028,4,1)=EDATE(DATE(2029,5,1),-'Model inputs'!AM13*1)="",FALSE,DATE(2028,4,1)=EDATE(DATE(2029,5,1),-'Model inputs'!AM13*1)),IF('POA — Monthly financial forecas'!T27="","",'POA — Monthly financial forecas'!T27),"")</f>
      </c>
    </row>
    <row r="1992">
      <c r="A1992" t="inlineStr" s="25">
        <is>
          <t xml:space="preserve">Calculation</t>
        </is>
      </c>
      <c r="B1992">
        <f>IF(IF(DATE(2028,5,1)=EDATE(DATE(2029,5,1),-'Model inputs'!AM13*1)="",FALSE,DATE(2028,5,1)=EDATE(DATE(2029,5,1),-'Model inputs'!AM13*1)),IF('POA — Monthly financial forecas'!U27="","",'POA — Monthly financial forecas'!U27),"")</f>
      </c>
    </row>
    <row r="1993">
      <c r="A1993" t="inlineStr" s="25">
        <is>
          <t xml:space="preserve">Calculation</t>
        </is>
      </c>
      <c r="B1993">
        <f>IF(IF(DATE(2028,6,1)=EDATE(DATE(2029,5,1),-'Model inputs'!AM13*1)="",FALSE,DATE(2028,6,1)=EDATE(DATE(2029,5,1),-'Model inputs'!AM13*1)),IF('POA — Monthly financial forecas'!V27="","",'POA — Monthly financial forecas'!V27),"")</f>
      </c>
    </row>
    <row r="1994">
      <c r="A1994" t="inlineStr" s="25">
        <is>
          <t xml:space="preserve">Calculation</t>
        </is>
      </c>
      <c r="B1994">
        <f>IF(IF(DATE(2028,7,1)=EDATE(DATE(2029,5,1),-'Model inputs'!AM13*1)="",FALSE,DATE(2028,7,1)=EDATE(DATE(2029,5,1),-'Model inputs'!AM13*1)),IF('POA — Monthly financial forecas'!W27="","",'POA — Monthly financial forecas'!W27),"")</f>
      </c>
    </row>
    <row r="1995">
      <c r="A1995" t="inlineStr" s="25">
        <is>
          <t xml:space="preserve">Calculation</t>
        </is>
      </c>
      <c r="B1995">
        <f>IF(IF(DATE(2028,8,1)=EDATE(DATE(2029,5,1),-'Model inputs'!AM13*1)="",FALSE,DATE(2028,8,1)=EDATE(DATE(2029,5,1),-'Model inputs'!AM13*1)),IF('POA — Monthly financial forecas'!X27="","",'POA — Monthly financial forecas'!X27),"")</f>
      </c>
    </row>
    <row r="1996">
      <c r="A1996" t="inlineStr" s="25">
        <is>
          <t xml:space="preserve">Calculation</t>
        </is>
      </c>
      <c r="B1996">
        <f>IF(IF(DATE(2028,9,1)=EDATE(DATE(2029,5,1),-'Model inputs'!AM13*1)="",FALSE,DATE(2028,9,1)=EDATE(DATE(2029,5,1),-'Model inputs'!AM13*1)),IF('POA — Monthly financial forecas'!Y27="","",'POA — Monthly financial forecas'!Y27),"")</f>
      </c>
    </row>
    <row r="1997">
      <c r="A1997" t="inlineStr" s="25">
        <is>
          <t xml:space="preserve">Calculation</t>
        </is>
      </c>
      <c r="B1997">
        <f>IF(IF(DATE(2028,10,1)=EDATE(DATE(2029,5,1),-'Model inputs'!AM13*1)="",FALSE,DATE(2028,10,1)=EDATE(DATE(2029,5,1),-'Model inputs'!AM13*1)),IF('POA — Monthly financial forecas'!Z27="","",'POA — Monthly financial forecas'!Z27),"")</f>
      </c>
    </row>
    <row r="1998">
      <c r="A1998" t="inlineStr" s="25">
        <is>
          <t xml:space="preserve">Calculation</t>
        </is>
      </c>
      <c r="B1998">
        <f>IF(IF(DATE(2028,11,1)=EDATE(DATE(2029,5,1),-'Model inputs'!AM13*1)="",FALSE,DATE(2028,11,1)=EDATE(DATE(2029,5,1),-'Model inputs'!AM13*1)),IF('POA — Monthly financial forecas'!AA27="","",'POA — Monthly financial forecas'!AA27),"")</f>
      </c>
    </row>
    <row r="1999">
      <c r="A1999" t="inlineStr" s="25">
        <is>
          <t xml:space="preserve">Calculation</t>
        </is>
      </c>
      <c r="B1999">
        <f>IF(IF(DATE(2028,12,1)=EDATE(DATE(2029,5,1),-'Model inputs'!AM13*1)="",FALSE,DATE(2028,12,1)=EDATE(DATE(2029,5,1),-'Model inputs'!AM13*1)),IF('POA — Monthly financial forecas'!AB27="","",'POA — Monthly financial forecas'!AB27),"")</f>
      </c>
    </row>
    <row r="2000">
      <c r="A2000" t="inlineStr" s="25">
        <is>
          <t xml:space="preserve">Calculation</t>
        </is>
      </c>
      <c r="B2000">
        <f>IF(IF(DATE(2029,1,1)=EDATE(DATE(2029,5,1),-'Model inputs'!AM13*1)="",FALSE,DATE(2029,1,1)=EDATE(DATE(2029,5,1),-'Model inputs'!AM13*1)),IF('POA — Monthly financial forecas'!AC27="","",'POA — Monthly financial forecas'!AC27),"")</f>
      </c>
    </row>
    <row r="2001">
      <c r="A2001" t="inlineStr" s="25">
        <is>
          <t xml:space="preserve">Calculation</t>
        </is>
      </c>
      <c r="B2001">
        <f>IF(IF(DATE(2029,2,1)=EDATE(DATE(2029,5,1),-'Model inputs'!AM13*1)="",FALSE,DATE(2029,2,1)=EDATE(DATE(2029,5,1),-'Model inputs'!AM13*1)),IF('POA — Monthly financial forecas'!AD27="","",'POA — Monthly financial forecas'!AD27),"")</f>
      </c>
    </row>
    <row r="2002">
      <c r="A2002" t="inlineStr" s="25">
        <is>
          <t xml:space="preserve">Calculation</t>
        </is>
      </c>
      <c r="B2002">
        <f>IF(IF(DATE(2029,3,1)=EDATE(DATE(2029,5,1),-'Model inputs'!AM13*1)="",FALSE,DATE(2029,3,1)=EDATE(DATE(2029,5,1),-'Model inputs'!AM13*1)),IF('POA — Monthly financial forecas'!AE27="","",'POA — Monthly financial forecas'!AE27),"")</f>
      </c>
    </row>
    <row r="2003">
      <c r="A2003" t="inlineStr" s="25">
        <is>
          <t xml:space="preserve">Calculation</t>
        </is>
      </c>
      <c r="B2003">
        <f>IF(IF(DATE(2029,4,1)=EDATE(DATE(2029,5,1),-'Model inputs'!AM13*1)="",FALSE,DATE(2029,4,1)=EDATE(DATE(2029,5,1),-'Model inputs'!AM13*1)),IF('POA — Monthly financial forecas'!AF27="","",'POA — Monthly financial forecas'!AF27),"")</f>
      </c>
    </row>
    <row r="2004">
      <c r="A2004" t="inlineStr" s="25">
        <is>
          <t xml:space="preserve">Calculation</t>
        </is>
      </c>
      <c r="B2004">
        <f>IF(IF(DATE(2029,5,1)=EDATE(DATE(2029,5,1),-'Model inputs'!AM13*1)="",FALSE,DATE(2029,5,1)=EDATE(DATE(2029,5,1),-'Model inputs'!AM13*1)),IF('POA — Monthly financial forecas'!AG27="","",'POA — Monthly financial forecas'!AG27),"")</f>
      </c>
    </row>
    <row r="2005">
      <c r="A2005" t="inlineStr" s="25">
        <is>
          <t xml:space="preserve">Calculation</t>
        </is>
      </c>
      <c r="B2005">
        <f>IF(IF(DATE(2029,6,1)=EDATE(DATE(2029,5,1),-'Model inputs'!AM13*1)="",FALSE,DATE(2029,6,1)=EDATE(DATE(2029,5,1),-'Model inputs'!AM13*1)),IF('POA — Monthly financial forecas'!AH27="","",'POA — Monthly financial forecas'!AH27),"")</f>
      </c>
    </row>
    <row r="2006">
      <c r="A2006" t="inlineStr" s="25">
        <is>
          <t xml:space="preserve">Calculation</t>
        </is>
      </c>
      <c r="B2006">
        <f>IF(IF(DATE(2029,7,1)=EDATE(DATE(2029,5,1),-'Model inputs'!AM13*1)="",FALSE,DATE(2029,7,1)=EDATE(DATE(2029,5,1),-'Model inputs'!AM13*1)),IF('POA — Monthly financial forecas'!AI27="","",'POA — Monthly financial forecas'!AI27),"")</f>
      </c>
    </row>
    <row r="2007">
      <c r="A2007" t="inlineStr" s="25">
        <is>
          <t xml:space="preserve">Calculation</t>
        </is>
      </c>
      <c r="B2007">
        <f>IF(IF(DATE(2029,8,1)=EDATE(DATE(2029,5,1),-'Model inputs'!AM13*1)="",FALSE,DATE(2029,8,1)=EDATE(DATE(2029,5,1),-'Model inputs'!AM13*1)),IF('POA — Monthly financial forecas'!AJ27="","",'POA — Monthly financial forecas'!AJ27),"")</f>
      </c>
    </row>
    <row r="2008">
      <c r="A2008" t="inlineStr" s="25">
        <is>
          <t xml:space="preserve">Calculation</t>
        </is>
      </c>
      <c r="B2008">
        <f>IF(IF(DATE(2029,9,1)=EDATE(DATE(2029,5,1),-'Model inputs'!AM13*1)="",FALSE,DATE(2029,9,1)=EDATE(DATE(2029,5,1),-'Model inputs'!AM13*1)),IF('POA — Monthly financial forecas'!AK27="","",'POA — Monthly financial forecas'!AK27),"")</f>
      </c>
    </row>
    <row r="2009">
      <c r="A2009" t="inlineStr" s="25">
        <is>
          <t xml:space="preserve">Calculation</t>
        </is>
      </c>
      <c r="B2009">
        <f>IF(IF(DATE(2026,9,1)=EDATE(DATE(2029,5,1),-'Model inputs'!AM13*1)="",FALSE,DATE(2026,9,1)=EDATE(DATE(2029,5,1),-'Model inputs'!AM13*1)),IF('Model inputs'!B85="","",'Model inputs'!B85),"")</f>
      </c>
    </row>
    <row r="2010">
      <c r="A2010" t="inlineStr" s="25">
        <is>
          <t xml:space="preserve">Calculation</t>
        </is>
      </c>
      <c r="B2010">
        <f>SUM(IF(IF('Model inputs'!B1973="",0,1)="",0,IF('Model inputs'!B1973="",0,1)),IF(IF('Model inputs'!B1974="",0,1)="",0,IF('Model inputs'!B1974="",0,1)),IF(IF('Model inputs'!B1975="",0,1)="",0,IF('Model inputs'!B1975="",0,1)),IF(IF('Model inputs'!B1976="",0,1)="",0,IF('Model inputs'!B1976="",0,1)),IF(IF('Model inputs'!B1977="",0,1)="",0,IF('Model inputs'!B1977="",0,1)),IF(IF('Model inputs'!B1978="",0,1)="",0,IF('Model inputs'!B1978="",0,1)),IF(IF('Model inputs'!B1979="",0,1)="",0,IF('Model inputs'!B1979="",0,1)),IF(IF('Model inputs'!B1980="",0,1)="",0,IF('Model inputs'!B1980="",0,1)),IF(IF('Model inputs'!B1981="",0,1)="",0,IF('Model inputs'!B1981="",0,1)),IF(IF('Model inputs'!B1982="",0,1)="",0,IF('Model inputs'!B1982="",0,1)),IF(IF('Model inputs'!B1983="",0,1)="",0,IF('Model inputs'!B1983="",0,1)),IF(IF('Model inputs'!B1984="",0,1)="",0,IF('Model inputs'!B1984="",0,1)),IF(IF('Model inputs'!B1985="",0,1)="",0,IF('Model inputs'!B1985="",0,1)),IF(IF('Model inputs'!B1986="",0,1)="",0,IF('Model inputs'!B1986="",0,1)),IF(IF('Model inputs'!B1987="",0,1)="",0,IF('Model inputs'!B1987="",0,1)),IF(IF('Model inputs'!B1988="",0,1)="",0,IF('Model inputs'!B1988="",0,1)),IF(IF('Model inputs'!B1989="",0,1)="",0,IF('Model inputs'!B1989="",0,1)),IF(IF('Model inputs'!B1990="",0,1)="",0,IF('Model inputs'!B1990="",0,1)),IF(IF('Model inputs'!B1991="",0,1)="",0,IF('Model inputs'!B1991="",0,1)),IF(IF('Model inputs'!B1992="",0,1)="",0,IF('Model inputs'!B1992="",0,1)),IF(IF('Model inputs'!B1993="",0,1)="",0,IF('Model inputs'!B1993="",0,1)),IF(IF('Model inputs'!B1994="",0,1)="",0,IF('Model inputs'!B1994="",0,1)),IF(IF('Model inputs'!B1995="",0,1)="",0,IF('Model inputs'!B1995="",0,1)),IF(IF('Model inputs'!B1996="",0,1)="",0,IF('Model inputs'!B1996="",0,1)),IF(IF('Model inputs'!B1997="",0,1)="",0,IF('Model inputs'!B1997="",0,1)),IF(IF('Model inputs'!B1998="",0,1)="",0,IF('Model inputs'!B1998="",0,1)),IF(IF('Model inputs'!B1999="",0,1)="",0,IF('Model inputs'!B1999="",0,1)),IF(IF('Model inputs'!B2000="",0,1)="",0,IF('Model inputs'!B2000="",0,1)),IF(IF('Model inputs'!B2001="",0,1)="",0,IF('Model inputs'!B2001="",0,1)),IF(IF('Model inputs'!B2002="",0,1)="",0,IF('Model inputs'!B2002="",0,1)),IF(IF('Model inputs'!B2003="",0,1)="",0,IF('Model inputs'!B2003="",0,1)),IF(IF('Model inputs'!B2004="",0,1)="",0,IF('Model inputs'!B2004="",0,1)),IF(IF('Model inputs'!B2005="",0,1)="",0,IF('Model inputs'!B2005="",0,1)),IF(IF('Model inputs'!B2006="",0,1)="",0,IF('Model inputs'!B2006="",0,1)),IF(IF('Model inputs'!B2007="",0,1)="",0,IF('Model inputs'!B2007="",0,1)),IF(IF('Model inputs'!B2008="",0,1)="",0,IF('Model inputs'!B2008="",0,1)),IF(IF('Model inputs'!B2009="",0,1)="",0,IF('Model inputs'!B2009="",0,1)))</f>
      </c>
    </row>
    <row r="2011">
      <c r="A2011" t="inlineStr" s="25">
        <is>
          <t xml:space="preserve">Calculation</t>
        </is>
      </c>
      <c r="B2011">
        <f>IF(IF(DATE(2026,10,1)=EDATE(DATE(2029,6,1),-'Model inputs'!AM13*1)="",FALSE,DATE(2026,10,1)=EDATE(DATE(2029,6,1),-'Model inputs'!AM13*1)),IF('POA — Monthly financial forecas'!B27="","",'POA — Monthly financial forecas'!B27),"")</f>
      </c>
    </row>
    <row r="2012">
      <c r="A2012" t="inlineStr" s="25">
        <is>
          <t xml:space="preserve">Calculation</t>
        </is>
      </c>
      <c r="B2012">
        <f>IF(IF(DATE(2026,11,1)=EDATE(DATE(2029,6,1),-'Model inputs'!AM13*1)="",FALSE,DATE(2026,11,1)=EDATE(DATE(2029,6,1),-'Model inputs'!AM13*1)),IF('POA — Monthly financial forecas'!C27="","",'POA — Monthly financial forecas'!C27),"")</f>
      </c>
    </row>
    <row r="2013">
      <c r="A2013" t="inlineStr" s="25">
        <is>
          <t xml:space="preserve">Calculation</t>
        </is>
      </c>
      <c r="B2013">
        <f>IF(IF(DATE(2026,12,1)=EDATE(DATE(2029,6,1),-'Model inputs'!AM13*1)="",FALSE,DATE(2026,12,1)=EDATE(DATE(2029,6,1),-'Model inputs'!AM13*1)),IF('POA — Monthly financial forecas'!D27="","",'POA — Monthly financial forecas'!D27),"")</f>
      </c>
    </row>
    <row r="2014">
      <c r="A2014" t="inlineStr" s="25">
        <is>
          <t xml:space="preserve">Calculation</t>
        </is>
      </c>
      <c r="B2014">
        <f>IF(IF(DATE(2027,1,1)=EDATE(DATE(2029,6,1),-'Model inputs'!AM13*1)="",FALSE,DATE(2027,1,1)=EDATE(DATE(2029,6,1),-'Model inputs'!AM13*1)),IF('POA — Monthly financial forecas'!E27="","",'POA — Monthly financial forecas'!E27),"")</f>
      </c>
    </row>
    <row r="2015">
      <c r="A2015" t="inlineStr" s="25">
        <is>
          <t xml:space="preserve">Calculation</t>
        </is>
      </c>
      <c r="B2015">
        <f>IF(IF(DATE(2027,2,1)=EDATE(DATE(2029,6,1),-'Model inputs'!AM13*1)="",FALSE,DATE(2027,2,1)=EDATE(DATE(2029,6,1),-'Model inputs'!AM13*1)),IF('POA — Monthly financial forecas'!F27="","",'POA — Monthly financial forecas'!F27),"")</f>
      </c>
    </row>
    <row r="2016">
      <c r="A2016" t="inlineStr" s="25">
        <is>
          <t xml:space="preserve">Calculation</t>
        </is>
      </c>
      <c r="B2016">
        <f>IF(IF(DATE(2027,3,1)=EDATE(DATE(2029,6,1),-'Model inputs'!AM13*1)="",FALSE,DATE(2027,3,1)=EDATE(DATE(2029,6,1),-'Model inputs'!AM13*1)),IF('POA — Monthly financial forecas'!G27="","",'POA — Monthly financial forecas'!G27),"")</f>
      </c>
    </row>
    <row r="2017">
      <c r="A2017" t="inlineStr" s="25">
        <is>
          <t xml:space="preserve">Calculation</t>
        </is>
      </c>
      <c r="B2017">
        <f>IF(IF(DATE(2027,4,1)=EDATE(DATE(2029,6,1),-'Model inputs'!AM13*1)="",FALSE,DATE(2027,4,1)=EDATE(DATE(2029,6,1),-'Model inputs'!AM13*1)),IF('POA — Monthly financial forecas'!H27="","",'POA — Monthly financial forecas'!H27),"")</f>
      </c>
    </row>
    <row r="2018">
      <c r="A2018" t="inlineStr" s="25">
        <is>
          <t xml:space="preserve">Calculation</t>
        </is>
      </c>
      <c r="B2018">
        <f>IF(IF(DATE(2027,5,1)=EDATE(DATE(2029,6,1),-'Model inputs'!AM13*1)="",FALSE,DATE(2027,5,1)=EDATE(DATE(2029,6,1),-'Model inputs'!AM13*1)),IF('POA — Monthly financial forecas'!I27="","",'POA — Monthly financial forecas'!I27),"")</f>
      </c>
    </row>
    <row r="2019">
      <c r="A2019" t="inlineStr" s="25">
        <is>
          <t xml:space="preserve">Calculation</t>
        </is>
      </c>
      <c r="B2019">
        <f>IF(IF(DATE(2027,6,1)=EDATE(DATE(2029,6,1),-'Model inputs'!AM13*1)="",FALSE,DATE(2027,6,1)=EDATE(DATE(2029,6,1),-'Model inputs'!AM13*1)),IF('POA — Monthly financial forecas'!J27="","",'POA — Monthly financial forecas'!J27),"")</f>
      </c>
    </row>
    <row r="2020">
      <c r="A2020" t="inlineStr" s="25">
        <is>
          <t xml:space="preserve">Calculation</t>
        </is>
      </c>
      <c r="B2020">
        <f>IF(IF(DATE(2027,7,1)=EDATE(DATE(2029,6,1),-'Model inputs'!AM13*1)="",FALSE,DATE(2027,7,1)=EDATE(DATE(2029,6,1),-'Model inputs'!AM13*1)),IF('POA — Monthly financial forecas'!K27="","",'POA — Monthly financial forecas'!K27),"")</f>
      </c>
    </row>
    <row r="2021">
      <c r="A2021" t="inlineStr" s="25">
        <is>
          <t xml:space="preserve">Calculation</t>
        </is>
      </c>
      <c r="B2021">
        <f>IF(IF(DATE(2027,8,1)=EDATE(DATE(2029,6,1),-'Model inputs'!AM13*1)="",FALSE,DATE(2027,8,1)=EDATE(DATE(2029,6,1),-'Model inputs'!AM13*1)),IF('POA — Monthly financial forecas'!L27="","",'POA — Monthly financial forecas'!L27),"")</f>
      </c>
    </row>
    <row r="2022">
      <c r="A2022" t="inlineStr" s="25">
        <is>
          <t xml:space="preserve">Calculation</t>
        </is>
      </c>
      <c r="B2022">
        <f>IF(IF(DATE(2027,9,1)=EDATE(DATE(2029,6,1),-'Model inputs'!AM13*1)="",FALSE,DATE(2027,9,1)=EDATE(DATE(2029,6,1),-'Model inputs'!AM13*1)),IF('POA — Monthly financial forecas'!M27="","",'POA — Monthly financial forecas'!M27),"")</f>
      </c>
    </row>
    <row r="2023">
      <c r="A2023" t="inlineStr" s="25">
        <is>
          <t xml:space="preserve">Calculation</t>
        </is>
      </c>
      <c r="B2023">
        <f>IF(IF(DATE(2027,10,1)=EDATE(DATE(2029,6,1),-'Model inputs'!AM13*1)="",FALSE,DATE(2027,10,1)=EDATE(DATE(2029,6,1),-'Model inputs'!AM13*1)),IF('POA — Monthly financial forecas'!N27="","",'POA — Monthly financial forecas'!N27),"")</f>
      </c>
    </row>
    <row r="2024">
      <c r="A2024" t="inlineStr" s="25">
        <is>
          <t xml:space="preserve">Calculation</t>
        </is>
      </c>
      <c r="B2024">
        <f>IF(IF(DATE(2027,11,1)=EDATE(DATE(2029,6,1),-'Model inputs'!AM13*1)="",FALSE,DATE(2027,11,1)=EDATE(DATE(2029,6,1),-'Model inputs'!AM13*1)),IF('POA — Monthly financial forecas'!O27="","",'POA — Monthly financial forecas'!O27),"")</f>
      </c>
    </row>
    <row r="2025">
      <c r="A2025" t="inlineStr" s="25">
        <is>
          <t xml:space="preserve">Calculation</t>
        </is>
      </c>
      <c r="B2025">
        <f>IF(IF(DATE(2027,12,1)=EDATE(DATE(2029,6,1),-'Model inputs'!AM13*1)="",FALSE,DATE(2027,12,1)=EDATE(DATE(2029,6,1),-'Model inputs'!AM13*1)),IF('POA — Monthly financial forecas'!P27="","",'POA — Monthly financial forecas'!P27),"")</f>
      </c>
    </row>
    <row r="2026">
      <c r="A2026" t="inlineStr" s="25">
        <is>
          <t xml:space="preserve">Calculation</t>
        </is>
      </c>
      <c r="B2026">
        <f>IF(IF(DATE(2028,1,1)=EDATE(DATE(2029,6,1),-'Model inputs'!AM13*1)="",FALSE,DATE(2028,1,1)=EDATE(DATE(2029,6,1),-'Model inputs'!AM13*1)),IF('POA — Monthly financial forecas'!Q27="","",'POA — Monthly financial forecas'!Q27),"")</f>
      </c>
    </row>
    <row r="2027">
      <c r="A2027" t="inlineStr" s="25">
        <is>
          <t xml:space="preserve">Calculation</t>
        </is>
      </c>
      <c r="B2027">
        <f>IF(IF(DATE(2028,2,1)=EDATE(DATE(2029,6,1),-'Model inputs'!AM13*1)="",FALSE,DATE(2028,2,1)=EDATE(DATE(2029,6,1),-'Model inputs'!AM13*1)),IF('POA — Monthly financial forecas'!R27="","",'POA — Monthly financial forecas'!R27),"")</f>
      </c>
    </row>
    <row r="2028">
      <c r="A2028" t="inlineStr" s="25">
        <is>
          <t xml:space="preserve">Calculation</t>
        </is>
      </c>
      <c r="B2028">
        <f>IF(IF(DATE(2028,3,1)=EDATE(DATE(2029,6,1),-'Model inputs'!AM13*1)="",FALSE,DATE(2028,3,1)=EDATE(DATE(2029,6,1),-'Model inputs'!AM13*1)),IF('POA — Monthly financial forecas'!S27="","",'POA — Monthly financial forecas'!S27),"")</f>
      </c>
    </row>
    <row r="2029">
      <c r="A2029" t="inlineStr" s="25">
        <is>
          <t xml:space="preserve">Calculation</t>
        </is>
      </c>
      <c r="B2029">
        <f>IF(IF(DATE(2028,4,1)=EDATE(DATE(2029,6,1),-'Model inputs'!AM13*1)="",FALSE,DATE(2028,4,1)=EDATE(DATE(2029,6,1),-'Model inputs'!AM13*1)),IF('POA — Monthly financial forecas'!T27="","",'POA — Monthly financial forecas'!T27),"")</f>
      </c>
    </row>
    <row r="2030">
      <c r="A2030" t="inlineStr" s="25">
        <is>
          <t xml:space="preserve">Calculation</t>
        </is>
      </c>
      <c r="B2030">
        <f>IF(IF(DATE(2028,5,1)=EDATE(DATE(2029,6,1),-'Model inputs'!AM13*1)="",FALSE,DATE(2028,5,1)=EDATE(DATE(2029,6,1),-'Model inputs'!AM13*1)),IF('POA — Monthly financial forecas'!U27="","",'POA — Monthly financial forecas'!U27),"")</f>
      </c>
    </row>
    <row r="2031">
      <c r="A2031" t="inlineStr" s="25">
        <is>
          <t xml:space="preserve">Calculation</t>
        </is>
      </c>
      <c r="B2031">
        <f>IF(IF(DATE(2028,6,1)=EDATE(DATE(2029,6,1),-'Model inputs'!AM13*1)="",FALSE,DATE(2028,6,1)=EDATE(DATE(2029,6,1),-'Model inputs'!AM13*1)),IF('POA — Monthly financial forecas'!V27="","",'POA — Monthly financial forecas'!V27),"")</f>
      </c>
    </row>
    <row r="2032">
      <c r="A2032" t="inlineStr" s="25">
        <is>
          <t xml:space="preserve">Calculation</t>
        </is>
      </c>
      <c r="B2032">
        <f>IF(IF(DATE(2028,7,1)=EDATE(DATE(2029,6,1),-'Model inputs'!AM13*1)="",FALSE,DATE(2028,7,1)=EDATE(DATE(2029,6,1),-'Model inputs'!AM13*1)),IF('POA — Monthly financial forecas'!W27="","",'POA — Monthly financial forecas'!W27),"")</f>
      </c>
    </row>
    <row r="2033">
      <c r="A2033" t="inlineStr" s="25">
        <is>
          <t xml:space="preserve">Calculation</t>
        </is>
      </c>
      <c r="B2033">
        <f>IF(IF(DATE(2028,8,1)=EDATE(DATE(2029,6,1),-'Model inputs'!AM13*1)="",FALSE,DATE(2028,8,1)=EDATE(DATE(2029,6,1),-'Model inputs'!AM13*1)),IF('POA — Monthly financial forecas'!X27="","",'POA — Monthly financial forecas'!X27),"")</f>
      </c>
    </row>
    <row r="2034">
      <c r="A2034" t="inlineStr" s="25">
        <is>
          <t xml:space="preserve">Calculation</t>
        </is>
      </c>
      <c r="B2034">
        <f>IF(IF(DATE(2028,9,1)=EDATE(DATE(2029,6,1),-'Model inputs'!AM13*1)="",FALSE,DATE(2028,9,1)=EDATE(DATE(2029,6,1),-'Model inputs'!AM13*1)),IF('POA — Monthly financial forecas'!Y27="","",'POA — Monthly financial forecas'!Y27),"")</f>
      </c>
    </row>
    <row r="2035">
      <c r="A2035" t="inlineStr" s="25">
        <is>
          <t xml:space="preserve">Calculation</t>
        </is>
      </c>
      <c r="B2035">
        <f>IF(IF(DATE(2028,10,1)=EDATE(DATE(2029,6,1),-'Model inputs'!AM13*1)="",FALSE,DATE(2028,10,1)=EDATE(DATE(2029,6,1),-'Model inputs'!AM13*1)),IF('POA — Monthly financial forecas'!Z27="","",'POA — Monthly financial forecas'!Z27),"")</f>
      </c>
    </row>
    <row r="2036">
      <c r="A2036" t="inlineStr" s="25">
        <is>
          <t xml:space="preserve">Calculation</t>
        </is>
      </c>
      <c r="B2036">
        <f>IF(IF(DATE(2028,11,1)=EDATE(DATE(2029,6,1),-'Model inputs'!AM13*1)="",FALSE,DATE(2028,11,1)=EDATE(DATE(2029,6,1),-'Model inputs'!AM13*1)),IF('POA — Monthly financial forecas'!AA27="","",'POA — Monthly financial forecas'!AA27),"")</f>
      </c>
    </row>
    <row r="2037">
      <c r="A2037" t="inlineStr" s="25">
        <is>
          <t xml:space="preserve">Calculation</t>
        </is>
      </c>
      <c r="B2037">
        <f>IF(IF(DATE(2028,12,1)=EDATE(DATE(2029,6,1),-'Model inputs'!AM13*1)="",FALSE,DATE(2028,12,1)=EDATE(DATE(2029,6,1),-'Model inputs'!AM13*1)),IF('POA — Monthly financial forecas'!AB27="","",'POA — Monthly financial forecas'!AB27),"")</f>
      </c>
    </row>
    <row r="2038">
      <c r="A2038" t="inlineStr" s="25">
        <is>
          <t xml:space="preserve">Calculation</t>
        </is>
      </c>
      <c r="B2038">
        <f>IF(IF(DATE(2029,1,1)=EDATE(DATE(2029,6,1),-'Model inputs'!AM13*1)="",FALSE,DATE(2029,1,1)=EDATE(DATE(2029,6,1),-'Model inputs'!AM13*1)),IF('POA — Monthly financial forecas'!AC27="","",'POA — Monthly financial forecas'!AC27),"")</f>
      </c>
    </row>
    <row r="2039">
      <c r="A2039" t="inlineStr" s="25">
        <is>
          <t xml:space="preserve">Calculation</t>
        </is>
      </c>
      <c r="B2039">
        <f>IF(IF(DATE(2029,2,1)=EDATE(DATE(2029,6,1),-'Model inputs'!AM13*1)="",FALSE,DATE(2029,2,1)=EDATE(DATE(2029,6,1),-'Model inputs'!AM13*1)),IF('POA — Monthly financial forecas'!AD27="","",'POA — Monthly financial forecas'!AD27),"")</f>
      </c>
    </row>
    <row r="2040">
      <c r="A2040" t="inlineStr" s="25">
        <is>
          <t xml:space="preserve">Calculation</t>
        </is>
      </c>
      <c r="B2040">
        <f>IF(IF(DATE(2029,3,1)=EDATE(DATE(2029,6,1),-'Model inputs'!AM13*1)="",FALSE,DATE(2029,3,1)=EDATE(DATE(2029,6,1),-'Model inputs'!AM13*1)),IF('POA — Monthly financial forecas'!AE27="","",'POA — Monthly financial forecas'!AE27),"")</f>
      </c>
    </row>
    <row r="2041">
      <c r="A2041" t="inlineStr" s="25">
        <is>
          <t xml:space="preserve">Calculation</t>
        </is>
      </c>
      <c r="B2041">
        <f>IF(IF(DATE(2029,4,1)=EDATE(DATE(2029,6,1),-'Model inputs'!AM13*1)="",FALSE,DATE(2029,4,1)=EDATE(DATE(2029,6,1),-'Model inputs'!AM13*1)),IF('POA — Monthly financial forecas'!AF27="","",'POA — Monthly financial forecas'!AF27),"")</f>
      </c>
    </row>
    <row r="2042">
      <c r="A2042" t="inlineStr" s="25">
        <is>
          <t xml:space="preserve">Calculation</t>
        </is>
      </c>
      <c r="B2042">
        <f>IF(IF(DATE(2029,5,1)=EDATE(DATE(2029,6,1),-'Model inputs'!AM13*1)="",FALSE,DATE(2029,5,1)=EDATE(DATE(2029,6,1),-'Model inputs'!AM13*1)),IF('POA — Monthly financial forecas'!AG27="","",'POA — Monthly financial forecas'!AG27),"")</f>
      </c>
    </row>
    <row r="2043">
      <c r="A2043" t="inlineStr" s="25">
        <is>
          <t xml:space="preserve">Calculation</t>
        </is>
      </c>
      <c r="B2043">
        <f>IF(IF(DATE(2029,6,1)=EDATE(DATE(2029,6,1),-'Model inputs'!AM13*1)="",FALSE,DATE(2029,6,1)=EDATE(DATE(2029,6,1),-'Model inputs'!AM13*1)),IF('POA — Monthly financial forecas'!AH27="","",'POA — Monthly financial forecas'!AH27),"")</f>
      </c>
    </row>
    <row r="2044">
      <c r="A2044" t="inlineStr" s="25">
        <is>
          <t xml:space="preserve">Calculation</t>
        </is>
      </c>
      <c r="B2044">
        <f>IF(IF(DATE(2029,7,1)=EDATE(DATE(2029,6,1),-'Model inputs'!AM13*1)="",FALSE,DATE(2029,7,1)=EDATE(DATE(2029,6,1),-'Model inputs'!AM13*1)),IF('POA — Monthly financial forecas'!AI27="","",'POA — Monthly financial forecas'!AI27),"")</f>
      </c>
    </row>
    <row r="2045">
      <c r="A2045" t="inlineStr" s="25">
        <is>
          <t xml:space="preserve">Calculation</t>
        </is>
      </c>
      <c r="B2045">
        <f>IF(IF(DATE(2029,8,1)=EDATE(DATE(2029,6,1),-'Model inputs'!AM13*1)="",FALSE,DATE(2029,8,1)=EDATE(DATE(2029,6,1),-'Model inputs'!AM13*1)),IF('POA — Monthly financial forecas'!AJ27="","",'POA — Monthly financial forecas'!AJ27),"")</f>
      </c>
    </row>
    <row r="2046">
      <c r="A2046" t="inlineStr" s="25">
        <is>
          <t xml:space="preserve">Calculation</t>
        </is>
      </c>
      <c r="B2046">
        <f>IF(IF(DATE(2029,9,1)=EDATE(DATE(2029,6,1),-'Model inputs'!AM13*1)="",FALSE,DATE(2029,9,1)=EDATE(DATE(2029,6,1),-'Model inputs'!AM13*1)),IF('POA — Monthly financial forecas'!AK27="","",'POA — Monthly financial forecas'!AK27),"")</f>
      </c>
    </row>
    <row r="2047">
      <c r="A2047" t="inlineStr" s="25">
        <is>
          <t xml:space="preserve">Calculation</t>
        </is>
      </c>
      <c r="B2047">
        <f>IF(IF(DATE(2026,9,1)=EDATE(DATE(2029,6,1),-'Model inputs'!AM13*1)="",FALSE,DATE(2026,9,1)=EDATE(DATE(2029,6,1),-'Model inputs'!AM13*1)),IF('Model inputs'!B85="","",'Model inputs'!B85),"")</f>
      </c>
    </row>
    <row r="2048">
      <c r="A2048" t="inlineStr" s="25">
        <is>
          <t xml:space="preserve">Calculation</t>
        </is>
      </c>
      <c r="B2048">
        <f>SUM(IF(IF('Model inputs'!B2011="",0,1)="",0,IF('Model inputs'!B2011="",0,1)),IF(IF('Model inputs'!B2012="",0,1)="",0,IF('Model inputs'!B2012="",0,1)),IF(IF('Model inputs'!B2013="",0,1)="",0,IF('Model inputs'!B2013="",0,1)),IF(IF('Model inputs'!B2014="",0,1)="",0,IF('Model inputs'!B2014="",0,1)),IF(IF('Model inputs'!B2015="",0,1)="",0,IF('Model inputs'!B2015="",0,1)),IF(IF('Model inputs'!B2016="",0,1)="",0,IF('Model inputs'!B2016="",0,1)),IF(IF('Model inputs'!B2017="",0,1)="",0,IF('Model inputs'!B2017="",0,1)),IF(IF('Model inputs'!B2018="",0,1)="",0,IF('Model inputs'!B2018="",0,1)),IF(IF('Model inputs'!B2019="",0,1)="",0,IF('Model inputs'!B2019="",0,1)),IF(IF('Model inputs'!B2020="",0,1)="",0,IF('Model inputs'!B2020="",0,1)),IF(IF('Model inputs'!B2021="",0,1)="",0,IF('Model inputs'!B2021="",0,1)),IF(IF('Model inputs'!B2022="",0,1)="",0,IF('Model inputs'!B2022="",0,1)),IF(IF('Model inputs'!B2023="",0,1)="",0,IF('Model inputs'!B2023="",0,1)),IF(IF('Model inputs'!B2024="",0,1)="",0,IF('Model inputs'!B2024="",0,1)),IF(IF('Model inputs'!B2025="",0,1)="",0,IF('Model inputs'!B2025="",0,1)),IF(IF('Model inputs'!B2026="",0,1)="",0,IF('Model inputs'!B2026="",0,1)),IF(IF('Model inputs'!B2027="",0,1)="",0,IF('Model inputs'!B2027="",0,1)),IF(IF('Model inputs'!B2028="",0,1)="",0,IF('Model inputs'!B2028="",0,1)),IF(IF('Model inputs'!B2029="",0,1)="",0,IF('Model inputs'!B2029="",0,1)),IF(IF('Model inputs'!B2030="",0,1)="",0,IF('Model inputs'!B2030="",0,1)),IF(IF('Model inputs'!B2031="",0,1)="",0,IF('Model inputs'!B2031="",0,1)),IF(IF('Model inputs'!B2032="",0,1)="",0,IF('Model inputs'!B2032="",0,1)),IF(IF('Model inputs'!B2033="",0,1)="",0,IF('Model inputs'!B2033="",0,1)),IF(IF('Model inputs'!B2034="",0,1)="",0,IF('Model inputs'!B2034="",0,1)),IF(IF('Model inputs'!B2035="",0,1)="",0,IF('Model inputs'!B2035="",0,1)),IF(IF('Model inputs'!B2036="",0,1)="",0,IF('Model inputs'!B2036="",0,1)),IF(IF('Model inputs'!B2037="",0,1)="",0,IF('Model inputs'!B2037="",0,1)),IF(IF('Model inputs'!B2038="",0,1)="",0,IF('Model inputs'!B2038="",0,1)),IF(IF('Model inputs'!B2039="",0,1)="",0,IF('Model inputs'!B2039="",0,1)),IF(IF('Model inputs'!B2040="",0,1)="",0,IF('Model inputs'!B2040="",0,1)),IF(IF('Model inputs'!B2041="",0,1)="",0,IF('Model inputs'!B2041="",0,1)),IF(IF('Model inputs'!B2042="",0,1)="",0,IF('Model inputs'!B2042="",0,1)),IF(IF('Model inputs'!B2043="",0,1)="",0,IF('Model inputs'!B2043="",0,1)),IF(IF('Model inputs'!B2044="",0,1)="",0,IF('Model inputs'!B2044="",0,1)),IF(IF('Model inputs'!B2045="",0,1)="",0,IF('Model inputs'!B2045="",0,1)),IF(IF('Model inputs'!B2046="",0,1)="",0,IF('Model inputs'!B2046="",0,1)),IF(IF('Model inputs'!B2047="",0,1)="",0,IF('Model inputs'!B2047="",0,1)))</f>
      </c>
    </row>
    <row r="2049">
      <c r="A2049" t="inlineStr" s="25">
        <is>
          <t xml:space="preserve">Calculation</t>
        </is>
      </c>
      <c r="B2049">
        <f>IF(IF(DATE(2026,10,1)=EDATE(DATE(2029,7,1),-'Model inputs'!AM13*1)="",FALSE,DATE(2026,10,1)=EDATE(DATE(2029,7,1),-'Model inputs'!AM13*1)),IF('POA — Monthly financial forecas'!B27="","",'POA — Monthly financial forecas'!B27),"")</f>
      </c>
    </row>
    <row r="2050">
      <c r="A2050" t="inlineStr" s="25">
        <is>
          <t xml:space="preserve">Calculation</t>
        </is>
      </c>
      <c r="B2050">
        <f>IF(IF(DATE(2026,11,1)=EDATE(DATE(2029,7,1),-'Model inputs'!AM13*1)="",FALSE,DATE(2026,11,1)=EDATE(DATE(2029,7,1),-'Model inputs'!AM13*1)),IF('POA — Monthly financial forecas'!C27="","",'POA — Monthly financial forecas'!C27),"")</f>
      </c>
    </row>
    <row r="2051">
      <c r="A2051" t="inlineStr" s="25">
        <is>
          <t xml:space="preserve">Calculation</t>
        </is>
      </c>
      <c r="B2051">
        <f>IF(IF(DATE(2026,12,1)=EDATE(DATE(2029,7,1),-'Model inputs'!AM13*1)="",FALSE,DATE(2026,12,1)=EDATE(DATE(2029,7,1),-'Model inputs'!AM13*1)),IF('POA — Monthly financial forecas'!D27="","",'POA — Monthly financial forecas'!D27),"")</f>
      </c>
    </row>
    <row r="2052">
      <c r="A2052" t="inlineStr" s="25">
        <is>
          <t xml:space="preserve">Calculation</t>
        </is>
      </c>
      <c r="B2052">
        <f>IF(IF(DATE(2027,1,1)=EDATE(DATE(2029,7,1),-'Model inputs'!AM13*1)="",FALSE,DATE(2027,1,1)=EDATE(DATE(2029,7,1),-'Model inputs'!AM13*1)),IF('POA — Monthly financial forecas'!E27="","",'POA — Monthly financial forecas'!E27),"")</f>
      </c>
    </row>
    <row r="2053">
      <c r="A2053" t="inlineStr" s="25">
        <is>
          <t xml:space="preserve">Calculation</t>
        </is>
      </c>
      <c r="B2053">
        <f>IF(IF(DATE(2027,2,1)=EDATE(DATE(2029,7,1),-'Model inputs'!AM13*1)="",FALSE,DATE(2027,2,1)=EDATE(DATE(2029,7,1),-'Model inputs'!AM13*1)),IF('POA — Monthly financial forecas'!F27="","",'POA — Monthly financial forecas'!F27),"")</f>
      </c>
    </row>
    <row r="2054">
      <c r="A2054" t="inlineStr" s="25">
        <is>
          <t xml:space="preserve">Calculation</t>
        </is>
      </c>
      <c r="B2054">
        <f>IF(IF(DATE(2027,3,1)=EDATE(DATE(2029,7,1),-'Model inputs'!AM13*1)="",FALSE,DATE(2027,3,1)=EDATE(DATE(2029,7,1),-'Model inputs'!AM13*1)),IF('POA — Monthly financial forecas'!G27="","",'POA — Monthly financial forecas'!G27),"")</f>
      </c>
    </row>
    <row r="2055">
      <c r="A2055" t="inlineStr" s="25">
        <is>
          <t xml:space="preserve">Calculation</t>
        </is>
      </c>
      <c r="B2055">
        <f>IF(IF(DATE(2027,4,1)=EDATE(DATE(2029,7,1),-'Model inputs'!AM13*1)="",FALSE,DATE(2027,4,1)=EDATE(DATE(2029,7,1),-'Model inputs'!AM13*1)),IF('POA — Monthly financial forecas'!H27="","",'POA — Monthly financial forecas'!H27),"")</f>
      </c>
    </row>
    <row r="2056">
      <c r="A2056" t="inlineStr" s="25">
        <is>
          <t xml:space="preserve">Calculation</t>
        </is>
      </c>
      <c r="B2056">
        <f>IF(IF(DATE(2027,5,1)=EDATE(DATE(2029,7,1),-'Model inputs'!AM13*1)="",FALSE,DATE(2027,5,1)=EDATE(DATE(2029,7,1),-'Model inputs'!AM13*1)),IF('POA — Monthly financial forecas'!I27="","",'POA — Monthly financial forecas'!I27),"")</f>
      </c>
    </row>
    <row r="2057">
      <c r="A2057" t="inlineStr" s="25">
        <is>
          <t xml:space="preserve">Calculation</t>
        </is>
      </c>
      <c r="B2057">
        <f>IF(IF(DATE(2027,6,1)=EDATE(DATE(2029,7,1),-'Model inputs'!AM13*1)="",FALSE,DATE(2027,6,1)=EDATE(DATE(2029,7,1),-'Model inputs'!AM13*1)),IF('POA — Monthly financial forecas'!J27="","",'POA — Monthly financial forecas'!J27),"")</f>
      </c>
    </row>
    <row r="2058">
      <c r="A2058" t="inlineStr" s="25">
        <is>
          <t xml:space="preserve">Calculation</t>
        </is>
      </c>
      <c r="B2058">
        <f>IF(IF(DATE(2027,7,1)=EDATE(DATE(2029,7,1),-'Model inputs'!AM13*1)="",FALSE,DATE(2027,7,1)=EDATE(DATE(2029,7,1),-'Model inputs'!AM13*1)),IF('POA — Monthly financial forecas'!K27="","",'POA — Monthly financial forecas'!K27),"")</f>
      </c>
    </row>
    <row r="2059">
      <c r="A2059" t="inlineStr" s="25">
        <is>
          <t xml:space="preserve">Calculation</t>
        </is>
      </c>
      <c r="B2059">
        <f>IF(IF(DATE(2027,8,1)=EDATE(DATE(2029,7,1),-'Model inputs'!AM13*1)="",FALSE,DATE(2027,8,1)=EDATE(DATE(2029,7,1),-'Model inputs'!AM13*1)),IF('POA — Monthly financial forecas'!L27="","",'POA — Monthly financial forecas'!L27),"")</f>
      </c>
    </row>
    <row r="2060">
      <c r="A2060" t="inlineStr" s="25">
        <is>
          <t xml:space="preserve">Calculation</t>
        </is>
      </c>
      <c r="B2060">
        <f>IF(IF(DATE(2027,9,1)=EDATE(DATE(2029,7,1),-'Model inputs'!AM13*1)="",FALSE,DATE(2027,9,1)=EDATE(DATE(2029,7,1),-'Model inputs'!AM13*1)),IF('POA — Monthly financial forecas'!M27="","",'POA — Monthly financial forecas'!M27),"")</f>
      </c>
    </row>
    <row r="2061">
      <c r="A2061" t="inlineStr" s="25">
        <is>
          <t xml:space="preserve">Calculation</t>
        </is>
      </c>
      <c r="B2061">
        <f>IF(IF(DATE(2027,10,1)=EDATE(DATE(2029,7,1),-'Model inputs'!AM13*1)="",FALSE,DATE(2027,10,1)=EDATE(DATE(2029,7,1),-'Model inputs'!AM13*1)),IF('POA — Monthly financial forecas'!N27="","",'POA — Monthly financial forecas'!N27),"")</f>
      </c>
    </row>
    <row r="2062">
      <c r="A2062" t="inlineStr" s="25">
        <is>
          <t xml:space="preserve">Calculation</t>
        </is>
      </c>
      <c r="B2062">
        <f>IF(IF(DATE(2027,11,1)=EDATE(DATE(2029,7,1),-'Model inputs'!AM13*1)="",FALSE,DATE(2027,11,1)=EDATE(DATE(2029,7,1),-'Model inputs'!AM13*1)),IF('POA — Monthly financial forecas'!O27="","",'POA — Monthly financial forecas'!O27),"")</f>
      </c>
    </row>
    <row r="2063">
      <c r="A2063" t="inlineStr" s="25">
        <is>
          <t xml:space="preserve">Calculation</t>
        </is>
      </c>
      <c r="B2063">
        <f>IF(IF(DATE(2027,12,1)=EDATE(DATE(2029,7,1),-'Model inputs'!AM13*1)="",FALSE,DATE(2027,12,1)=EDATE(DATE(2029,7,1),-'Model inputs'!AM13*1)),IF('POA — Monthly financial forecas'!P27="","",'POA — Monthly financial forecas'!P27),"")</f>
      </c>
    </row>
    <row r="2064">
      <c r="A2064" t="inlineStr" s="25">
        <is>
          <t xml:space="preserve">Calculation</t>
        </is>
      </c>
      <c r="B2064">
        <f>IF(IF(DATE(2028,1,1)=EDATE(DATE(2029,7,1),-'Model inputs'!AM13*1)="",FALSE,DATE(2028,1,1)=EDATE(DATE(2029,7,1),-'Model inputs'!AM13*1)),IF('POA — Monthly financial forecas'!Q27="","",'POA — Monthly financial forecas'!Q27),"")</f>
      </c>
    </row>
    <row r="2065">
      <c r="A2065" t="inlineStr" s="25">
        <is>
          <t xml:space="preserve">Calculation</t>
        </is>
      </c>
      <c r="B2065">
        <f>IF(IF(DATE(2028,2,1)=EDATE(DATE(2029,7,1),-'Model inputs'!AM13*1)="",FALSE,DATE(2028,2,1)=EDATE(DATE(2029,7,1),-'Model inputs'!AM13*1)),IF('POA — Monthly financial forecas'!R27="","",'POA — Monthly financial forecas'!R27),"")</f>
      </c>
    </row>
    <row r="2066">
      <c r="A2066" t="inlineStr" s="25">
        <is>
          <t xml:space="preserve">Calculation</t>
        </is>
      </c>
      <c r="B2066">
        <f>IF(IF(DATE(2028,3,1)=EDATE(DATE(2029,7,1),-'Model inputs'!AM13*1)="",FALSE,DATE(2028,3,1)=EDATE(DATE(2029,7,1),-'Model inputs'!AM13*1)),IF('POA — Monthly financial forecas'!S27="","",'POA — Monthly financial forecas'!S27),"")</f>
      </c>
    </row>
    <row r="2067">
      <c r="A2067" t="inlineStr" s="25">
        <is>
          <t xml:space="preserve">Calculation</t>
        </is>
      </c>
      <c r="B2067">
        <f>IF(IF(DATE(2028,4,1)=EDATE(DATE(2029,7,1),-'Model inputs'!AM13*1)="",FALSE,DATE(2028,4,1)=EDATE(DATE(2029,7,1),-'Model inputs'!AM13*1)),IF('POA — Monthly financial forecas'!T27="","",'POA — Monthly financial forecas'!T27),"")</f>
      </c>
    </row>
    <row r="2068">
      <c r="A2068" t="inlineStr" s="25">
        <is>
          <t xml:space="preserve">Calculation</t>
        </is>
      </c>
      <c r="B2068">
        <f>IF(IF(DATE(2028,5,1)=EDATE(DATE(2029,7,1),-'Model inputs'!AM13*1)="",FALSE,DATE(2028,5,1)=EDATE(DATE(2029,7,1),-'Model inputs'!AM13*1)),IF('POA — Monthly financial forecas'!U27="","",'POA — Monthly financial forecas'!U27),"")</f>
      </c>
    </row>
    <row r="2069">
      <c r="A2069" t="inlineStr" s="25">
        <is>
          <t xml:space="preserve">Calculation</t>
        </is>
      </c>
      <c r="B2069">
        <f>IF(IF(DATE(2028,6,1)=EDATE(DATE(2029,7,1),-'Model inputs'!AM13*1)="",FALSE,DATE(2028,6,1)=EDATE(DATE(2029,7,1),-'Model inputs'!AM13*1)),IF('POA — Monthly financial forecas'!V27="","",'POA — Monthly financial forecas'!V27),"")</f>
      </c>
    </row>
    <row r="2070">
      <c r="A2070" t="inlineStr" s="25">
        <is>
          <t xml:space="preserve">Calculation</t>
        </is>
      </c>
      <c r="B2070">
        <f>IF(IF(DATE(2028,7,1)=EDATE(DATE(2029,7,1),-'Model inputs'!AM13*1)="",FALSE,DATE(2028,7,1)=EDATE(DATE(2029,7,1),-'Model inputs'!AM13*1)),IF('POA — Monthly financial forecas'!W27="","",'POA — Monthly financial forecas'!W27),"")</f>
      </c>
    </row>
    <row r="2071">
      <c r="A2071" t="inlineStr" s="25">
        <is>
          <t xml:space="preserve">Calculation</t>
        </is>
      </c>
      <c r="B2071">
        <f>IF(IF(DATE(2028,8,1)=EDATE(DATE(2029,7,1),-'Model inputs'!AM13*1)="",FALSE,DATE(2028,8,1)=EDATE(DATE(2029,7,1),-'Model inputs'!AM13*1)),IF('POA — Monthly financial forecas'!X27="","",'POA — Monthly financial forecas'!X27),"")</f>
      </c>
    </row>
    <row r="2072">
      <c r="A2072" t="inlineStr" s="25">
        <is>
          <t xml:space="preserve">Calculation</t>
        </is>
      </c>
      <c r="B2072">
        <f>IF(IF(DATE(2028,9,1)=EDATE(DATE(2029,7,1),-'Model inputs'!AM13*1)="",FALSE,DATE(2028,9,1)=EDATE(DATE(2029,7,1),-'Model inputs'!AM13*1)),IF('POA — Monthly financial forecas'!Y27="","",'POA — Monthly financial forecas'!Y27),"")</f>
      </c>
    </row>
    <row r="2073">
      <c r="A2073" t="inlineStr" s="25">
        <is>
          <t xml:space="preserve">Calculation</t>
        </is>
      </c>
      <c r="B2073">
        <f>IF(IF(DATE(2028,10,1)=EDATE(DATE(2029,7,1),-'Model inputs'!AM13*1)="",FALSE,DATE(2028,10,1)=EDATE(DATE(2029,7,1),-'Model inputs'!AM13*1)),IF('POA — Monthly financial forecas'!Z27="","",'POA — Monthly financial forecas'!Z27),"")</f>
      </c>
    </row>
    <row r="2074">
      <c r="A2074" t="inlineStr" s="25">
        <is>
          <t xml:space="preserve">Calculation</t>
        </is>
      </c>
      <c r="B2074">
        <f>IF(IF(DATE(2028,11,1)=EDATE(DATE(2029,7,1),-'Model inputs'!AM13*1)="",FALSE,DATE(2028,11,1)=EDATE(DATE(2029,7,1),-'Model inputs'!AM13*1)),IF('POA — Monthly financial forecas'!AA27="","",'POA — Monthly financial forecas'!AA27),"")</f>
      </c>
    </row>
    <row r="2075">
      <c r="A2075" t="inlineStr" s="25">
        <is>
          <t xml:space="preserve">Calculation</t>
        </is>
      </c>
      <c r="B2075">
        <f>IF(IF(DATE(2028,12,1)=EDATE(DATE(2029,7,1),-'Model inputs'!AM13*1)="",FALSE,DATE(2028,12,1)=EDATE(DATE(2029,7,1),-'Model inputs'!AM13*1)),IF('POA — Monthly financial forecas'!AB27="","",'POA — Monthly financial forecas'!AB27),"")</f>
      </c>
    </row>
    <row r="2076">
      <c r="A2076" t="inlineStr" s="25">
        <is>
          <t xml:space="preserve">Calculation</t>
        </is>
      </c>
      <c r="B2076">
        <f>IF(IF(DATE(2029,1,1)=EDATE(DATE(2029,7,1),-'Model inputs'!AM13*1)="",FALSE,DATE(2029,1,1)=EDATE(DATE(2029,7,1),-'Model inputs'!AM13*1)),IF('POA — Monthly financial forecas'!AC27="","",'POA — Monthly financial forecas'!AC27),"")</f>
      </c>
    </row>
    <row r="2077">
      <c r="A2077" t="inlineStr" s="25">
        <is>
          <t xml:space="preserve">Calculation</t>
        </is>
      </c>
      <c r="B2077">
        <f>IF(IF(DATE(2029,2,1)=EDATE(DATE(2029,7,1),-'Model inputs'!AM13*1)="",FALSE,DATE(2029,2,1)=EDATE(DATE(2029,7,1),-'Model inputs'!AM13*1)),IF('POA — Monthly financial forecas'!AD27="","",'POA — Monthly financial forecas'!AD27),"")</f>
      </c>
    </row>
    <row r="2078">
      <c r="A2078" t="inlineStr" s="25">
        <is>
          <t xml:space="preserve">Calculation</t>
        </is>
      </c>
      <c r="B2078">
        <f>IF(IF(DATE(2029,3,1)=EDATE(DATE(2029,7,1),-'Model inputs'!AM13*1)="",FALSE,DATE(2029,3,1)=EDATE(DATE(2029,7,1),-'Model inputs'!AM13*1)),IF('POA — Monthly financial forecas'!AE27="","",'POA — Monthly financial forecas'!AE27),"")</f>
      </c>
    </row>
    <row r="2079">
      <c r="A2079" t="inlineStr" s="25">
        <is>
          <t xml:space="preserve">Calculation</t>
        </is>
      </c>
      <c r="B2079">
        <f>IF(IF(DATE(2029,4,1)=EDATE(DATE(2029,7,1),-'Model inputs'!AM13*1)="",FALSE,DATE(2029,4,1)=EDATE(DATE(2029,7,1),-'Model inputs'!AM13*1)),IF('POA — Monthly financial forecas'!AF27="","",'POA — Monthly financial forecas'!AF27),"")</f>
      </c>
    </row>
    <row r="2080">
      <c r="A2080" t="inlineStr" s="25">
        <is>
          <t xml:space="preserve">Calculation</t>
        </is>
      </c>
      <c r="B2080">
        <f>IF(IF(DATE(2029,5,1)=EDATE(DATE(2029,7,1),-'Model inputs'!AM13*1)="",FALSE,DATE(2029,5,1)=EDATE(DATE(2029,7,1),-'Model inputs'!AM13*1)),IF('POA — Monthly financial forecas'!AG27="","",'POA — Monthly financial forecas'!AG27),"")</f>
      </c>
    </row>
    <row r="2081">
      <c r="A2081" t="inlineStr" s="25">
        <is>
          <t xml:space="preserve">Calculation</t>
        </is>
      </c>
      <c r="B2081">
        <f>IF(IF(DATE(2029,6,1)=EDATE(DATE(2029,7,1),-'Model inputs'!AM13*1)="",FALSE,DATE(2029,6,1)=EDATE(DATE(2029,7,1),-'Model inputs'!AM13*1)),IF('POA — Monthly financial forecas'!AH27="","",'POA — Monthly financial forecas'!AH27),"")</f>
      </c>
    </row>
    <row r="2082">
      <c r="A2082" t="inlineStr" s="25">
        <is>
          <t xml:space="preserve">Calculation</t>
        </is>
      </c>
      <c r="B2082">
        <f>IF(IF(DATE(2029,7,1)=EDATE(DATE(2029,7,1),-'Model inputs'!AM13*1)="",FALSE,DATE(2029,7,1)=EDATE(DATE(2029,7,1),-'Model inputs'!AM13*1)),IF('POA — Monthly financial forecas'!AI27="","",'POA — Monthly financial forecas'!AI27),"")</f>
      </c>
    </row>
    <row r="2083">
      <c r="A2083" t="inlineStr" s="25">
        <is>
          <t xml:space="preserve">Calculation</t>
        </is>
      </c>
      <c r="B2083">
        <f>IF(IF(DATE(2029,8,1)=EDATE(DATE(2029,7,1),-'Model inputs'!AM13*1)="",FALSE,DATE(2029,8,1)=EDATE(DATE(2029,7,1),-'Model inputs'!AM13*1)),IF('POA — Monthly financial forecas'!AJ27="","",'POA — Monthly financial forecas'!AJ27),"")</f>
      </c>
    </row>
    <row r="2084">
      <c r="A2084" t="inlineStr" s="25">
        <is>
          <t xml:space="preserve">Calculation</t>
        </is>
      </c>
      <c r="B2084">
        <f>IF(IF(DATE(2029,9,1)=EDATE(DATE(2029,7,1),-'Model inputs'!AM13*1)="",FALSE,DATE(2029,9,1)=EDATE(DATE(2029,7,1),-'Model inputs'!AM13*1)),IF('POA — Monthly financial forecas'!AK27="","",'POA — Monthly financial forecas'!AK27),"")</f>
      </c>
    </row>
    <row r="2085">
      <c r="A2085" t="inlineStr" s="25">
        <is>
          <t xml:space="preserve">Calculation</t>
        </is>
      </c>
      <c r="B2085">
        <f>IF(IF(DATE(2026,9,1)=EDATE(DATE(2029,7,1),-'Model inputs'!AM13*1)="",FALSE,DATE(2026,9,1)=EDATE(DATE(2029,7,1),-'Model inputs'!AM13*1)),IF('Model inputs'!B85="","",'Model inputs'!B85),"")</f>
      </c>
    </row>
    <row r="2086">
      <c r="A2086" t="inlineStr" s="25">
        <is>
          <t xml:space="preserve">Calculation</t>
        </is>
      </c>
      <c r="B2086">
        <f>SUM(IF(IF('Model inputs'!B2049="",0,1)="",0,IF('Model inputs'!B2049="",0,1)),IF(IF('Model inputs'!B2050="",0,1)="",0,IF('Model inputs'!B2050="",0,1)),IF(IF('Model inputs'!B2051="",0,1)="",0,IF('Model inputs'!B2051="",0,1)),IF(IF('Model inputs'!B2052="",0,1)="",0,IF('Model inputs'!B2052="",0,1)),IF(IF('Model inputs'!B2053="",0,1)="",0,IF('Model inputs'!B2053="",0,1)),IF(IF('Model inputs'!B2054="",0,1)="",0,IF('Model inputs'!B2054="",0,1)),IF(IF('Model inputs'!B2055="",0,1)="",0,IF('Model inputs'!B2055="",0,1)),IF(IF('Model inputs'!B2056="",0,1)="",0,IF('Model inputs'!B2056="",0,1)),IF(IF('Model inputs'!B2057="",0,1)="",0,IF('Model inputs'!B2057="",0,1)),IF(IF('Model inputs'!B2058="",0,1)="",0,IF('Model inputs'!B2058="",0,1)),IF(IF('Model inputs'!B2059="",0,1)="",0,IF('Model inputs'!B2059="",0,1)),IF(IF('Model inputs'!B2060="",0,1)="",0,IF('Model inputs'!B2060="",0,1)),IF(IF('Model inputs'!B2061="",0,1)="",0,IF('Model inputs'!B2061="",0,1)),IF(IF('Model inputs'!B2062="",0,1)="",0,IF('Model inputs'!B2062="",0,1)),IF(IF('Model inputs'!B2063="",0,1)="",0,IF('Model inputs'!B2063="",0,1)),IF(IF('Model inputs'!B2064="",0,1)="",0,IF('Model inputs'!B2064="",0,1)),IF(IF('Model inputs'!B2065="",0,1)="",0,IF('Model inputs'!B2065="",0,1)),IF(IF('Model inputs'!B2066="",0,1)="",0,IF('Model inputs'!B2066="",0,1)),IF(IF('Model inputs'!B2067="",0,1)="",0,IF('Model inputs'!B2067="",0,1)),IF(IF('Model inputs'!B2068="",0,1)="",0,IF('Model inputs'!B2068="",0,1)),IF(IF('Model inputs'!B2069="",0,1)="",0,IF('Model inputs'!B2069="",0,1)),IF(IF('Model inputs'!B2070="",0,1)="",0,IF('Model inputs'!B2070="",0,1)),IF(IF('Model inputs'!B2071="",0,1)="",0,IF('Model inputs'!B2071="",0,1)),IF(IF('Model inputs'!B2072="",0,1)="",0,IF('Model inputs'!B2072="",0,1)),IF(IF('Model inputs'!B2073="",0,1)="",0,IF('Model inputs'!B2073="",0,1)),IF(IF('Model inputs'!B2074="",0,1)="",0,IF('Model inputs'!B2074="",0,1)),IF(IF('Model inputs'!B2075="",0,1)="",0,IF('Model inputs'!B2075="",0,1)),IF(IF('Model inputs'!B2076="",0,1)="",0,IF('Model inputs'!B2076="",0,1)),IF(IF('Model inputs'!B2077="",0,1)="",0,IF('Model inputs'!B2077="",0,1)),IF(IF('Model inputs'!B2078="",0,1)="",0,IF('Model inputs'!B2078="",0,1)),IF(IF('Model inputs'!B2079="",0,1)="",0,IF('Model inputs'!B2079="",0,1)),IF(IF('Model inputs'!B2080="",0,1)="",0,IF('Model inputs'!B2080="",0,1)),IF(IF('Model inputs'!B2081="",0,1)="",0,IF('Model inputs'!B2081="",0,1)),IF(IF('Model inputs'!B2082="",0,1)="",0,IF('Model inputs'!B2082="",0,1)),IF(IF('Model inputs'!B2083="",0,1)="",0,IF('Model inputs'!B2083="",0,1)),IF(IF('Model inputs'!B2084="",0,1)="",0,IF('Model inputs'!B2084="",0,1)),IF(IF('Model inputs'!B2085="",0,1)="",0,IF('Model inputs'!B2085="",0,1)))</f>
      </c>
    </row>
    <row r="2087">
      <c r="A2087" t="inlineStr" s="25">
        <is>
          <t xml:space="preserve">Calculation</t>
        </is>
      </c>
      <c r="B2087">
        <f>IF(IF(DATE(2026,10,1)=EDATE(DATE(2029,8,1),-'Model inputs'!AM13*1)="",FALSE,DATE(2026,10,1)=EDATE(DATE(2029,8,1),-'Model inputs'!AM13*1)),IF('POA — Monthly financial forecas'!B27="","",'POA — Monthly financial forecas'!B27),"")</f>
      </c>
    </row>
    <row r="2088">
      <c r="A2088" t="inlineStr" s="25">
        <is>
          <t xml:space="preserve">Calculation</t>
        </is>
      </c>
      <c r="B2088">
        <f>IF(IF(DATE(2026,11,1)=EDATE(DATE(2029,8,1),-'Model inputs'!AM13*1)="",FALSE,DATE(2026,11,1)=EDATE(DATE(2029,8,1),-'Model inputs'!AM13*1)),IF('POA — Monthly financial forecas'!C27="","",'POA — Monthly financial forecas'!C27),"")</f>
      </c>
    </row>
    <row r="2089">
      <c r="A2089" t="inlineStr" s="25">
        <is>
          <t xml:space="preserve">Calculation</t>
        </is>
      </c>
      <c r="B2089">
        <f>IF(IF(DATE(2026,12,1)=EDATE(DATE(2029,8,1),-'Model inputs'!AM13*1)="",FALSE,DATE(2026,12,1)=EDATE(DATE(2029,8,1),-'Model inputs'!AM13*1)),IF('POA — Monthly financial forecas'!D27="","",'POA — Monthly financial forecas'!D27),"")</f>
      </c>
    </row>
    <row r="2090">
      <c r="A2090" t="inlineStr" s="25">
        <is>
          <t xml:space="preserve">Calculation</t>
        </is>
      </c>
      <c r="B2090">
        <f>IF(IF(DATE(2027,1,1)=EDATE(DATE(2029,8,1),-'Model inputs'!AM13*1)="",FALSE,DATE(2027,1,1)=EDATE(DATE(2029,8,1),-'Model inputs'!AM13*1)),IF('POA — Monthly financial forecas'!E27="","",'POA — Monthly financial forecas'!E27),"")</f>
      </c>
    </row>
    <row r="2091">
      <c r="A2091" t="inlineStr" s="25">
        <is>
          <t xml:space="preserve">Calculation</t>
        </is>
      </c>
      <c r="B2091">
        <f>IF(IF(DATE(2027,2,1)=EDATE(DATE(2029,8,1),-'Model inputs'!AM13*1)="",FALSE,DATE(2027,2,1)=EDATE(DATE(2029,8,1),-'Model inputs'!AM13*1)),IF('POA — Monthly financial forecas'!F27="","",'POA — Monthly financial forecas'!F27),"")</f>
      </c>
    </row>
    <row r="2092">
      <c r="A2092" t="inlineStr" s="25">
        <is>
          <t xml:space="preserve">Calculation</t>
        </is>
      </c>
      <c r="B2092">
        <f>IF(IF(DATE(2027,3,1)=EDATE(DATE(2029,8,1),-'Model inputs'!AM13*1)="",FALSE,DATE(2027,3,1)=EDATE(DATE(2029,8,1),-'Model inputs'!AM13*1)),IF('POA — Monthly financial forecas'!G27="","",'POA — Monthly financial forecas'!G27),"")</f>
      </c>
    </row>
    <row r="2093">
      <c r="A2093" t="inlineStr" s="25">
        <is>
          <t xml:space="preserve">Calculation</t>
        </is>
      </c>
      <c r="B2093">
        <f>IF(IF(DATE(2027,4,1)=EDATE(DATE(2029,8,1),-'Model inputs'!AM13*1)="",FALSE,DATE(2027,4,1)=EDATE(DATE(2029,8,1),-'Model inputs'!AM13*1)),IF('POA — Monthly financial forecas'!H27="","",'POA — Monthly financial forecas'!H27),"")</f>
      </c>
    </row>
    <row r="2094">
      <c r="A2094" t="inlineStr" s="25">
        <is>
          <t xml:space="preserve">Calculation</t>
        </is>
      </c>
      <c r="B2094">
        <f>IF(IF(DATE(2027,5,1)=EDATE(DATE(2029,8,1),-'Model inputs'!AM13*1)="",FALSE,DATE(2027,5,1)=EDATE(DATE(2029,8,1),-'Model inputs'!AM13*1)),IF('POA — Monthly financial forecas'!I27="","",'POA — Monthly financial forecas'!I27),"")</f>
      </c>
    </row>
    <row r="2095">
      <c r="A2095" t="inlineStr" s="25">
        <is>
          <t xml:space="preserve">Calculation</t>
        </is>
      </c>
      <c r="B2095">
        <f>IF(IF(DATE(2027,6,1)=EDATE(DATE(2029,8,1),-'Model inputs'!AM13*1)="",FALSE,DATE(2027,6,1)=EDATE(DATE(2029,8,1),-'Model inputs'!AM13*1)),IF('POA — Monthly financial forecas'!J27="","",'POA — Monthly financial forecas'!J27),"")</f>
      </c>
    </row>
    <row r="2096">
      <c r="A2096" t="inlineStr" s="25">
        <is>
          <t xml:space="preserve">Calculation</t>
        </is>
      </c>
      <c r="B2096">
        <f>IF(IF(DATE(2027,7,1)=EDATE(DATE(2029,8,1),-'Model inputs'!AM13*1)="",FALSE,DATE(2027,7,1)=EDATE(DATE(2029,8,1),-'Model inputs'!AM13*1)),IF('POA — Monthly financial forecas'!K27="","",'POA — Monthly financial forecas'!K27),"")</f>
      </c>
    </row>
    <row r="2097">
      <c r="A2097" t="inlineStr" s="25">
        <is>
          <t xml:space="preserve">Calculation</t>
        </is>
      </c>
      <c r="B2097">
        <f>IF(IF(DATE(2027,8,1)=EDATE(DATE(2029,8,1),-'Model inputs'!AM13*1)="",FALSE,DATE(2027,8,1)=EDATE(DATE(2029,8,1),-'Model inputs'!AM13*1)),IF('POA — Monthly financial forecas'!L27="","",'POA — Monthly financial forecas'!L27),"")</f>
      </c>
    </row>
    <row r="2098">
      <c r="A2098" t="inlineStr" s="25">
        <is>
          <t xml:space="preserve">Calculation</t>
        </is>
      </c>
      <c r="B2098">
        <f>IF(IF(DATE(2027,9,1)=EDATE(DATE(2029,8,1),-'Model inputs'!AM13*1)="",FALSE,DATE(2027,9,1)=EDATE(DATE(2029,8,1),-'Model inputs'!AM13*1)),IF('POA — Monthly financial forecas'!M27="","",'POA — Monthly financial forecas'!M27),"")</f>
      </c>
    </row>
    <row r="2099">
      <c r="A2099" t="inlineStr" s="25">
        <is>
          <t xml:space="preserve">Calculation</t>
        </is>
      </c>
      <c r="B2099">
        <f>IF(IF(DATE(2027,10,1)=EDATE(DATE(2029,8,1),-'Model inputs'!AM13*1)="",FALSE,DATE(2027,10,1)=EDATE(DATE(2029,8,1),-'Model inputs'!AM13*1)),IF('POA — Monthly financial forecas'!N27="","",'POA — Monthly financial forecas'!N27),"")</f>
      </c>
    </row>
    <row r="2100">
      <c r="A2100" t="inlineStr" s="25">
        <is>
          <t xml:space="preserve">Calculation</t>
        </is>
      </c>
      <c r="B2100">
        <f>IF(IF(DATE(2027,11,1)=EDATE(DATE(2029,8,1),-'Model inputs'!AM13*1)="",FALSE,DATE(2027,11,1)=EDATE(DATE(2029,8,1),-'Model inputs'!AM13*1)),IF('POA — Monthly financial forecas'!O27="","",'POA — Monthly financial forecas'!O27),"")</f>
      </c>
    </row>
    <row r="2101">
      <c r="A2101" t="inlineStr" s="25">
        <is>
          <t xml:space="preserve">Calculation</t>
        </is>
      </c>
      <c r="B2101">
        <f>IF(IF(DATE(2027,12,1)=EDATE(DATE(2029,8,1),-'Model inputs'!AM13*1)="",FALSE,DATE(2027,12,1)=EDATE(DATE(2029,8,1),-'Model inputs'!AM13*1)),IF('POA — Monthly financial forecas'!P27="","",'POA — Monthly financial forecas'!P27),"")</f>
      </c>
    </row>
    <row r="2102">
      <c r="A2102" t="inlineStr" s="25">
        <is>
          <t xml:space="preserve">Calculation</t>
        </is>
      </c>
      <c r="B2102">
        <f>IF(IF(DATE(2028,1,1)=EDATE(DATE(2029,8,1),-'Model inputs'!AM13*1)="",FALSE,DATE(2028,1,1)=EDATE(DATE(2029,8,1),-'Model inputs'!AM13*1)),IF('POA — Monthly financial forecas'!Q27="","",'POA — Monthly financial forecas'!Q27),"")</f>
      </c>
    </row>
    <row r="2103">
      <c r="A2103" t="inlineStr" s="25">
        <is>
          <t xml:space="preserve">Calculation</t>
        </is>
      </c>
      <c r="B2103">
        <f>IF(IF(DATE(2028,2,1)=EDATE(DATE(2029,8,1),-'Model inputs'!AM13*1)="",FALSE,DATE(2028,2,1)=EDATE(DATE(2029,8,1),-'Model inputs'!AM13*1)),IF('POA — Monthly financial forecas'!R27="","",'POA — Monthly financial forecas'!R27),"")</f>
      </c>
    </row>
    <row r="2104">
      <c r="A2104" t="inlineStr" s="25">
        <is>
          <t xml:space="preserve">Calculation</t>
        </is>
      </c>
      <c r="B2104">
        <f>IF(IF(DATE(2028,3,1)=EDATE(DATE(2029,8,1),-'Model inputs'!AM13*1)="",FALSE,DATE(2028,3,1)=EDATE(DATE(2029,8,1),-'Model inputs'!AM13*1)),IF('POA — Monthly financial forecas'!S27="","",'POA — Monthly financial forecas'!S27),"")</f>
      </c>
    </row>
    <row r="2105">
      <c r="A2105" t="inlineStr" s="25">
        <is>
          <t xml:space="preserve">Calculation</t>
        </is>
      </c>
      <c r="B2105">
        <f>IF(IF(DATE(2028,4,1)=EDATE(DATE(2029,8,1),-'Model inputs'!AM13*1)="",FALSE,DATE(2028,4,1)=EDATE(DATE(2029,8,1),-'Model inputs'!AM13*1)),IF('POA — Monthly financial forecas'!T27="","",'POA — Monthly financial forecas'!T27),"")</f>
      </c>
    </row>
    <row r="2106">
      <c r="A2106" t="inlineStr" s="25">
        <is>
          <t xml:space="preserve">Calculation</t>
        </is>
      </c>
      <c r="B2106">
        <f>IF(IF(DATE(2028,5,1)=EDATE(DATE(2029,8,1),-'Model inputs'!AM13*1)="",FALSE,DATE(2028,5,1)=EDATE(DATE(2029,8,1),-'Model inputs'!AM13*1)),IF('POA — Monthly financial forecas'!U27="","",'POA — Monthly financial forecas'!U27),"")</f>
      </c>
    </row>
    <row r="2107">
      <c r="A2107" t="inlineStr" s="25">
        <is>
          <t xml:space="preserve">Calculation</t>
        </is>
      </c>
      <c r="B2107">
        <f>IF(IF(DATE(2028,6,1)=EDATE(DATE(2029,8,1),-'Model inputs'!AM13*1)="",FALSE,DATE(2028,6,1)=EDATE(DATE(2029,8,1),-'Model inputs'!AM13*1)),IF('POA — Monthly financial forecas'!V27="","",'POA — Monthly financial forecas'!V27),"")</f>
      </c>
    </row>
    <row r="2108">
      <c r="A2108" t="inlineStr" s="25">
        <is>
          <t xml:space="preserve">Calculation</t>
        </is>
      </c>
      <c r="B2108">
        <f>IF(IF(DATE(2028,7,1)=EDATE(DATE(2029,8,1),-'Model inputs'!AM13*1)="",FALSE,DATE(2028,7,1)=EDATE(DATE(2029,8,1),-'Model inputs'!AM13*1)),IF('POA — Monthly financial forecas'!W27="","",'POA — Monthly financial forecas'!W27),"")</f>
      </c>
    </row>
    <row r="2109">
      <c r="A2109" t="inlineStr" s="25">
        <is>
          <t xml:space="preserve">Calculation</t>
        </is>
      </c>
      <c r="B2109">
        <f>IF(IF(DATE(2028,8,1)=EDATE(DATE(2029,8,1),-'Model inputs'!AM13*1)="",FALSE,DATE(2028,8,1)=EDATE(DATE(2029,8,1),-'Model inputs'!AM13*1)),IF('POA — Monthly financial forecas'!X27="","",'POA — Monthly financial forecas'!X27),"")</f>
      </c>
    </row>
    <row r="2110">
      <c r="A2110" t="inlineStr" s="25">
        <is>
          <t xml:space="preserve">Calculation</t>
        </is>
      </c>
      <c r="B2110">
        <f>IF(IF(DATE(2028,9,1)=EDATE(DATE(2029,8,1),-'Model inputs'!AM13*1)="",FALSE,DATE(2028,9,1)=EDATE(DATE(2029,8,1),-'Model inputs'!AM13*1)),IF('POA — Monthly financial forecas'!Y27="","",'POA — Monthly financial forecas'!Y27),"")</f>
      </c>
    </row>
    <row r="2111">
      <c r="A2111" t="inlineStr" s="25">
        <is>
          <t xml:space="preserve">Calculation</t>
        </is>
      </c>
      <c r="B2111">
        <f>IF(IF(DATE(2028,10,1)=EDATE(DATE(2029,8,1),-'Model inputs'!AM13*1)="",FALSE,DATE(2028,10,1)=EDATE(DATE(2029,8,1),-'Model inputs'!AM13*1)),IF('POA — Monthly financial forecas'!Z27="","",'POA — Monthly financial forecas'!Z27),"")</f>
      </c>
    </row>
    <row r="2112">
      <c r="A2112" t="inlineStr" s="25">
        <is>
          <t xml:space="preserve">Calculation</t>
        </is>
      </c>
      <c r="B2112">
        <f>IF(IF(DATE(2028,11,1)=EDATE(DATE(2029,8,1),-'Model inputs'!AM13*1)="",FALSE,DATE(2028,11,1)=EDATE(DATE(2029,8,1),-'Model inputs'!AM13*1)),IF('POA — Monthly financial forecas'!AA27="","",'POA — Monthly financial forecas'!AA27),"")</f>
      </c>
    </row>
    <row r="2113">
      <c r="A2113" t="inlineStr" s="25">
        <is>
          <t xml:space="preserve">Calculation</t>
        </is>
      </c>
      <c r="B2113">
        <f>IF(IF(DATE(2028,12,1)=EDATE(DATE(2029,8,1),-'Model inputs'!AM13*1)="",FALSE,DATE(2028,12,1)=EDATE(DATE(2029,8,1),-'Model inputs'!AM13*1)),IF('POA — Monthly financial forecas'!AB27="","",'POA — Monthly financial forecas'!AB27),"")</f>
      </c>
    </row>
    <row r="2114">
      <c r="A2114" t="inlineStr" s="25">
        <is>
          <t xml:space="preserve">Calculation</t>
        </is>
      </c>
      <c r="B2114">
        <f>IF(IF(DATE(2029,1,1)=EDATE(DATE(2029,8,1),-'Model inputs'!AM13*1)="",FALSE,DATE(2029,1,1)=EDATE(DATE(2029,8,1),-'Model inputs'!AM13*1)),IF('POA — Monthly financial forecas'!AC27="","",'POA — Monthly financial forecas'!AC27),"")</f>
      </c>
    </row>
    <row r="2115">
      <c r="A2115" t="inlineStr" s="25">
        <is>
          <t xml:space="preserve">Calculation</t>
        </is>
      </c>
      <c r="B2115">
        <f>IF(IF(DATE(2029,2,1)=EDATE(DATE(2029,8,1),-'Model inputs'!AM13*1)="",FALSE,DATE(2029,2,1)=EDATE(DATE(2029,8,1),-'Model inputs'!AM13*1)),IF('POA — Monthly financial forecas'!AD27="","",'POA — Monthly financial forecas'!AD27),"")</f>
      </c>
    </row>
    <row r="2116">
      <c r="A2116" t="inlineStr" s="25">
        <is>
          <t xml:space="preserve">Calculation</t>
        </is>
      </c>
      <c r="B2116">
        <f>IF(IF(DATE(2029,3,1)=EDATE(DATE(2029,8,1),-'Model inputs'!AM13*1)="",FALSE,DATE(2029,3,1)=EDATE(DATE(2029,8,1),-'Model inputs'!AM13*1)),IF('POA — Monthly financial forecas'!AE27="","",'POA — Monthly financial forecas'!AE27),"")</f>
      </c>
    </row>
    <row r="2117">
      <c r="A2117" t="inlineStr" s="25">
        <is>
          <t xml:space="preserve">Calculation</t>
        </is>
      </c>
      <c r="B2117">
        <f>IF(IF(DATE(2029,4,1)=EDATE(DATE(2029,8,1),-'Model inputs'!AM13*1)="",FALSE,DATE(2029,4,1)=EDATE(DATE(2029,8,1),-'Model inputs'!AM13*1)),IF('POA — Monthly financial forecas'!AF27="","",'POA — Monthly financial forecas'!AF27),"")</f>
      </c>
    </row>
    <row r="2118">
      <c r="A2118" t="inlineStr" s="25">
        <is>
          <t xml:space="preserve">Calculation</t>
        </is>
      </c>
      <c r="B2118">
        <f>IF(IF(DATE(2029,5,1)=EDATE(DATE(2029,8,1),-'Model inputs'!AM13*1)="",FALSE,DATE(2029,5,1)=EDATE(DATE(2029,8,1),-'Model inputs'!AM13*1)),IF('POA — Monthly financial forecas'!AG27="","",'POA — Monthly financial forecas'!AG27),"")</f>
      </c>
    </row>
    <row r="2119">
      <c r="A2119" t="inlineStr" s="25">
        <is>
          <t xml:space="preserve">Calculation</t>
        </is>
      </c>
      <c r="B2119">
        <f>IF(IF(DATE(2029,6,1)=EDATE(DATE(2029,8,1),-'Model inputs'!AM13*1)="",FALSE,DATE(2029,6,1)=EDATE(DATE(2029,8,1),-'Model inputs'!AM13*1)),IF('POA — Monthly financial forecas'!AH27="","",'POA — Monthly financial forecas'!AH27),"")</f>
      </c>
    </row>
    <row r="2120">
      <c r="A2120" t="inlineStr" s="25">
        <is>
          <t xml:space="preserve">Calculation</t>
        </is>
      </c>
      <c r="B2120">
        <f>IF(IF(DATE(2029,7,1)=EDATE(DATE(2029,8,1),-'Model inputs'!AM13*1)="",FALSE,DATE(2029,7,1)=EDATE(DATE(2029,8,1),-'Model inputs'!AM13*1)),IF('POA — Monthly financial forecas'!AI27="","",'POA — Monthly financial forecas'!AI27),"")</f>
      </c>
    </row>
    <row r="2121">
      <c r="A2121" t="inlineStr" s="25">
        <is>
          <t xml:space="preserve">Calculation</t>
        </is>
      </c>
      <c r="B2121">
        <f>IF(IF(DATE(2029,8,1)=EDATE(DATE(2029,8,1),-'Model inputs'!AM13*1)="",FALSE,DATE(2029,8,1)=EDATE(DATE(2029,8,1),-'Model inputs'!AM13*1)),IF('POA — Monthly financial forecas'!AJ27="","",'POA — Monthly financial forecas'!AJ27),"")</f>
      </c>
    </row>
    <row r="2122">
      <c r="A2122" t="inlineStr" s="25">
        <is>
          <t xml:space="preserve">Calculation</t>
        </is>
      </c>
      <c r="B2122">
        <f>IF(IF(DATE(2029,9,1)=EDATE(DATE(2029,8,1),-'Model inputs'!AM13*1)="",FALSE,DATE(2029,9,1)=EDATE(DATE(2029,8,1),-'Model inputs'!AM13*1)),IF('POA — Monthly financial forecas'!AK27="","",'POA — Monthly financial forecas'!AK27),"")</f>
      </c>
    </row>
    <row r="2123">
      <c r="A2123" t="inlineStr" s="25">
        <is>
          <t xml:space="preserve">Calculation</t>
        </is>
      </c>
      <c r="B2123">
        <f>IF(IF(DATE(2026,9,1)=EDATE(DATE(2029,8,1),-'Model inputs'!AM13*1)="",FALSE,DATE(2026,9,1)=EDATE(DATE(2029,8,1),-'Model inputs'!AM13*1)),IF('Model inputs'!B85="","",'Model inputs'!B85),"")</f>
      </c>
    </row>
    <row r="2124">
      <c r="A2124" t="inlineStr" s="25">
        <is>
          <t xml:space="preserve">Calculation</t>
        </is>
      </c>
      <c r="B2124">
        <f>SUM(IF(IF('Model inputs'!B2087="",0,1)="",0,IF('Model inputs'!B2087="",0,1)),IF(IF('Model inputs'!B2088="",0,1)="",0,IF('Model inputs'!B2088="",0,1)),IF(IF('Model inputs'!B2089="",0,1)="",0,IF('Model inputs'!B2089="",0,1)),IF(IF('Model inputs'!B2090="",0,1)="",0,IF('Model inputs'!B2090="",0,1)),IF(IF('Model inputs'!B2091="",0,1)="",0,IF('Model inputs'!B2091="",0,1)),IF(IF('Model inputs'!B2092="",0,1)="",0,IF('Model inputs'!B2092="",0,1)),IF(IF('Model inputs'!B2093="",0,1)="",0,IF('Model inputs'!B2093="",0,1)),IF(IF('Model inputs'!B2094="",0,1)="",0,IF('Model inputs'!B2094="",0,1)),IF(IF('Model inputs'!B2095="",0,1)="",0,IF('Model inputs'!B2095="",0,1)),IF(IF('Model inputs'!B2096="",0,1)="",0,IF('Model inputs'!B2096="",0,1)),IF(IF('Model inputs'!B2097="",0,1)="",0,IF('Model inputs'!B2097="",0,1)),IF(IF('Model inputs'!B2098="",0,1)="",0,IF('Model inputs'!B2098="",0,1)),IF(IF('Model inputs'!B2099="",0,1)="",0,IF('Model inputs'!B2099="",0,1)),IF(IF('Model inputs'!B2100="",0,1)="",0,IF('Model inputs'!B2100="",0,1)),IF(IF('Model inputs'!B2101="",0,1)="",0,IF('Model inputs'!B2101="",0,1)),IF(IF('Model inputs'!B2102="",0,1)="",0,IF('Model inputs'!B2102="",0,1)),IF(IF('Model inputs'!B2103="",0,1)="",0,IF('Model inputs'!B2103="",0,1)),IF(IF('Model inputs'!B2104="",0,1)="",0,IF('Model inputs'!B2104="",0,1)),IF(IF('Model inputs'!B2105="",0,1)="",0,IF('Model inputs'!B2105="",0,1)),IF(IF('Model inputs'!B2106="",0,1)="",0,IF('Model inputs'!B2106="",0,1)),IF(IF('Model inputs'!B2107="",0,1)="",0,IF('Model inputs'!B2107="",0,1)),IF(IF('Model inputs'!B2108="",0,1)="",0,IF('Model inputs'!B2108="",0,1)),IF(IF('Model inputs'!B2109="",0,1)="",0,IF('Model inputs'!B2109="",0,1)),IF(IF('Model inputs'!B2110="",0,1)="",0,IF('Model inputs'!B2110="",0,1)),IF(IF('Model inputs'!B2111="",0,1)="",0,IF('Model inputs'!B2111="",0,1)),IF(IF('Model inputs'!B2112="",0,1)="",0,IF('Model inputs'!B2112="",0,1)),IF(IF('Model inputs'!B2113="",0,1)="",0,IF('Model inputs'!B2113="",0,1)),IF(IF('Model inputs'!B2114="",0,1)="",0,IF('Model inputs'!B2114="",0,1)),IF(IF('Model inputs'!B2115="",0,1)="",0,IF('Model inputs'!B2115="",0,1)),IF(IF('Model inputs'!B2116="",0,1)="",0,IF('Model inputs'!B2116="",0,1)),IF(IF('Model inputs'!B2117="",0,1)="",0,IF('Model inputs'!B2117="",0,1)),IF(IF('Model inputs'!B2118="",0,1)="",0,IF('Model inputs'!B2118="",0,1)),IF(IF('Model inputs'!B2119="",0,1)="",0,IF('Model inputs'!B2119="",0,1)),IF(IF('Model inputs'!B2120="",0,1)="",0,IF('Model inputs'!B2120="",0,1)),IF(IF('Model inputs'!B2121="",0,1)="",0,IF('Model inputs'!B2121="",0,1)),IF(IF('Model inputs'!B2122="",0,1)="",0,IF('Model inputs'!B2122="",0,1)),IF(IF('Model inputs'!B2123="",0,1)="",0,IF('Model inputs'!B2123="",0,1)))</f>
      </c>
    </row>
    <row r="2125">
      <c r="A2125" t="inlineStr" s="25">
        <is>
          <t xml:space="preserve">Calculation</t>
        </is>
      </c>
      <c r="B2125">
        <f>IF(IF(DATE(2026,10,1)=EDATE(DATE(2029,9,1),-'Model inputs'!AM13*1)="",FALSE,DATE(2026,10,1)=EDATE(DATE(2029,9,1),-'Model inputs'!AM13*1)),IF('POA — Monthly financial forecas'!B27="","",'POA — Monthly financial forecas'!B27),"")</f>
      </c>
    </row>
    <row r="2126">
      <c r="A2126" t="inlineStr" s="25">
        <is>
          <t xml:space="preserve">Calculation</t>
        </is>
      </c>
      <c r="B2126">
        <f>IF(IF(DATE(2026,11,1)=EDATE(DATE(2029,9,1),-'Model inputs'!AM13*1)="",FALSE,DATE(2026,11,1)=EDATE(DATE(2029,9,1),-'Model inputs'!AM13*1)),IF('POA — Monthly financial forecas'!C27="","",'POA — Monthly financial forecas'!C27),"")</f>
      </c>
    </row>
    <row r="2127">
      <c r="A2127" t="inlineStr" s="25">
        <is>
          <t xml:space="preserve">Calculation</t>
        </is>
      </c>
      <c r="B2127">
        <f>IF(IF(DATE(2026,12,1)=EDATE(DATE(2029,9,1),-'Model inputs'!AM13*1)="",FALSE,DATE(2026,12,1)=EDATE(DATE(2029,9,1),-'Model inputs'!AM13*1)),IF('POA — Monthly financial forecas'!D27="","",'POA — Monthly financial forecas'!D27),"")</f>
      </c>
    </row>
    <row r="2128">
      <c r="A2128" t="inlineStr" s="25">
        <is>
          <t xml:space="preserve">Calculation</t>
        </is>
      </c>
      <c r="B2128">
        <f>IF(IF(DATE(2027,1,1)=EDATE(DATE(2029,9,1),-'Model inputs'!AM13*1)="",FALSE,DATE(2027,1,1)=EDATE(DATE(2029,9,1),-'Model inputs'!AM13*1)),IF('POA — Monthly financial forecas'!E27="","",'POA — Monthly financial forecas'!E27),"")</f>
      </c>
    </row>
    <row r="2129">
      <c r="A2129" t="inlineStr" s="25">
        <is>
          <t xml:space="preserve">Calculation</t>
        </is>
      </c>
      <c r="B2129">
        <f>IF(IF(DATE(2027,2,1)=EDATE(DATE(2029,9,1),-'Model inputs'!AM13*1)="",FALSE,DATE(2027,2,1)=EDATE(DATE(2029,9,1),-'Model inputs'!AM13*1)),IF('POA — Monthly financial forecas'!F27="","",'POA — Monthly financial forecas'!F27),"")</f>
      </c>
    </row>
    <row r="2130">
      <c r="A2130" t="inlineStr" s="25">
        <is>
          <t xml:space="preserve">Calculation</t>
        </is>
      </c>
      <c r="B2130">
        <f>IF(IF(DATE(2027,3,1)=EDATE(DATE(2029,9,1),-'Model inputs'!AM13*1)="",FALSE,DATE(2027,3,1)=EDATE(DATE(2029,9,1),-'Model inputs'!AM13*1)),IF('POA — Monthly financial forecas'!G27="","",'POA — Monthly financial forecas'!G27),"")</f>
      </c>
    </row>
    <row r="2131">
      <c r="A2131" t="inlineStr" s="25">
        <is>
          <t xml:space="preserve">Calculation</t>
        </is>
      </c>
      <c r="B2131">
        <f>IF(IF(DATE(2027,4,1)=EDATE(DATE(2029,9,1),-'Model inputs'!AM13*1)="",FALSE,DATE(2027,4,1)=EDATE(DATE(2029,9,1),-'Model inputs'!AM13*1)),IF('POA — Monthly financial forecas'!H27="","",'POA — Monthly financial forecas'!H27),"")</f>
      </c>
    </row>
    <row r="2132">
      <c r="A2132" t="inlineStr" s="25">
        <is>
          <t xml:space="preserve">Calculation</t>
        </is>
      </c>
      <c r="B2132">
        <f>IF(IF(DATE(2027,5,1)=EDATE(DATE(2029,9,1),-'Model inputs'!AM13*1)="",FALSE,DATE(2027,5,1)=EDATE(DATE(2029,9,1),-'Model inputs'!AM13*1)),IF('POA — Monthly financial forecas'!I27="","",'POA — Monthly financial forecas'!I27),"")</f>
      </c>
    </row>
    <row r="2133">
      <c r="A2133" t="inlineStr" s="25">
        <is>
          <t xml:space="preserve">Calculation</t>
        </is>
      </c>
      <c r="B2133">
        <f>IF(IF(DATE(2027,6,1)=EDATE(DATE(2029,9,1),-'Model inputs'!AM13*1)="",FALSE,DATE(2027,6,1)=EDATE(DATE(2029,9,1),-'Model inputs'!AM13*1)),IF('POA — Monthly financial forecas'!J27="","",'POA — Monthly financial forecas'!J27),"")</f>
      </c>
    </row>
    <row r="2134">
      <c r="A2134" t="inlineStr" s="25">
        <is>
          <t xml:space="preserve">Calculation</t>
        </is>
      </c>
      <c r="B2134">
        <f>IF(IF(DATE(2027,7,1)=EDATE(DATE(2029,9,1),-'Model inputs'!AM13*1)="",FALSE,DATE(2027,7,1)=EDATE(DATE(2029,9,1),-'Model inputs'!AM13*1)),IF('POA — Monthly financial forecas'!K27="","",'POA — Monthly financial forecas'!K27),"")</f>
      </c>
    </row>
    <row r="2135">
      <c r="A2135" t="inlineStr" s="25">
        <is>
          <t xml:space="preserve">Calculation</t>
        </is>
      </c>
      <c r="B2135">
        <f>IF(IF(DATE(2027,8,1)=EDATE(DATE(2029,9,1),-'Model inputs'!AM13*1)="",FALSE,DATE(2027,8,1)=EDATE(DATE(2029,9,1),-'Model inputs'!AM13*1)),IF('POA — Monthly financial forecas'!L27="","",'POA — Monthly financial forecas'!L27),"")</f>
      </c>
    </row>
    <row r="2136">
      <c r="A2136" t="inlineStr" s="25">
        <is>
          <t xml:space="preserve">Calculation</t>
        </is>
      </c>
      <c r="B2136">
        <f>IF(IF(DATE(2027,9,1)=EDATE(DATE(2029,9,1),-'Model inputs'!AM13*1)="",FALSE,DATE(2027,9,1)=EDATE(DATE(2029,9,1),-'Model inputs'!AM13*1)),IF('POA — Monthly financial forecas'!M27="","",'POA — Monthly financial forecas'!M27),"")</f>
      </c>
    </row>
    <row r="2137">
      <c r="A2137" t="inlineStr" s="25">
        <is>
          <t xml:space="preserve">Calculation</t>
        </is>
      </c>
      <c r="B2137">
        <f>IF(IF(DATE(2027,10,1)=EDATE(DATE(2029,9,1),-'Model inputs'!AM13*1)="",FALSE,DATE(2027,10,1)=EDATE(DATE(2029,9,1),-'Model inputs'!AM13*1)),IF('POA — Monthly financial forecas'!N27="","",'POA — Monthly financial forecas'!N27),"")</f>
      </c>
    </row>
    <row r="2138">
      <c r="A2138" t="inlineStr" s="25">
        <is>
          <t xml:space="preserve">Calculation</t>
        </is>
      </c>
      <c r="B2138">
        <f>IF(IF(DATE(2027,11,1)=EDATE(DATE(2029,9,1),-'Model inputs'!AM13*1)="",FALSE,DATE(2027,11,1)=EDATE(DATE(2029,9,1),-'Model inputs'!AM13*1)),IF('POA — Monthly financial forecas'!O27="","",'POA — Monthly financial forecas'!O27),"")</f>
      </c>
    </row>
    <row r="2139">
      <c r="A2139" t="inlineStr" s="25">
        <is>
          <t xml:space="preserve">Calculation</t>
        </is>
      </c>
      <c r="B2139">
        <f>IF(IF(DATE(2027,12,1)=EDATE(DATE(2029,9,1),-'Model inputs'!AM13*1)="",FALSE,DATE(2027,12,1)=EDATE(DATE(2029,9,1),-'Model inputs'!AM13*1)),IF('POA — Monthly financial forecas'!P27="","",'POA — Monthly financial forecas'!P27),"")</f>
      </c>
    </row>
    <row r="2140">
      <c r="A2140" t="inlineStr" s="25">
        <is>
          <t xml:space="preserve">Calculation</t>
        </is>
      </c>
      <c r="B2140">
        <f>IF(IF(DATE(2028,1,1)=EDATE(DATE(2029,9,1),-'Model inputs'!AM13*1)="",FALSE,DATE(2028,1,1)=EDATE(DATE(2029,9,1),-'Model inputs'!AM13*1)),IF('POA — Monthly financial forecas'!Q27="","",'POA — Monthly financial forecas'!Q27),"")</f>
      </c>
    </row>
    <row r="2141">
      <c r="A2141" t="inlineStr" s="25">
        <is>
          <t xml:space="preserve">Calculation</t>
        </is>
      </c>
      <c r="B2141">
        <f>IF(IF(DATE(2028,2,1)=EDATE(DATE(2029,9,1),-'Model inputs'!AM13*1)="",FALSE,DATE(2028,2,1)=EDATE(DATE(2029,9,1),-'Model inputs'!AM13*1)),IF('POA — Monthly financial forecas'!R27="","",'POA — Monthly financial forecas'!R27),"")</f>
      </c>
    </row>
    <row r="2142">
      <c r="A2142" t="inlineStr" s="25">
        <is>
          <t xml:space="preserve">Calculation</t>
        </is>
      </c>
      <c r="B2142">
        <f>IF(IF(DATE(2028,3,1)=EDATE(DATE(2029,9,1),-'Model inputs'!AM13*1)="",FALSE,DATE(2028,3,1)=EDATE(DATE(2029,9,1),-'Model inputs'!AM13*1)),IF('POA — Monthly financial forecas'!S27="","",'POA — Monthly financial forecas'!S27),"")</f>
      </c>
    </row>
    <row r="2143">
      <c r="A2143" t="inlineStr" s="25">
        <is>
          <t xml:space="preserve">Calculation</t>
        </is>
      </c>
      <c r="B2143">
        <f>IF(IF(DATE(2028,4,1)=EDATE(DATE(2029,9,1),-'Model inputs'!AM13*1)="",FALSE,DATE(2028,4,1)=EDATE(DATE(2029,9,1),-'Model inputs'!AM13*1)),IF('POA — Monthly financial forecas'!T27="","",'POA — Monthly financial forecas'!T27),"")</f>
      </c>
    </row>
    <row r="2144">
      <c r="A2144" t="inlineStr" s="25">
        <is>
          <t xml:space="preserve">Calculation</t>
        </is>
      </c>
      <c r="B2144">
        <f>IF(IF(DATE(2028,5,1)=EDATE(DATE(2029,9,1),-'Model inputs'!AM13*1)="",FALSE,DATE(2028,5,1)=EDATE(DATE(2029,9,1),-'Model inputs'!AM13*1)),IF('POA — Monthly financial forecas'!U27="","",'POA — Monthly financial forecas'!U27),"")</f>
      </c>
    </row>
    <row r="2145">
      <c r="A2145" t="inlineStr" s="25">
        <is>
          <t xml:space="preserve">Calculation</t>
        </is>
      </c>
      <c r="B2145">
        <f>IF(IF(DATE(2028,6,1)=EDATE(DATE(2029,9,1),-'Model inputs'!AM13*1)="",FALSE,DATE(2028,6,1)=EDATE(DATE(2029,9,1),-'Model inputs'!AM13*1)),IF('POA — Monthly financial forecas'!V27="","",'POA — Monthly financial forecas'!V27),"")</f>
      </c>
    </row>
    <row r="2146">
      <c r="A2146" t="inlineStr" s="25">
        <is>
          <t xml:space="preserve">Calculation</t>
        </is>
      </c>
      <c r="B2146">
        <f>IF(IF(DATE(2028,7,1)=EDATE(DATE(2029,9,1),-'Model inputs'!AM13*1)="",FALSE,DATE(2028,7,1)=EDATE(DATE(2029,9,1),-'Model inputs'!AM13*1)),IF('POA — Monthly financial forecas'!W27="","",'POA — Monthly financial forecas'!W27),"")</f>
      </c>
    </row>
    <row r="2147">
      <c r="A2147" t="inlineStr" s="25">
        <is>
          <t xml:space="preserve">Calculation</t>
        </is>
      </c>
      <c r="B2147">
        <f>IF(IF(DATE(2028,8,1)=EDATE(DATE(2029,9,1),-'Model inputs'!AM13*1)="",FALSE,DATE(2028,8,1)=EDATE(DATE(2029,9,1),-'Model inputs'!AM13*1)),IF('POA — Monthly financial forecas'!X27="","",'POA — Monthly financial forecas'!X27),"")</f>
      </c>
    </row>
    <row r="2148">
      <c r="A2148" t="inlineStr" s="25">
        <is>
          <t xml:space="preserve">Calculation</t>
        </is>
      </c>
      <c r="B2148">
        <f>IF(IF(DATE(2028,9,1)=EDATE(DATE(2029,9,1),-'Model inputs'!AM13*1)="",FALSE,DATE(2028,9,1)=EDATE(DATE(2029,9,1),-'Model inputs'!AM13*1)),IF('POA — Monthly financial forecas'!Y27="","",'POA — Monthly financial forecas'!Y27),"")</f>
      </c>
    </row>
    <row r="2149">
      <c r="A2149" t="inlineStr" s="25">
        <is>
          <t xml:space="preserve">Calculation</t>
        </is>
      </c>
      <c r="B2149">
        <f>IF(IF(DATE(2028,10,1)=EDATE(DATE(2029,9,1),-'Model inputs'!AM13*1)="",FALSE,DATE(2028,10,1)=EDATE(DATE(2029,9,1),-'Model inputs'!AM13*1)),IF('POA — Monthly financial forecas'!Z27="","",'POA — Monthly financial forecas'!Z27),"")</f>
      </c>
    </row>
    <row r="2150">
      <c r="A2150" t="inlineStr" s="25">
        <is>
          <t xml:space="preserve">Calculation</t>
        </is>
      </c>
      <c r="B2150">
        <f>IF(IF(DATE(2028,11,1)=EDATE(DATE(2029,9,1),-'Model inputs'!AM13*1)="",FALSE,DATE(2028,11,1)=EDATE(DATE(2029,9,1),-'Model inputs'!AM13*1)),IF('POA — Monthly financial forecas'!AA27="","",'POA — Monthly financial forecas'!AA27),"")</f>
      </c>
    </row>
    <row r="2151">
      <c r="A2151" t="inlineStr" s="25">
        <is>
          <t xml:space="preserve">Calculation</t>
        </is>
      </c>
      <c r="B2151">
        <f>IF(IF(DATE(2028,12,1)=EDATE(DATE(2029,9,1),-'Model inputs'!AM13*1)="",FALSE,DATE(2028,12,1)=EDATE(DATE(2029,9,1),-'Model inputs'!AM13*1)),IF('POA — Monthly financial forecas'!AB27="","",'POA — Monthly financial forecas'!AB27),"")</f>
      </c>
    </row>
    <row r="2152">
      <c r="A2152" t="inlineStr" s="25">
        <is>
          <t xml:space="preserve">Calculation</t>
        </is>
      </c>
      <c r="B2152">
        <f>IF(IF(DATE(2029,1,1)=EDATE(DATE(2029,9,1),-'Model inputs'!AM13*1)="",FALSE,DATE(2029,1,1)=EDATE(DATE(2029,9,1),-'Model inputs'!AM13*1)),IF('POA — Monthly financial forecas'!AC27="","",'POA — Monthly financial forecas'!AC27),"")</f>
      </c>
    </row>
    <row r="2153">
      <c r="A2153" t="inlineStr" s="25">
        <is>
          <t xml:space="preserve">Calculation</t>
        </is>
      </c>
      <c r="B2153">
        <f>IF(IF(DATE(2029,2,1)=EDATE(DATE(2029,9,1),-'Model inputs'!AM13*1)="",FALSE,DATE(2029,2,1)=EDATE(DATE(2029,9,1),-'Model inputs'!AM13*1)),IF('POA — Monthly financial forecas'!AD27="","",'POA — Monthly financial forecas'!AD27),"")</f>
      </c>
    </row>
    <row r="2154">
      <c r="A2154" t="inlineStr" s="25">
        <is>
          <t xml:space="preserve">Calculation</t>
        </is>
      </c>
      <c r="B2154">
        <f>IF(IF(DATE(2029,3,1)=EDATE(DATE(2029,9,1),-'Model inputs'!AM13*1)="",FALSE,DATE(2029,3,1)=EDATE(DATE(2029,9,1),-'Model inputs'!AM13*1)),IF('POA — Monthly financial forecas'!AE27="","",'POA — Monthly financial forecas'!AE27),"")</f>
      </c>
    </row>
    <row r="2155">
      <c r="A2155" t="inlineStr" s="25">
        <is>
          <t xml:space="preserve">Calculation</t>
        </is>
      </c>
      <c r="B2155">
        <f>IF(IF(DATE(2029,4,1)=EDATE(DATE(2029,9,1),-'Model inputs'!AM13*1)="",FALSE,DATE(2029,4,1)=EDATE(DATE(2029,9,1),-'Model inputs'!AM13*1)),IF('POA — Monthly financial forecas'!AF27="","",'POA — Monthly financial forecas'!AF27),"")</f>
      </c>
    </row>
    <row r="2156">
      <c r="A2156" t="inlineStr" s="25">
        <is>
          <t xml:space="preserve">Calculation</t>
        </is>
      </c>
      <c r="B2156">
        <f>IF(IF(DATE(2029,5,1)=EDATE(DATE(2029,9,1),-'Model inputs'!AM13*1)="",FALSE,DATE(2029,5,1)=EDATE(DATE(2029,9,1),-'Model inputs'!AM13*1)),IF('POA — Monthly financial forecas'!AG27="","",'POA — Monthly financial forecas'!AG27),"")</f>
      </c>
    </row>
    <row r="2157">
      <c r="A2157" t="inlineStr" s="25">
        <is>
          <t xml:space="preserve">Calculation</t>
        </is>
      </c>
      <c r="B2157">
        <f>IF(IF(DATE(2029,6,1)=EDATE(DATE(2029,9,1),-'Model inputs'!AM13*1)="",FALSE,DATE(2029,6,1)=EDATE(DATE(2029,9,1),-'Model inputs'!AM13*1)),IF('POA — Monthly financial forecas'!AH27="","",'POA — Monthly financial forecas'!AH27),"")</f>
      </c>
    </row>
    <row r="2158">
      <c r="A2158" t="inlineStr" s="25">
        <is>
          <t xml:space="preserve">Calculation</t>
        </is>
      </c>
      <c r="B2158">
        <f>IF(IF(DATE(2029,7,1)=EDATE(DATE(2029,9,1),-'Model inputs'!AM13*1)="",FALSE,DATE(2029,7,1)=EDATE(DATE(2029,9,1),-'Model inputs'!AM13*1)),IF('POA — Monthly financial forecas'!AI27="","",'POA — Monthly financial forecas'!AI27),"")</f>
      </c>
    </row>
    <row r="2159">
      <c r="A2159" t="inlineStr" s="25">
        <is>
          <t xml:space="preserve">Calculation</t>
        </is>
      </c>
      <c r="B2159">
        <f>IF(IF(DATE(2029,8,1)=EDATE(DATE(2029,9,1),-'Model inputs'!AM13*1)="",FALSE,DATE(2029,8,1)=EDATE(DATE(2029,9,1),-'Model inputs'!AM13*1)),IF('POA — Monthly financial forecas'!AJ27="","",'POA — Monthly financial forecas'!AJ27),"")</f>
      </c>
    </row>
    <row r="2160">
      <c r="A2160" t="inlineStr" s="25">
        <is>
          <t xml:space="preserve">Calculation</t>
        </is>
      </c>
      <c r="B2160">
        <f>IF(IF(DATE(2029,9,1)=EDATE(DATE(2029,9,1),-'Model inputs'!AM13*1)="",FALSE,DATE(2029,9,1)=EDATE(DATE(2029,9,1),-'Model inputs'!AM13*1)),IF('POA — Monthly financial forecas'!AK27="","",'POA — Monthly financial forecas'!AK27),"")</f>
      </c>
    </row>
    <row r="2161">
      <c r="A2161" t="inlineStr" s="25">
        <is>
          <t xml:space="preserve">Calculation</t>
        </is>
      </c>
      <c r="B2161">
        <f>IF(IF(DATE(2026,9,1)=EDATE(DATE(2029,9,1),-'Model inputs'!AM13*1)="",FALSE,DATE(2026,9,1)=EDATE(DATE(2029,9,1),-'Model inputs'!AM13*1)),IF('Model inputs'!B85="","",'Model inputs'!B85),"")</f>
      </c>
    </row>
    <row r="2162">
      <c r="A2162" t="inlineStr" s="25">
        <is>
          <t xml:space="preserve">Calculation</t>
        </is>
      </c>
      <c r="B2162">
        <f>SUM(IF(IF('Model inputs'!B2125="",0,1)="",0,IF('Model inputs'!B2125="",0,1)),IF(IF('Model inputs'!B2126="",0,1)="",0,IF('Model inputs'!B2126="",0,1)),IF(IF('Model inputs'!B2127="",0,1)="",0,IF('Model inputs'!B2127="",0,1)),IF(IF('Model inputs'!B2128="",0,1)="",0,IF('Model inputs'!B2128="",0,1)),IF(IF('Model inputs'!B2129="",0,1)="",0,IF('Model inputs'!B2129="",0,1)),IF(IF('Model inputs'!B2130="",0,1)="",0,IF('Model inputs'!B2130="",0,1)),IF(IF('Model inputs'!B2131="",0,1)="",0,IF('Model inputs'!B2131="",0,1)),IF(IF('Model inputs'!B2132="",0,1)="",0,IF('Model inputs'!B2132="",0,1)),IF(IF('Model inputs'!B2133="",0,1)="",0,IF('Model inputs'!B2133="",0,1)),IF(IF('Model inputs'!B2134="",0,1)="",0,IF('Model inputs'!B2134="",0,1)),IF(IF('Model inputs'!B2135="",0,1)="",0,IF('Model inputs'!B2135="",0,1)),IF(IF('Model inputs'!B2136="",0,1)="",0,IF('Model inputs'!B2136="",0,1)),IF(IF('Model inputs'!B2137="",0,1)="",0,IF('Model inputs'!B2137="",0,1)),IF(IF('Model inputs'!B2138="",0,1)="",0,IF('Model inputs'!B2138="",0,1)),IF(IF('Model inputs'!B2139="",0,1)="",0,IF('Model inputs'!B2139="",0,1)),IF(IF('Model inputs'!B2140="",0,1)="",0,IF('Model inputs'!B2140="",0,1)),IF(IF('Model inputs'!B2141="",0,1)="",0,IF('Model inputs'!B2141="",0,1)),IF(IF('Model inputs'!B2142="",0,1)="",0,IF('Model inputs'!B2142="",0,1)),IF(IF('Model inputs'!B2143="",0,1)="",0,IF('Model inputs'!B2143="",0,1)),IF(IF('Model inputs'!B2144="",0,1)="",0,IF('Model inputs'!B2144="",0,1)),IF(IF('Model inputs'!B2145="",0,1)="",0,IF('Model inputs'!B2145="",0,1)),IF(IF('Model inputs'!B2146="",0,1)="",0,IF('Model inputs'!B2146="",0,1)),IF(IF('Model inputs'!B2147="",0,1)="",0,IF('Model inputs'!B2147="",0,1)),IF(IF('Model inputs'!B2148="",0,1)="",0,IF('Model inputs'!B2148="",0,1)),IF(IF('Model inputs'!B2149="",0,1)="",0,IF('Model inputs'!B2149="",0,1)),IF(IF('Model inputs'!B2150="",0,1)="",0,IF('Model inputs'!B2150="",0,1)),IF(IF('Model inputs'!B2151="",0,1)="",0,IF('Model inputs'!B2151="",0,1)),IF(IF('Model inputs'!B2152="",0,1)="",0,IF('Model inputs'!B2152="",0,1)),IF(IF('Model inputs'!B2153="",0,1)="",0,IF('Model inputs'!B2153="",0,1)),IF(IF('Model inputs'!B2154="",0,1)="",0,IF('Model inputs'!B2154="",0,1)),IF(IF('Model inputs'!B2155="",0,1)="",0,IF('Model inputs'!B2155="",0,1)),IF(IF('Model inputs'!B2156="",0,1)="",0,IF('Model inputs'!B2156="",0,1)),IF(IF('Model inputs'!B2157="",0,1)="",0,IF('Model inputs'!B2157="",0,1)),IF(IF('Model inputs'!B2158="",0,1)="",0,IF('Model inputs'!B2158="",0,1)),IF(IF('Model inputs'!B2159="",0,1)="",0,IF('Model inputs'!B2159="",0,1)),IF(IF('Model inputs'!B2160="",0,1)="",0,IF('Model inputs'!B2160="",0,1)),IF(IF('Model inputs'!B2161="",0,1)="",0,IF('Model inputs'!B2161="",0,1)))</f>
      </c>
    </row>
    <row r="2163">
      <c r="A2163" t="inlineStr" s="25">
        <is>
          <t xml:space="preserve">Calculation</t>
        </is>
      </c>
      <c r="B2163">
        <f>IF((IF(IF(IF(ISERROR('Model inputs'!C95&lt;=6),'Model inputs'!C95&lt;=6,IF('Model inputs'!C95="","",'Model inputs'!C95&lt;=6))="",FALSE,IF(ISERROR('Model inputs'!C95&lt;=6),'Model inputs'!C95&lt;=6,IF('Model inputs'!C95="","",'Model inputs'!C95&lt;=6))),'Model inputs'!AM99+('Model inputs'!AM105-'Model inputs'!AM99)*('Model inputs'!C95-0)/6,IF(IF(IF(ISERROR('Model inputs'!C95&lt;=12),'Model inputs'!C95&lt;=12,IF('Model inputs'!C95="","",'Model inputs'!C95&lt;=12))="",FALSE,IF(ISERROR('Model inputs'!C95&lt;=12),'Model inputs'!C95&lt;=12,IF('Model inputs'!C95="","",'Model inputs'!C95&lt;=12))),'Model inputs'!AM105+('Model inputs'!AM100-'Model inputs'!AM105)*('Model inputs'!C95-6)/6,IF(IF(IF(ISERROR('Model inputs'!C95&lt;=18),'Model inputs'!C95&lt;=18,IF('Model inputs'!C95="","",'Model inputs'!C95&lt;=18))="",FALSE,IF(ISERROR('Model inputs'!C95&lt;=18),'Model inputs'!C95&lt;=18,IF('Model inputs'!C95="","",'Model inputs'!C95&lt;=18))),'Model inputs'!AM100+('Model inputs'!AM101-'Model inputs'!AM100)*('Model inputs'!C95-12)/6,IF(IF(IF(ISERROR('Model inputs'!C95&lt;=24),'Model inputs'!C95&lt;=24,IF('Model inputs'!C95="","",'Model inputs'!C95&lt;=24))="",FALSE,IF(ISERROR('Model inputs'!C95&lt;=24),'Model inputs'!C95&lt;=24,IF('Model inputs'!C95="","",'Model inputs'!C95&lt;=24))),'Model inputs'!AM101+('Model inputs'!AM102-'Model inputs'!AM101)*('Model inputs'!C95-18)/6,IF(IF(IF(ISERROR('Model inputs'!C95&lt;=30),'Model inputs'!C95&lt;=30,IF('Model inputs'!C95="","",'Model inputs'!C95&lt;=30))="",FALSE,IF(ISERROR('Model inputs'!C95&lt;=30),'Model inputs'!C95&lt;=30,IF('Model inputs'!C95="","",'Model inputs'!C95&lt;=30))),'Model inputs'!AM102+('Model inputs'!AM103-'Model inputs'!AM102)*('Model inputs'!C95-24)/6,IF(IF(IF(ISERROR('Model inputs'!C95&lt;=36),'Model inputs'!C95&lt;=36,IF('Model inputs'!C95="","",'Model inputs'!C95&lt;=36))="",FALSE,IF(ISERROR('Model inputs'!C95&lt;=36),'Model inputs'!C95&lt;=36,IF('Model inputs'!C95="","",'Model inputs'!C95&lt;=36))),'Model inputs'!AM103+('Model inputs'!AM104-'Model inputs'!AM103)*('Model inputs'!C95-30)/6,IF('Model inputs'!AM104="","",'Model inputs'!AM104))))))))="",0,(IF(IF(IF(ISERROR('Model inputs'!C95&lt;=6),'Model inputs'!C95&lt;=6,IF('Model inputs'!C95="","",'Model inputs'!C95&lt;=6))="",FALSE,IF(ISERROR('Model inputs'!C95&lt;=6),'Model inputs'!C95&lt;=6,IF('Model inputs'!C95="","",'Model inputs'!C95&lt;=6))),'Model inputs'!AM99+('Model inputs'!AM105-'Model inputs'!AM99)*('Model inputs'!C95-0)/6,IF(IF(IF(ISERROR('Model inputs'!C95&lt;=12),'Model inputs'!C95&lt;=12,IF('Model inputs'!C95="","",'Model inputs'!C95&lt;=12))="",FALSE,IF(ISERROR('Model inputs'!C95&lt;=12),'Model inputs'!C95&lt;=12,IF('Model inputs'!C95="","",'Model inputs'!C95&lt;=12))),'Model inputs'!AM105+('Model inputs'!AM100-'Model inputs'!AM105)*('Model inputs'!C95-6)/6,IF(IF(IF(ISERROR('Model inputs'!C95&lt;=18),'Model inputs'!C95&lt;=18,IF('Model inputs'!C95="","",'Model inputs'!C95&lt;=18))="",FALSE,IF(ISERROR('Model inputs'!C95&lt;=18),'Model inputs'!C95&lt;=18,IF('Model inputs'!C95="","",'Model inputs'!C95&lt;=18))),'Model inputs'!AM100+('Model inputs'!AM101-'Model inputs'!AM100)*('Model inputs'!C95-12)/6,IF(IF(IF(ISERROR('Model inputs'!C95&lt;=24),'Model inputs'!C95&lt;=24,IF('Model inputs'!C95="","",'Model inputs'!C95&lt;=24))="",FALSE,IF(ISERROR('Model inputs'!C95&lt;=24),'Model inputs'!C95&lt;=24,IF('Model inputs'!C95="","",'Model inputs'!C95&lt;=24))),'Model inputs'!AM101+('Model inputs'!AM102-'Model inputs'!AM101)*('Model inputs'!C95-18)/6,IF(IF(IF(ISERROR('Model inputs'!C95&lt;=30),'Model inputs'!C95&lt;=30,IF('Model inputs'!C95="","",'Model inputs'!C95&lt;=30))="",FALSE,IF(ISERROR('Model inputs'!C95&lt;=30),'Model inputs'!C95&lt;=30,IF('Model inputs'!C95="","",'Model inputs'!C95&lt;=30))),'Model inputs'!AM102+('Model inputs'!AM103-'Model inputs'!AM102)*('Model inputs'!C95-24)/6,IF(IF(IF(ISERROR('Model inputs'!C95&lt;=36),'Model inputs'!C95&lt;=36,IF('Model inputs'!C95="","",'Model inputs'!C95&lt;=36))="",FALSE,IF(ISERROR('Model inputs'!C95&lt;=36),'Model inputs'!C95&lt;=36,IF('Model inputs'!C95="","",'Model inputs'!C95&lt;=36))),'Model inputs'!AM103+('Model inputs'!AM104-'Model inputs'!AM103)*('Model inputs'!C95-30)/6,IF('Model inputs'!AM104="","",'Model inputs'!AM104)))))))))*'Model inputs'!AM93</f>
      </c>
    </row>
    <row r="2164">
      <c r="A2164" t="inlineStr" s="25">
        <is>
          <t xml:space="preserve">Calculation</t>
        </is>
      </c>
      <c r="B2164">
        <f>IF((IF(IF(IF(ISERROR('Model inputs'!D95&lt;=6),'Model inputs'!D95&lt;=6,IF('Model inputs'!D95="","",'Model inputs'!D95&lt;=6))="",FALSE,IF(ISERROR('Model inputs'!D95&lt;=6),'Model inputs'!D95&lt;=6,IF('Model inputs'!D95="","",'Model inputs'!D95&lt;=6))),'Model inputs'!AM99+('Model inputs'!AM105-'Model inputs'!AM99)*('Model inputs'!D95-0)/6,IF(IF(IF(ISERROR('Model inputs'!D95&lt;=12),'Model inputs'!D95&lt;=12,IF('Model inputs'!D95="","",'Model inputs'!D95&lt;=12))="",FALSE,IF(ISERROR('Model inputs'!D95&lt;=12),'Model inputs'!D95&lt;=12,IF('Model inputs'!D95="","",'Model inputs'!D95&lt;=12))),'Model inputs'!AM105+('Model inputs'!AM100-'Model inputs'!AM105)*('Model inputs'!D95-6)/6,IF(IF(IF(ISERROR('Model inputs'!D95&lt;=18),'Model inputs'!D95&lt;=18,IF('Model inputs'!D95="","",'Model inputs'!D95&lt;=18))="",FALSE,IF(ISERROR('Model inputs'!D95&lt;=18),'Model inputs'!D95&lt;=18,IF('Model inputs'!D95="","",'Model inputs'!D95&lt;=18))),'Model inputs'!AM100+('Model inputs'!AM101-'Model inputs'!AM100)*('Model inputs'!D95-12)/6,IF(IF(IF(ISERROR('Model inputs'!D95&lt;=24),'Model inputs'!D95&lt;=24,IF('Model inputs'!D95="","",'Model inputs'!D95&lt;=24))="",FALSE,IF(ISERROR('Model inputs'!D95&lt;=24),'Model inputs'!D95&lt;=24,IF('Model inputs'!D95="","",'Model inputs'!D95&lt;=24))),'Model inputs'!AM101+('Model inputs'!AM102-'Model inputs'!AM101)*('Model inputs'!D95-18)/6,IF(IF(IF(ISERROR('Model inputs'!D95&lt;=30),'Model inputs'!D95&lt;=30,IF('Model inputs'!D95="","",'Model inputs'!D95&lt;=30))="",FALSE,IF(ISERROR('Model inputs'!D95&lt;=30),'Model inputs'!D95&lt;=30,IF('Model inputs'!D95="","",'Model inputs'!D95&lt;=30))),'Model inputs'!AM102+('Model inputs'!AM103-'Model inputs'!AM102)*('Model inputs'!D95-24)/6,IF(IF(IF(ISERROR('Model inputs'!D95&lt;=36),'Model inputs'!D95&lt;=36,IF('Model inputs'!D95="","",'Model inputs'!D95&lt;=36))="",FALSE,IF(ISERROR('Model inputs'!D95&lt;=36),'Model inputs'!D95&lt;=36,IF('Model inputs'!D95="","",'Model inputs'!D95&lt;=36))),'Model inputs'!AM103+('Model inputs'!AM104-'Model inputs'!AM103)*('Model inputs'!D95-30)/6,IF('Model inputs'!AM104="","",'Model inputs'!AM104))))))))="",0,(IF(IF(IF(ISERROR('Model inputs'!D95&lt;=6),'Model inputs'!D95&lt;=6,IF('Model inputs'!D95="","",'Model inputs'!D95&lt;=6))="",FALSE,IF(ISERROR('Model inputs'!D95&lt;=6),'Model inputs'!D95&lt;=6,IF('Model inputs'!D95="","",'Model inputs'!D95&lt;=6))),'Model inputs'!AM99+('Model inputs'!AM105-'Model inputs'!AM99)*('Model inputs'!D95-0)/6,IF(IF(IF(ISERROR('Model inputs'!D95&lt;=12),'Model inputs'!D95&lt;=12,IF('Model inputs'!D95="","",'Model inputs'!D95&lt;=12))="",FALSE,IF(ISERROR('Model inputs'!D95&lt;=12),'Model inputs'!D95&lt;=12,IF('Model inputs'!D95="","",'Model inputs'!D95&lt;=12))),'Model inputs'!AM105+('Model inputs'!AM100-'Model inputs'!AM105)*('Model inputs'!D95-6)/6,IF(IF(IF(ISERROR('Model inputs'!D95&lt;=18),'Model inputs'!D95&lt;=18,IF('Model inputs'!D95="","",'Model inputs'!D95&lt;=18))="",FALSE,IF(ISERROR('Model inputs'!D95&lt;=18),'Model inputs'!D95&lt;=18,IF('Model inputs'!D95="","",'Model inputs'!D95&lt;=18))),'Model inputs'!AM100+('Model inputs'!AM101-'Model inputs'!AM100)*('Model inputs'!D95-12)/6,IF(IF(IF(ISERROR('Model inputs'!D95&lt;=24),'Model inputs'!D95&lt;=24,IF('Model inputs'!D95="","",'Model inputs'!D95&lt;=24))="",FALSE,IF(ISERROR('Model inputs'!D95&lt;=24),'Model inputs'!D95&lt;=24,IF('Model inputs'!D95="","",'Model inputs'!D95&lt;=24))),'Model inputs'!AM101+('Model inputs'!AM102-'Model inputs'!AM101)*('Model inputs'!D95-18)/6,IF(IF(IF(ISERROR('Model inputs'!D95&lt;=30),'Model inputs'!D95&lt;=30,IF('Model inputs'!D95="","",'Model inputs'!D95&lt;=30))="",FALSE,IF(ISERROR('Model inputs'!D95&lt;=30),'Model inputs'!D95&lt;=30,IF('Model inputs'!D95="","",'Model inputs'!D95&lt;=30))),'Model inputs'!AM102+('Model inputs'!AM103-'Model inputs'!AM102)*('Model inputs'!D95-24)/6,IF(IF(IF(ISERROR('Model inputs'!D95&lt;=36),'Model inputs'!D95&lt;=36,IF('Model inputs'!D95="","",'Model inputs'!D95&lt;=36))="",FALSE,IF(ISERROR('Model inputs'!D95&lt;=36),'Model inputs'!D95&lt;=36,IF('Model inputs'!D95="","",'Model inputs'!D95&lt;=36))),'Model inputs'!AM103+('Model inputs'!AM104-'Model inputs'!AM103)*('Model inputs'!D95-30)/6,IF('Model inputs'!AM104="","",'Model inputs'!AM104)))))))))*'Model inputs'!AM93</f>
      </c>
    </row>
    <row r="2165">
      <c r="A2165" t="inlineStr" s="25">
        <is>
          <t xml:space="preserve">Calculation</t>
        </is>
      </c>
      <c r="B2165">
        <f>IF((IF(IF(IF(ISERROR('Model inputs'!E95&lt;=6),'Model inputs'!E95&lt;=6,IF('Model inputs'!E95="","",'Model inputs'!E95&lt;=6))="",FALSE,IF(ISERROR('Model inputs'!E95&lt;=6),'Model inputs'!E95&lt;=6,IF('Model inputs'!E95="","",'Model inputs'!E95&lt;=6))),'Model inputs'!AM99+('Model inputs'!AM105-'Model inputs'!AM99)*('Model inputs'!E95-0)/6,IF(IF(IF(ISERROR('Model inputs'!E95&lt;=12),'Model inputs'!E95&lt;=12,IF('Model inputs'!E95="","",'Model inputs'!E95&lt;=12))="",FALSE,IF(ISERROR('Model inputs'!E95&lt;=12),'Model inputs'!E95&lt;=12,IF('Model inputs'!E95="","",'Model inputs'!E95&lt;=12))),'Model inputs'!AM105+('Model inputs'!AM100-'Model inputs'!AM105)*('Model inputs'!E95-6)/6,IF(IF(IF(ISERROR('Model inputs'!E95&lt;=18),'Model inputs'!E95&lt;=18,IF('Model inputs'!E95="","",'Model inputs'!E95&lt;=18))="",FALSE,IF(ISERROR('Model inputs'!E95&lt;=18),'Model inputs'!E95&lt;=18,IF('Model inputs'!E95="","",'Model inputs'!E95&lt;=18))),'Model inputs'!AM100+('Model inputs'!AM101-'Model inputs'!AM100)*('Model inputs'!E95-12)/6,IF(IF(IF(ISERROR('Model inputs'!E95&lt;=24),'Model inputs'!E95&lt;=24,IF('Model inputs'!E95="","",'Model inputs'!E95&lt;=24))="",FALSE,IF(ISERROR('Model inputs'!E95&lt;=24),'Model inputs'!E95&lt;=24,IF('Model inputs'!E95="","",'Model inputs'!E95&lt;=24))),'Model inputs'!AM101+('Model inputs'!AM102-'Model inputs'!AM101)*('Model inputs'!E95-18)/6,IF(IF(IF(ISERROR('Model inputs'!E95&lt;=30),'Model inputs'!E95&lt;=30,IF('Model inputs'!E95="","",'Model inputs'!E95&lt;=30))="",FALSE,IF(ISERROR('Model inputs'!E95&lt;=30),'Model inputs'!E95&lt;=30,IF('Model inputs'!E95="","",'Model inputs'!E95&lt;=30))),'Model inputs'!AM102+('Model inputs'!AM103-'Model inputs'!AM102)*('Model inputs'!E95-24)/6,IF(IF(IF(ISERROR('Model inputs'!E95&lt;=36),'Model inputs'!E95&lt;=36,IF('Model inputs'!E95="","",'Model inputs'!E95&lt;=36))="",FALSE,IF(ISERROR('Model inputs'!E95&lt;=36),'Model inputs'!E95&lt;=36,IF('Model inputs'!E95="","",'Model inputs'!E95&lt;=36))),'Model inputs'!AM103+('Model inputs'!AM104-'Model inputs'!AM103)*('Model inputs'!E95-30)/6,IF('Model inputs'!AM104="","",'Model inputs'!AM104))))))))="",0,(IF(IF(IF(ISERROR('Model inputs'!E95&lt;=6),'Model inputs'!E95&lt;=6,IF('Model inputs'!E95="","",'Model inputs'!E95&lt;=6))="",FALSE,IF(ISERROR('Model inputs'!E95&lt;=6),'Model inputs'!E95&lt;=6,IF('Model inputs'!E95="","",'Model inputs'!E95&lt;=6))),'Model inputs'!AM99+('Model inputs'!AM105-'Model inputs'!AM99)*('Model inputs'!E95-0)/6,IF(IF(IF(ISERROR('Model inputs'!E95&lt;=12),'Model inputs'!E95&lt;=12,IF('Model inputs'!E95="","",'Model inputs'!E95&lt;=12))="",FALSE,IF(ISERROR('Model inputs'!E95&lt;=12),'Model inputs'!E95&lt;=12,IF('Model inputs'!E95="","",'Model inputs'!E95&lt;=12))),'Model inputs'!AM105+('Model inputs'!AM100-'Model inputs'!AM105)*('Model inputs'!E95-6)/6,IF(IF(IF(ISERROR('Model inputs'!E95&lt;=18),'Model inputs'!E95&lt;=18,IF('Model inputs'!E95="","",'Model inputs'!E95&lt;=18))="",FALSE,IF(ISERROR('Model inputs'!E95&lt;=18),'Model inputs'!E95&lt;=18,IF('Model inputs'!E95="","",'Model inputs'!E95&lt;=18))),'Model inputs'!AM100+('Model inputs'!AM101-'Model inputs'!AM100)*('Model inputs'!E95-12)/6,IF(IF(IF(ISERROR('Model inputs'!E95&lt;=24),'Model inputs'!E95&lt;=24,IF('Model inputs'!E95="","",'Model inputs'!E95&lt;=24))="",FALSE,IF(ISERROR('Model inputs'!E95&lt;=24),'Model inputs'!E95&lt;=24,IF('Model inputs'!E95="","",'Model inputs'!E95&lt;=24))),'Model inputs'!AM101+('Model inputs'!AM102-'Model inputs'!AM101)*('Model inputs'!E95-18)/6,IF(IF(IF(ISERROR('Model inputs'!E95&lt;=30),'Model inputs'!E95&lt;=30,IF('Model inputs'!E95="","",'Model inputs'!E95&lt;=30))="",FALSE,IF(ISERROR('Model inputs'!E95&lt;=30),'Model inputs'!E95&lt;=30,IF('Model inputs'!E95="","",'Model inputs'!E95&lt;=30))),'Model inputs'!AM102+('Model inputs'!AM103-'Model inputs'!AM102)*('Model inputs'!E95-24)/6,IF(IF(IF(ISERROR('Model inputs'!E95&lt;=36),'Model inputs'!E95&lt;=36,IF('Model inputs'!E95="","",'Model inputs'!E95&lt;=36))="",FALSE,IF(ISERROR('Model inputs'!E95&lt;=36),'Model inputs'!E95&lt;=36,IF('Model inputs'!E95="","",'Model inputs'!E95&lt;=36))),'Model inputs'!AM103+('Model inputs'!AM104-'Model inputs'!AM103)*('Model inputs'!E95-30)/6,IF('Model inputs'!AM104="","",'Model inputs'!AM104)))))))))*'Model inputs'!AM93</f>
      </c>
    </row>
    <row r="2166">
      <c r="A2166" t="inlineStr" s="25">
        <is>
          <t xml:space="preserve">Calculation</t>
        </is>
      </c>
      <c r="B2166">
        <f>IF((IF(IF(IF(ISERROR('Model inputs'!F95&lt;=6),'Model inputs'!F95&lt;=6,IF('Model inputs'!F95="","",'Model inputs'!F95&lt;=6))="",FALSE,IF(ISERROR('Model inputs'!F95&lt;=6),'Model inputs'!F95&lt;=6,IF('Model inputs'!F95="","",'Model inputs'!F95&lt;=6))),'Model inputs'!AM99+('Model inputs'!AM105-'Model inputs'!AM99)*('Model inputs'!F95-0)/6,IF(IF(IF(ISERROR('Model inputs'!F95&lt;=12),'Model inputs'!F95&lt;=12,IF('Model inputs'!F95="","",'Model inputs'!F95&lt;=12))="",FALSE,IF(ISERROR('Model inputs'!F95&lt;=12),'Model inputs'!F95&lt;=12,IF('Model inputs'!F95="","",'Model inputs'!F95&lt;=12))),'Model inputs'!AM105+('Model inputs'!AM100-'Model inputs'!AM105)*('Model inputs'!F95-6)/6,IF(IF(IF(ISERROR('Model inputs'!F95&lt;=18),'Model inputs'!F95&lt;=18,IF('Model inputs'!F95="","",'Model inputs'!F95&lt;=18))="",FALSE,IF(ISERROR('Model inputs'!F95&lt;=18),'Model inputs'!F95&lt;=18,IF('Model inputs'!F95="","",'Model inputs'!F95&lt;=18))),'Model inputs'!AM100+('Model inputs'!AM101-'Model inputs'!AM100)*('Model inputs'!F95-12)/6,IF(IF(IF(ISERROR('Model inputs'!F95&lt;=24),'Model inputs'!F95&lt;=24,IF('Model inputs'!F95="","",'Model inputs'!F95&lt;=24))="",FALSE,IF(ISERROR('Model inputs'!F95&lt;=24),'Model inputs'!F95&lt;=24,IF('Model inputs'!F95="","",'Model inputs'!F95&lt;=24))),'Model inputs'!AM101+('Model inputs'!AM102-'Model inputs'!AM101)*('Model inputs'!F95-18)/6,IF(IF(IF(ISERROR('Model inputs'!F95&lt;=30),'Model inputs'!F95&lt;=30,IF('Model inputs'!F95="","",'Model inputs'!F95&lt;=30))="",FALSE,IF(ISERROR('Model inputs'!F95&lt;=30),'Model inputs'!F95&lt;=30,IF('Model inputs'!F95="","",'Model inputs'!F95&lt;=30))),'Model inputs'!AM102+('Model inputs'!AM103-'Model inputs'!AM102)*('Model inputs'!F95-24)/6,IF(IF(IF(ISERROR('Model inputs'!F95&lt;=36),'Model inputs'!F95&lt;=36,IF('Model inputs'!F95="","",'Model inputs'!F95&lt;=36))="",FALSE,IF(ISERROR('Model inputs'!F95&lt;=36),'Model inputs'!F95&lt;=36,IF('Model inputs'!F95="","",'Model inputs'!F95&lt;=36))),'Model inputs'!AM103+('Model inputs'!AM104-'Model inputs'!AM103)*('Model inputs'!F95-30)/6,IF('Model inputs'!AM104="","",'Model inputs'!AM104))))))))="",0,(IF(IF(IF(ISERROR('Model inputs'!F95&lt;=6),'Model inputs'!F95&lt;=6,IF('Model inputs'!F95="","",'Model inputs'!F95&lt;=6))="",FALSE,IF(ISERROR('Model inputs'!F95&lt;=6),'Model inputs'!F95&lt;=6,IF('Model inputs'!F95="","",'Model inputs'!F95&lt;=6))),'Model inputs'!AM99+('Model inputs'!AM105-'Model inputs'!AM99)*('Model inputs'!F95-0)/6,IF(IF(IF(ISERROR('Model inputs'!F95&lt;=12),'Model inputs'!F95&lt;=12,IF('Model inputs'!F95="","",'Model inputs'!F95&lt;=12))="",FALSE,IF(ISERROR('Model inputs'!F95&lt;=12),'Model inputs'!F95&lt;=12,IF('Model inputs'!F95="","",'Model inputs'!F95&lt;=12))),'Model inputs'!AM105+('Model inputs'!AM100-'Model inputs'!AM105)*('Model inputs'!F95-6)/6,IF(IF(IF(ISERROR('Model inputs'!F95&lt;=18),'Model inputs'!F95&lt;=18,IF('Model inputs'!F95="","",'Model inputs'!F95&lt;=18))="",FALSE,IF(ISERROR('Model inputs'!F95&lt;=18),'Model inputs'!F95&lt;=18,IF('Model inputs'!F95="","",'Model inputs'!F95&lt;=18))),'Model inputs'!AM100+('Model inputs'!AM101-'Model inputs'!AM100)*('Model inputs'!F95-12)/6,IF(IF(IF(ISERROR('Model inputs'!F95&lt;=24),'Model inputs'!F95&lt;=24,IF('Model inputs'!F95="","",'Model inputs'!F95&lt;=24))="",FALSE,IF(ISERROR('Model inputs'!F95&lt;=24),'Model inputs'!F95&lt;=24,IF('Model inputs'!F95="","",'Model inputs'!F95&lt;=24))),'Model inputs'!AM101+('Model inputs'!AM102-'Model inputs'!AM101)*('Model inputs'!F95-18)/6,IF(IF(IF(ISERROR('Model inputs'!F95&lt;=30),'Model inputs'!F95&lt;=30,IF('Model inputs'!F95="","",'Model inputs'!F95&lt;=30))="",FALSE,IF(ISERROR('Model inputs'!F95&lt;=30),'Model inputs'!F95&lt;=30,IF('Model inputs'!F95="","",'Model inputs'!F95&lt;=30))),'Model inputs'!AM102+('Model inputs'!AM103-'Model inputs'!AM102)*('Model inputs'!F95-24)/6,IF(IF(IF(ISERROR('Model inputs'!F95&lt;=36),'Model inputs'!F95&lt;=36,IF('Model inputs'!F95="","",'Model inputs'!F95&lt;=36))="",FALSE,IF(ISERROR('Model inputs'!F95&lt;=36),'Model inputs'!F95&lt;=36,IF('Model inputs'!F95="","",'Model inputs'!F95&lt;=36))),'Model inputs'!AM103+('Model inputs'!AM104-'Model inputs'!AM103)*('Model inputs'!F95-30)/6,IF('Model inputs'!AM104="","",'Model inputs'!AM104)))))))))*'Model inputs'!AM93</f>
      </c>
    </row>
    <row r="2167">
      <c r="A2167" t="inlineStr" s="25">
        <is>
          <t xml:space="preserve">Calculation</t>
        </is>
      </c>
      <c r="B2167">
        <f>IF((IF(IF(IF(ISERROR('Model inputs'!G95&lt;=6),'Model inputs'!G95&lt;=6,IF('Model inputs'!G95="","",'Model inputs'!G95&lt;=6))="",FALSE,IF(ISERROR('Model inputs'!G95&lt;=6),'Model inputs'!G95&lt;=6,IF('Model inputs'!G95="","",'Model inputs'!G95&lt;=6))),'Model inputs'!AM99+('Model inputs'!AM105-'Model inputs'!AM99)*('Model inputs'!G95-0)/6,IF(IF(IF(ISERROR('Model inputs'!G95&lt;=12),'Model inputs'!G95&lt;=12,IF('Model inputs'!G95="","",'Model inputs'!G95&lt;=12))="",FALSE,IF(ISERROR('Model inputs'!G95&lt;=12),'Model inputs'!G95&lt;=12,IF('Model inputs'!G95="","",'Model inputs'!G95&lt;=12))),'Model inputs'!AM105+('Model inputs'!AM100-'Model inputs'!AM105)*('Model inputs'!G95-6)/6,IF(IF(IF(ISERROR('Model inputs'!G95&lt;=18),'Model inputs'!G95&lt;=18,IF('Model inputs'!G95="","",'Model inputs'!G95&lt;=18))="",FALSE,IF(ISERROR('Model inputs'!G95&lt;=18),'Model inputs'!G95&lt;=18,IF('Model inputs'!G95="","",'Model inputs'!G95&lt;=18))),'Model inputs'!AM100+('Model inputs'!AM101-'Model inputs'!AM100)*('Model inputs'!G95-12)/6,IF(IF(IF(ISERROR('Model inputs'!G95&lt;=24),'Model inputs'!G95&lt;=24,IF('Model inputs'!G95="","",'Model inputs'!G95&lt;=24))="",FALSE,IF(ISERROR('Model inputs'!G95&lt;=24),'Model inputs'!G95&lt;=24,IF('Model inputs'!G95="","",'Model inputs'!G95&lt;=24))),'Model inputs'!AM101+('Model inputs'!AM102-'Model inputs'!AM101)*('Model inputs'!G95-18)/6,IF(IF(IF(ISERROR('Model inputs'!G95&lt;=30),'Model inputs'!G95&lt;=30,IF('Model inputs'!G95="","",'Model inputs'!G95&lt;=30))="",FALSE,IF(ISERROR('Model inputs'!G95&lt;=30),'Model inputs'!G95&lt;=30,IF('Model inputs'!G95="","",'Model inputs'!G95&lt;=30))),'Model inputs'!AM102+('Model inputs'!AM103-'Model inputs'!AM102)*('Model inputs'!G95-24)/6,IF(IF(IF(ISERROR('Model inputs'!G95&lt;=36),'Model inputs'!G95&lt;=36,IF('Model inputs'!G95="","",'Model inputs'!G95&lt;=36))="",FALSE,IF(ISERROR('Model inputs'!G95&lt;=36),'Model inputs'!G95&lt;=36,IF('Model inputs'!G95="","",'Model inputs'!G95&lt;=36))),'Model inputs'!AM103+('Model inputs'!AM104-'Model inputs'!AM103)*('Model inputs'!G95-30)/6,IF('Model inputs'!AM104="","",'Model inputs'!AM104))))))))="",0,(IF(IF(IF(ISERROR('Model inputs'!G95&lt;=6),'Model inputs'!G95&lt;=6,IF('Model inputs'!G95="","",'Model inputs'!G95&lt;=6))="",FALSE,IF(ISERROR('Model inputs'!G95&lt;=6),'Model inputs'!G95&lt;=6,IF('Model inputs'!G95="","",'Model inputs'!G95&lt;=6))),'Model inputs'!AM99+('Model inputs'!AM105-'Model inputs'!AM99)*('Model inputs'!G95-0)/6,IF(IF(IF(ISERROR('Model inputs'!G95&lt;=12),'Model inputs'!G95&lt;=12,IF('Model inputs'!G95="","",'Model inputs'!G95&lt;=12))="",FALSE,IF(ISERROR('Model inputs'!G95&lt;=12),'Model inputs'!G95&lt;=12,IF('Model inputs'!G95="","",'Model inputs'!G95&lt;=12))),'Model inputs'!AM105+('Model inputs'!AM100-'Model inputs'!AM105)*('Model inputs'!G95-6)/6,IF(IF(IF(ISERROR('Model inputs'!G95&lt;=18),'Model inputs'!G95&lt;=18,IF('Model inputs'!G95="","",'Model inputs'!G95&lt;=18))="",FALSE,IF(ISERROR('Model inputs'!G95&lt;=18),'Model inputs'!G95&lt;=18,IF('Model inputs'!G95="","",'Model inputs'!G95&lt;=18))),'Model inputs'!AM100+('Model inputs'!AM101-'Model inputs'!AM100)*('Model inputs'!G95-12)/6,IF(IF(IF(ISERROR('Model inputs'!G95&lt;=24),'Model inputs'!G95&lt;=24,IF('Model inputs'!G95="","",'Model inputs'!G95&lt;=24))="",FALSE,IF(ISERROR('Model inputs'!G95&lt;=24),'Model inputs'!G95&lt;=24,IF('Model inputs'!G95="","",'Model inputs'!G95&lt;=24))),'Model inputs'!AM101+('Model inputs'!AM102-'Model inputs'!AM101)*('Model inputs'!G95-18)/6,IF(IF(IF(ISERROR('Model inputs'!G95&lt;=30),'Model inputs'!G95&lt;=30,IF('Model inputs'!G95="","",'Model inputs'!G95&lt;=30))="",FALSE,IF(ISERROR('Model inputs'!G95&lt;=30),'Model inputs'!G95&lt;=30,IF('Model inputs'!G95="","",'Model inputs'!G95&lt;=30))),'Model inputs'!AM102+('Model inputs'!AM103-'Model inputs'!AM102)*('Model inputs'!G95-24)/6,IF(IF(IF(ISERROR('Model inputs'!G95&lt;=36),'Model inputs'!G95&lt;=36,IF('Model inputs'!G95="","",'Model inputs'!G95&lt;=36))="",FALSE,IF(ISERROR('Model inputs'!G95&lt;=36),'Model inputs'!G95&lt;=36,IF('Model inputs'!G95="","",'Model inputs'!G95&lt;=36))),'Model inputs'!AM103+('Model inputs'!AM104-'Model inputs'!AM103)*('Model inputs'!G95-30)/6,IF('Model inputs'!AM104="","",'Model inputs'!AM104)))))))))*'Model inputs'!AM93</f>
      </c>
    </row>
    <row r="2168">
      <c r="A2168" t="inlineStr" s="25">
        <is>
          <t xml:space="preserve">Calculation</t>
        </is>
      </c>
      <c r="B2168">
        <f>IF((IF(IF(IF(ISERROR('Model inputs'!H95&lt;=6),'Model inputs'!H95&lt;=6,IF('Model inputs'!H95="","",'Model inputs'!H95&lt;=6))="",FALSE,IF(ISERROR('Model inputs'!H95&lt;=6),'Model inputs'!H95&lt;=6,IF('Model inputs'!H95="","",'Model inputs'!H95&lt;=6))),'Model inputs'!AM99+('Model inputs'!AM105-'Model inputs'!AM99)*('Model inputs'!H95-0)/6,IF(IF(IF(ISERROR('Model inputs'!H95&lt;=12),'Model inputs'!H95&lt;=12,IF('Model inputs'!H95="","",'Model inputs'!H95&lt;=12))="",FALSE,IF(ISERROR('Model inputs'!H95&lt;=12),'Model inputs'!H95&lt;=12,IF('Model inputs'!H95="","",'Model inputs'!H95&lt;=12))),'Model inputs'!AM105+('Model inputs'!AM100-'Model inputs'!AM105)*('Model inputs'!H95-6)/6,IF(IF(IF(ISERROR('Model inputs'!H95&lt;=18),'Model inputs'!H95&lt;=18,IF('Model inputs'!H95="","",'Model inputs'!H95&lt;=18))="",FALSE,IF(ISERROR('Model inputs'!H95&lt;=18),'Model inputs'!H95&lt;=18,IF('Model inputs'!H95="","",'Model inputs'!H95&lt;=18))),'Model inputs'!AM100+('Model inputs'!AM101-'Model inputs'!AM100)*('Model inputs'!H95-12)/6,IF(IF(IF(ISERROR('Model inputs'!H95&lt;=24),'Model inputs'!H95&lt;=24,IF('Model inputs'!H95="","",'Model inputs'!H95&lt;=24))="",FALSE,IF(ISERROR('Model inputs'!H95&lt;=24),'Model inputs'!H95&lt;=24,IF('Model inputs'!H95="","",'Model inputs'!H95&lt;=24))),'Model inputs'!AM101+('Model inputs'!AM102-'Model inputs'!AM101)*('Model inputs'!H95-18)/6,IF(IF(IF(ISERROR('Model inputs'!H95&lt;=30),'Model inputs'!H95&lt;=30,IF('Model inputs'!H95="","",'Model inputs'!H95&lt;=30))="",FALSE,IF(ISERROR('Model inputs'!H95&lt;=30),'Model inputs'!H95&lt;=30,IF('Model inputs'!H95="","",'Model inputs'!H95&lt;=30))),'Model inputs'!AM102+('Model inputs'!AM103-'Model inputs'!AM102)*('Model inputs'!H95-24)/6,IF(IF(IF(ISERROR('Model inputs'!H95&lt;=36),'Model inputs'!H95&lt;=36,IF('Model inputs'!H95="","",'Model inputs'!H95&lt;=36))="",FALSE,IF(ISERROR('Model inputs'!H95&lt;=36),'Model inputs'!H95&lt;=36,IF('Model inputs'!H95="","",'Model inputs'!H95&lt;=36))),'Model inputs'!AM103+('Model inputs'!AM104-'Model inputs'!AM103)*('Model inputs'!H95-30)/6,IF('Model inputs'!AM104="","",'Model inputs'!AM104))))))))="",0,(IF(IF(IF(ISERROR('Model inputs'!H95&lt;=6),'Model inputs'!H95&lt;=6,IF('Model inputs'!H95="","",'Model inputs'!H95&lt;=6))="",FALSE,IF(ISERROR('Model inputs'!H95&lt;=6),'Model inputs'!H95&lt;=6,IF('Model inputs'!H95="","",'Model inputs'!H95&lt;=6))),'Model inputs'!AM99+('Model inputs'!AM105-'Model inputs'!AM99)*('Model inputs'!H95-0)/6,IF(IF(IF(ISERROR('Model inputs'!H95&lt;=12),'Model inputs'!H95&lt;=12,IF('Model inputs'!H95="","",'Model inputs'!H95&lt;=12))="",FALSE,IF(ISERROR('Model inputs'!H95&lt;=12),'Model inputs'!H95&lt;=12,IF('Model inputs'!H95="","",'Model inputs'!H95&lt;=12))),'Model inputs'!AM105+('Model inputs'!AM100-'Model inputs'!AM105)*('Model inputs'!H95-6)/6,IF(IF(IF(ISERROR('Model inputs'!H95&lt;=18),'Model inputs'!H95&lt;=18,IF('Model inputs'!H95="","",'Model inputs'!H95&lt;=18))="",FALSE,IF(ISERROR('Model inputs'!H95&lt;=18),'Model inputs'!H95&lt;=18,IF('Model inputs'!H95="","",'Model inputs'!H95&lt;=18))),'Model inputs'!AM100+('Model inputs'!AM101-'Model inputs'!AM100)*('Model inputs'!H95-12)/6,IF(IF(IF(ISERROR('Model inputs'!H95&lt;=24),'Model inputs'!H95&lt;=24,IF('Model inputs'!H95="","",'Model inputs'!H95&lt;=24))="",FALSE,IF(ISERROR('Model inputs'!H95&lt;=24),'Model inputs'!H95&lt;=24,IF('Model inputs'!H95="","",'Model inputs'!H95&lt;=24))),'Model inputs'!AM101+('Model inputs'!AM102-'Model inputs'!AM101)*('Model inputs'!H95-18)/6,IF(IF(IF(ISERROR('Model inputs'!H95&lt;=30),'Model inputs'!H95&lt;=30,IF('Model inputs'!H95="","",'Model inputs'!H95&lt;=30))="",FALSE,IF(ISERROR('Model inputs'!H95&lt;=30),'Model inputs'!H95&lt;=30,IF('Model inputs'!H95="","",'Model inputs'!H95&lt;=30))),'Model inputs'!AM102+('Model inputs'!AM103-'Model inputs'!AM102)*('Model inputs'!H95-24)/6,IF(IF(IF(ISERROR('Model inputs'!H95&lt;=36),'Model inputs'!H95&lt;=36,IF('Model inputs'!H95="","",'Model inputs'!H95&lt;=36))="",FALSE,IF(ISERROR('Model inputs'!H95&lt;=36),'Model inputs'!H95&lt;=36,IF('Model inputs'!H95="","",'Model inputs'!H95&lt;=36))),'Model inputs'!AM103+('Model inputs'!AM104-'Model inputs'!AM103)*('Model inputs'!H95-30)/6,IF('Model inputs'!AM104="","",'Model inputs'!AM104)))))))))*'Model inputs'!AM93</f>
      </c>
    </row>
    <row r="2169">
      <c r="A2169" t="inlineStr" s="25">
        <is>
          <t xml:space="preserve">Calculation</t>
        </is>
      </c>
      <c r="B2169">
        <f>IF((IF(IF(IF(ISERROR('Model inputs'!I95&lt;=6),'Model inputs'!I95&lt;=6,IF('Model inputs'!I95="","",'Model inputs'!I95&lt;=6))="",FALSE,IF(ISERROR('Model inputs'!I95&lt;=6),'Model inputs'!I95&lt;=6,IF('Model inputs'!I95="","",'Model inputs'!I95&lt;=6))),'Model inputs'!AM99+('Model inputs'!AM105-'Model inputs'!AM99)*('Model inputs'!I95-0)/6,IF(IF(IF(ISERROR('Model inputs'!I95&lt;=12),'Model inputs'!I95&lt;=12,IF('Model inputs'!I95="","",'Model inputs'!I95&lt;=12))="",FALSE,IF(ISERROR('Model inputs'!I95&lt;=12),'Model inputs'!I95&lt;=12,IF('Model inputs'!I95="","",'Model inputs'!I95&lt;=12))),'Model inputs'!AM105+('Model inputs'!AM100-'Model inputs'!AM105)*('Model inputs'!I95-6)/6,IF(IF(IF(ISERROR('Model inputs'!I95&lt;=18),'Model inputs'!I95&lt;=18,IF('Model inputs'!I95="","",'Model inputs'!I95&lt;=18))="",FALSE,IF(ISERROR('Model inputs'!I95&lt;=18),'Model inputs'!I95&lt;=18,IF('Model inputs'!I95="","",'Model inputs'!I95&lt;=18))),'Model inputs'!AM100+('Model inputs'!AM101-'Model inputs'!AM100)*('Model inputs'!I95-12)/6,IF(IF(IF(ISERROR('Model inputs'!I95&lt;=24),'Model inputs'!I95&lt;=24,IF('Model inputs'!I95="","",'Model inputs'!I95&lt;=24))="",FALSE,IF(ISERROR('Model inputs'!I95&lt;=24),'Model inputs'!I95&lt;=24,IF('Model inputs'!I95="","",'Model inputs'!I95&lt;=24))),'Model inputs'!AM101+('Model inputs'!AM102-'Model inputs'!AM101)*('Model inputs'!I95-18)/6,IF(IF(IF(ISERROR('Model inputs'!I95&lt;=30),'Model inputs'!I95&lt;=30,IF('Model inputs'!I95="","",'Model inputs'!I95&lt;=30))="",FALSE,IF(ISERROR('Model inputs'!I95&lt;=30),'Model inputs'!I95&lt;=30,IF('Model inputs'!I95="","",'Model inputs'!I95&lt;=30))),'Model inputs'!AM102+('Model inputs'!AM103-'Model inputs'!AM102)*('Model inputs'!I95-24)/6,IF(IF(IF(ISERROR('Model inputs'!I95&lt;=36),'Model inputs'!I95&lt;=36,IF('Model inputs'!I95="","",'Model inputs'!I95&lt;=36))="",FALSE,IF(ISERROR('Model inputs'!I95&lt;=36),'Model inputs'!I95&lt;=36,IF('Model inputs'!I95="","",'Model inputs'!I95&lt;=36))),'Model inputs'!AM103+('Model inputs'!AM104-'Model inputs'!AM103)*('Model inputs'!I95-30)/6,IF('Model inputs'!AM104="","",'Model inputs'!AM104))))))))="",0,(IF(IF(IF(ISERROR('Model inputs'!I95&lt;=6),'Model inputs'!I95&lt;=6,IF('Model inputs'!I95="","",'Model inputs'!I95&lt;=6))="",FALSE,IF(ISERROR('Model inputs'!I95&lt;=6),'Model inputs'!I95&lt;=6,IF('Model inputs'!I95="","",'Model inputs'!I95&lt;=6))),'Model inputs'!AM99+('Model inputs'!AM105-'Model inputs'!AM99)*('Model inputs'!I95-0)/6,IF(IF(IF(ISERROR('Model inputs'!I95&lt;=12),'Model inputs'!I95&lt;=12,IF('Model inputs'!I95="","",'Model inputs'!I95&lt;=12))="",FALSE,IF(ISERROR('Model inputs'!I95&lt;=12),'Model inputs'!I95&lt;=12,IF('Model inputs'!I95="","",'Model inputs'!I95&lt;=12))),'Model inputs'!AM105+('Model inputs'!AM100-'Model inputs'!AM105)*('Model inputs'!I95-6)/6,IF(IF(IF(ISERROR('Model inputs'!I95&lt;=18),'Model inputs'!I95&lt;=18,IF('Model inputs'!I95="","",'Model inputs'!I95&lt;=18))="",FALSE,IF(ISERROR('Model inputs'!I95&lt;=18),'Model inputs'!I95&lt;=18,IF('Model inputs'!I95="","",'Model inputs'!I95&lt;=18))),'Model inputs'!AM100+('Model inputs'!AM101-'Model inputs'!AM100)*('Model inputs'!I95-12)/6,IF(IF(IF(ISERROR('Model inputs'!I95&lt;=24),'Model inputs'!I95&lt;=24,IF('Model inputs'!I95="","",'Model inputs'!I95&lt;=24))="",FALSE,IF(ISERROR('Model inputs'!I95&lt;=24),'Model inputs'!I95&lt;=24,IF('Model inputs'!I95="","",'Model inputs'!I95&lt;=24))),'Model inputs'!AM101+('Model inputs'!AM102-'Model inputs'!AM101)*('Model inputs'!I95-18)/6,IF(IF(IF(ISERROR('Model inputs'!I95&lt;=30),'Model inputs'!I95&lt;=30,IF('Model inputs'!I95="","",'Model inputs'!I95&lt;=30))="",FALSE,IF(ISERROR('Model inputs'!I95&lt;=30),'Model inputs'!I95&lt;=30,IF('Model inputs'!I95="","",'Model inputs'!I95&lt;=30))),'Model inputs'!AM102+('Model inputs'!AM103-'Model inputs'!AM102)*('Model inputs'!I95-24)/6,IF(IF(IF(ISERROR('Model inputs'!I95&lt;=36),'Model inputs'!I95&lt;=36,IF('Model inputs'!I95="","",'Model inputs'!I95&lt;=36))="",FALSE,IF(ISERROR('Model inputs'!I95&lt;=36),'Model inputs'!I95&lt;=36,IF('Model inputs'!I95="","",'Model inputs'!I95&lt;=36))),'Model inputs'!AM103+('Model inputs'!AM104-'Model inputs'!AM103)*('Model inputs'!I95-30)/6,IF('Model inputs'!AM104="","",'Model inputs'!AM104)))))))))*'Model inputs'!AM93</f>
      </c>
    </row>
    <row r="2170">
      <c r="A2170" t="inlineStr" s="25">
        <is>
          <t xml:space="preserve">Calculation</t>
        </is>
      </c>
      <c r="B2170">
        <f>IF((IF(IF(IF(ISERROR('Model inputs'!J95&lt;=6),'Model inputs'!J95&lt;=6,IF('Model inputs'!J95="","",'Model inputs'!J95&lt;=6))="",FALSE,IF(ISERROR('Model inputs'!J95&lt;=6),'Model inputs'!J95&lt;=6,IF('Model inputs'!J95="","",'Model inputs'!J95&lt;=6))),'Model inputs'!AM99+('Model inputs'!AM105-'Model inputs'!AM99)*('Model inputs'!J95-0)/6,IF(IF(IF(ISERROR('Model inputs'!J95&lt;=12),'Model inputs'!J95&lt;=12,IF('Model inputs'!J95="","",'Model inputs'!J95&lt;=12))="",FALSE,IF(ISERROR('Model inputs'!J95&lt;=12),'Model inputs'!J95&lt;=12,IF('Model inputs'!J95="","",'Model inputs'!J95&lt;=12))),'Model inputs'!AM105+('Model inputs'!AM100-'Model inputs'!AM105)*('Model inputs'!J95-6)/6,IF(IF(IF(ISERROR('Model inputs'!J95&lt;=18),'Model inputs'!J95&lt;=18,IF('Model inputs'!J95="","",'Model inputs'!J95&lt;=18))="",FALSE,IF(ISERROR('Model inputs'!J95&lt;=18),'Model inputs'!J95&lt;=18,IF('Model inputs'!J95="","",'Model inputs'!J95&lt;=18))),'Model inputs'!AM100+('Model inputs'!AM101-'Model inputs'!AM100)*('Model inputs'!J95-12)/6,IF(IF(IF(ISERROR('Model inputs'!J95&lt;=24),'Model inputs'!J95&lt;=24,IF('Model inputs'!J95="","",'Model inputs'!J95&lt;=24))="",FALSE,IF(ISERROR('Model inputs'!J95&lt;=24),'Model inputs'!J95&lt;=24,IF('Model inputs'!J95="","",'Model inputs'!J95&lt;=24))),'Model inputs'!AM101+('Model inputs'!AM102-'Model inputs'!AM101)*('Model inputs'!J95-18)/6,IF(IF(IF(ISERROR('Model inputs'!J95&lt;=30),'Model inputs'!J95&lt;=30,IF('Model inputs'!J95="","",'Model inputs'!J95&lt;=30))="",FALSE,IF(ISERROR('Model inputs'!J95&lt;=30),'Model inputs'!J95&lt;=30,IF('Model inputs'!J95="","",'Model inputs'!J95&lt;=30))),'Model inputs'!AM102+('Model inputs'!AM103-'Model inputs'!AM102)*('Model inputs'!J95-24)/6,IF(IF(IF(ISERROR('Model inputs'!J95&lt;=36),'Model inputs'!J95&lt;=36,IF('Model inputs'!J95="","",'Model inputs'!J95&lt;=36))="",FALSE,IF(ISERROR('Model inputs'!J95&lt;=36),'Model inputs'!J95&lt;=36,IF('Model inputs'!J95="","",'Model inputs'!J95&lt;=36))),'Model inputs'!AM103+('Model inputs'!AM104-'Model inputs'!AM103)*('Model inputs'!J95-30)/6,IF('Model inputs'!AM104="","",'Model inputs'!AM104))))))))="",0,(IF(IF(IF(ISERROR('Model inputs'!J95&lt;=6),'Model inputs'!J95&lt;=6,IF('Model inputs'!J95="","",'Model inputs'!J95&lt;=6))="",FALSE,IF(ISERROR('Model inputs'!J95&lt;=6),'Model inputs'!J95&lt;=6,IF('Model inputs'!J95="","",'Model inputs'!J95&lt;=6))),'Model inputs'!AM99+('Model inputs'!AM105-'Model inputs'!AM99)*('Model inputs'!J95-0)/6,IF(IF(IF(ISERROR('Model inputs'!J95&lt;=12),'Model inputs'!J95&lt;=12,IF('Model inputs'!J95="","",'Model inputs'!J95&lt;=12))="",FALSE,IF(ISERROR('Model inputs'!J95&lt;=12),'Model inputs'!J95&lt;=12,IF('Model inputs'!J95="","",'Model inputs'!J95&lt;=12))),'Model inputs'!AM105+('Model inputs'!AM100-'Model inputs'!AM105)*('Model inputs'!J95-6)/6,IF(IF(IF(ISERROR('Model inputs'!J95&lt;=18),'Model inputs'!J95&lt;=18,IF('Model inputs'!J95="","",'Model inputs'!J95&lt;=18))="",FALSE,IF(ISERROR('Model inputs'!J95&lt;=18),'Model inputs'!J95&lt;=18,IF('Model inputs'!J95="","",'Model inputs'!J95&lt;=18))),'Model inputs'!AM100+('Model inputs'!AM101-'Model inputs'!AM100)*('Model inputs'!J95-12)/6,IF(IF(IF(ISERROR('Model inputs'!J95&lt;=24),'Model inputs'!J95&lt;=24,IF('Model inputs'!J95="","",'Model inputs'!J95&lt;=24))="",FALSE,IF(ISERROR('Model inputs'!J95&lt;=24),'Model inputs'!J95&lt;=24,IF('Model inputs'!J95="","",'Model inputs'!J95&lt;=24))),'Model inputs'!AM101+('Model inputs'!AM102-'Model inputs'!AM101)*('Model inputs'!J95-18)/6,IF(IF(IF(ISERROR('Model inputs'!J95&lt;=30),'Model inputs'!J95&lt;=30,IF('Model inputs'!J95="","",'Model inputs'!J95&lt;=30))="",FALSE,IF(ISERROR('Model inputs'!J95&lt;=30),'Model inputs'!J95&lt;=30,IF('Model inputs'!J95="","",'Model inputs'!J95&lt;=30))),'Model inputs'!AM102+('Model inputs'!AM103-'Model inputs'!AM102)*('Model inputs'!J95-24)/6,IF(IF(IF(ISERROR('Model inputs'!J95&lt;=36),'Model inputs'!J95&lt;=36,IF('Model inputs'!J95="","",'Model inputs'!J95&lt;=36))="",FALSE,IF(ISERROR('Model inputs'!J95&lt;=36),'Model inputs'!J95&lt;=36,IF('Model inputs'!J95="","",'Model inputs'!J95&lt;=36))),'Model inputs'!AM103+('Model inputs'!AM104-'Model inputs'!AM103)*('Model inputs'!J95-30)/6,IF('Model inputs'!AM104="","",'Model inputs'!AM104)))))))))*'Model inputs'!AM93</f>
      </c>
    </row>
    <row r="2171">
      <c r="A2171" t="inlineStr" s="25">
        <is>
          <t xml:space="preserve">Calculation</t>
        </is>
      </c>
      <c r="B2171">
        <f>IF((IF(IF(IF(ISERROR('Model inputs'!K95&lt;=6),'Model inputs'!K95&lt;=6,IF('Model inputs'!K95="","",'Model inputs'!K95&lt;=6))="",FALSE,IF(ISERROR('Model inputs'!K95&lt;=6),'Model inputs'!K95&lt;=6,IF('Model inputs'!K95="","",'Model inputs'!K95&lt;=6))),'Model inputs'!AM99+('Model inputs'!AM105-'Model inputs'!AM99)*('Model inputs'!K95-0)/6,IF(IF(IF(ISERROR('Model inputs'!K95&lt;=12),'Model inputs'!K95&lt;=12,IF('Model inputs'!K95="","",'Model inputs'!K95&lt;=12))="",FALSE,IF(ISERROR('Model inputs'!K95&lt;=12),'Model inputs'!K95&lt;=12,IF('Model inputs'!K95="","",'Model inputs'!K95&lt;=12))),'Model inputs'!AM105+('Model inputs'!AM100-'Model inputs'!AM105)*('Model inputs'!K95-6)/6,IF(IF(IF(ISERROR('Model inputs'!K95&lt;=18),'Model inputs'!K95&lt;=18,IF('Model inputs'!K95="","",'Model inputs'!K95&lt;=18))="",FALSE,IF(ISERROR('Model inputs'!K95&lt;=18),'Model inputs'!K95&lt;=18,IF('Model inputs'!K95="","",'Model inputs'!K95&lt;=18))),'Model inputs'!AM100+('Model inputs'!AM101-'Model inputs'!AM100)*('Model inputs'!K95-12)/6,IF(IF(IF(ISERROR('Model inputs'!K95&lt;=24),'Model inputs'!K95&lt;=24,IF('Model inputs'!K95="","",'Model inputs'!K95&lt;=24))="",FALSE,IF(ISERROR('Model inputs'!K95&lt;=24),'Model inputs'!K95&lt;=24,IF('Model inputs'!K95="","",'Model inputs'!K95&lt;=24))),'Model inputs'!AM101+('Model inputs'!AM102-'Model inputs'!AM101)*('Model inputs'!K95-18)/6,IF(IF(IF(ISERROR('Model inputs'!K95&lt;=30),'Model inputs'!K95&lt;=30,IF('Model inputs'!K95="","",'Model inputs'!K95&lt;=30))="",FALSE,IF(ISERROR('Model inputs'!K95&lt;=30),'Model inputs'!K95&lt;=30,IF('Model inputs'!K95="","",'Model inputs'!K95&lt;=30))),'Model inputs'!AM102+('Model inputs'!AM103-'Model inputs'!AM102)*('Model inputs'!K95-24)/6,IF(IF(IF(ISERROR('Model inputs'!K95&lt;=36),'Model inputs'!K95&lt;=36,IF('Model inputs'!K95="","",'Model inputs'!K95&lt;=36))="",FALSE,IF(ISERROR('Model inputs'!K95&lt;=36),'Model inputs'!K95&lt;=36,IF('Model inputs'!K95="","",'Model inputs'!K95&lt;=36))),'Model inputs'!AM103+('Model inputs'!AM104-'Model inputs'!AM103)*('Model inputs'!K95-30)/6,IF('Model inputs'!AM104="","",'Model inputs'!AM104))))))))="",0,(IF(IF(IF(ISERROR('Model inputs'!K95&lt;=6),'Model inputs'!K95&lt;=6,IF('Model inputs'!K95="","",'Model inputs'!K95&lt;=6))="",FALSE,IF(ISERROR('Model inputs'!K95&lt;=6),'Model inputs'!K95&lt;=6,IF('Model inputs'!K95="","",'Model inputs'!K95&lt;=6))),'Model inputs'!AM99+('Model inputs'!AM105-'Model inputs'!AM99)*('Model inputs'!K95-0)/6,IF(IF(IF(ISERROR('Model inputs'!K95&lt;=12),'Model inputs'!K95&lt;=12,IF('Model inputs'!K95="","",'Model inputs'!K95&lt;=12))="",FALSE,IF(ISERROR('Model inputs'!K95&lt;=12),'Model inputs'!K95&lt;=12,IF('Model inputs'!K95="","",'Model inputs'!K95&lt;=12))),'Model inputs'!AM105+('Model inputs'!AM100-'Model inputs'!AM105)*('Model inputs'!K95-6)/6,IF(IF(IF(ISERROR('Model inputs'!K95&lt;=18),'Model inputs'!K95&lt;=18,IF('Model inputs'!K95="","",'Model inputs'!K95&lt;=18))="",FALSE,IF(ISERROR('Model inputs'!K95&lt;=18),'Model inputs'!K95&lt;=18,IF('Model inputs'!K95="","",'Model inputs'!K95&lt;=18))),'Model inputs'!AM100+('Model inputs'!AM101-'Model inputs'!AM100)*('Model inputs'!K95-12)/6,IF(IF(IF(ISERROR('Model inputs'!K95&lt;=24),'Model inputs'!K95&lt;=24,IF('Model inputs'!K95="","",'Model inputs'!K95&lt;=24))="",FALSE,IF(ISERROR('Model inputs'!K95&lt;=24),'Model inputs'!K95&lt;=24,IF('Model inputs'!K95="","",'Model inputs'!K95&lt;=24))),'Model inputs'!AM101+('Model inputs'!AM102-'Model inputs'!AM101)*('Model inputs'!K95-18)/6,IF(IF(IF(ISERROR('Model inputs'!K95&lt;=30),'Model inputs'!K95&lt;=30,IF('Model inputs'!K95="","",'Model inputs'!K95&lt;=30))="",FALSE,IF(ISERROR('Model inputs'!K95&lt;=30),'Model inputs'!K95&lt;=30,IF('Model inputs'!K95="","",'Model inputs'!K95&lt;=30))),'Model inputs'!AM102+('Model inputs'!AM103-'Model inputs'!AM102)*('Model inputs'!K95-24)/6,IF(IF(IF(ISERROR('Model inputs'!K95&lt;=36),'Model inputs'!K95&lt;=36,IF('Model inputs'!K95="","",'Model inputs'!K95&lt;=36))="",FALSE,IF(ISERROR('Model inputs'!K95&lt;=36),'Model inputs'!K95&lt;=36,IF('Model inputs'!K95="","",'Model inputs'!K95&lt;=36))),'Model inputs'!AM103+('Model inputs'!AM104-'Model inputs'!AM103)*('Model inputs'!K95-30)/6,IF('Model inputs'!AM104="","",'Model inputs'!AM104)))))))))*'Model inputs'!AM93</f>
      </c>
    </row>
    <row r="2172">
      <c r="A2172" t="inlineStr" s="25">
        <is>
          <t xml:space="preserve">Calculation</t>
        </is>
      </c>
      <c r="B2172">
        <f>IF((IF(IF(IF(ISERROR('Model inputs'!L95&lt;=6),'Model inputs'!L95&lt;=6,IF('Model inputs'!L95="","",'Model inputs'!L95&lt;=6))="",FALSE,IF(ISERROR('Model inputs'!L95&lt;=6),'Model inputs'!L95&lt;=6,IF('Model inputs'!L95="","",'Model inputs'!L95&lt;=6))),'Model inputs'!AM99+('Model inputs'!AM105-'Model inputs'!AM99)*('Model inputs'!L95-0)/6,IF(IF(IF(ISERROR('Model inputs'!L95&lt;=12),'Model inputs'!L95&lt;=12,IF('Model inputs'!L95="","",'Model inputs'!L95&lt;=12))="",FALSE,IF(ISERROR('Model inputs'!L95&lt;=12),'Model inputs'!L95&lt;=12,IF('Model inputs'!L95="","",'Model inputs'!L95&lt;=12))),'Model inputs'!AM105+('Model inputs'!AM100-'Model inputs'!AM105)*('Model inputs'!L95-6)/6,IF(IF(IF(ISERROR('Model inputs'!L95&lt;=18),'Model inputs'!L95&lt;=18,IF('Model inputs'!L95="","",'Model inputs'!L95&lt;=18))="",FALSE,IF(ISERROR('Model inputs'!L95&lt;=18),'Model inputs'!L95&lt;=18,IF('Model inputs'!L95="","",'Model inputs'!L95&lt;=18))),'Model inputs'!AM100+('Model inputs'!AM101-'Model inputs'!AM100)*('Model inputs'!L95-12)/6,IF(IF(IF(ISERROR('Model inputs'!L95&lt;=24),'Model inputs'!L95&lt;=24,IF('Model inputs'!L95="","",'Model inputs'!L95&lt;=24))="",FALSE,IF(ISERROR('Model inputs'!L95&lt;=24),'Model inputs'!L95&lt;=24,IF('Model inputs'!L95="","",'Model inputs'!L95&lt;=24))),'Model inputs'!AM101+('Model inputs'!AM102-'Model inputs'!AM101)*('Model inputs'!L95-18)/6,IF(IF(IF(ISERROR('Model inputs'!L95&lt;=30),'Model inputs'!L95&lt;=30,IF('Model inputs'!L95="","",'Model inputs'!L95&lt;=30))="",FALSE,IF(ISERROR('Model inputs'!L95&lt;=30),'Model inputs'!L95&lt;=30,IF('Model inputs'!L95="","",'Model inputs'!L95&lt;=30))),'Model inputs'!AM102+('Model inputs'!AM103-'Model inputs'!AM102)*('Model inputs'!L95-24)/6,IF(IF(IF(ISERROR('Model inputs'!L95&lt;=36),'Model inputs'!L95&lt;=36,IF('Model inputs'!L95="","",'Model inputs'!L95&lt;=36))="",FALSE,IF(ISERROR('Model inputs'!L95&lt;=36),'Model inputs'!L95&lt;=36,IF('Model inputs'!L95="","",'Model inputs'!L95&lt;=36))),'Model inputs'!AM103+('Model inputs'!AM104-'Model inputs'!AM103)*('Model inputs'!L95-30)/6,IF('Model inputs'!AM104="","",'Model inputs'!AM104))))))))="",0,(IF(IF(IF(ISERROR('Model inputs'!L95&lt;=6),'Model inputs'!L95&lt;=6,IF('Model inputs'!L95="","",'Model inputs'!L95&lt;=6))="",FALSE,IF(ISERROR('Model inputs'!L95&lt;=6),'Model inputs'!L95&lt;=6,IF('Model inputs'!L95="","",'Model inputs'!L95&lt;=6))),'Model inputs'!AM99+('Model inputs'!AM105-'Model inputs'!AM99)*('Model inputs'!L95-0)/6,IF(IF(IF(ISERROR('Model inputs'!L95&lt;=12),'Model inputs'!L95&lt;=12,IF('Model inputs'!L95="","",'Model inputs'!L95&lt;=12))="",FALSE,IF(ISERROR('Model inputs'!L95&lt;=12),'Model inputs'!L95&lt;=12,IF('Model inputs'!L95="","",'Model inputs'!L95&lt;=12))),'Model inputs'!AM105+('Model inputs'!AM100-'Model inputs'!AM105)*('Model inputs'!L95-6)/6,IF(IF(IF(ISERROR('Model inputs'!L95&lt;=18),'Model inputs'!L95&lt;=18,IF('Model inputs'!L95="","",'Model inputs'!L95&lt;=18))="",FALSE,IF(ISERROR('Model inputs'!L95&lt;=18),'Model inputs'!L95&lt;=18,IF('Model inputs'!L95="","",'Model inputs'!L95&lt;=18))),'Model inputs'!AM100+('Model inputs'!AM101-'Model inputs'!AM100)*('Model inputs'!L95-12)/6,IF(IF(IF(ISERROR('Model inputs'!L95&lt;=24),'Model inputs'!L95&lt;=24,IF('Model inputs'!L95="","",'Model inputs'!L95&lt;=24))="",FALSE,IF(ISERROR('Model inputs'!L95&lt;=24),'Model inputs'!L95&lt;=24,IF('Model inputs'!L95="","",'Model inputs'!L95&lt;=24))),'Model inputs'!AM101+('Model inputs'!AM102-'Model inputs'!AM101)*('Model inputs'!L95-18)/6,IF(IF(IF(ISERROR('Model inputs'!L95&lt;=30),'Model inputs'!L95&lt;=30,IF('Model inputs'!L95="","",'Model inputs'!L95&lt;=30))="",FALSE,IF(ISERROR('Model inputs'!L95&lt;=30),'Model inputs'!L95&lt;=30,IF('Model inputs'!L95="","",'Model inputs'!L95&lt;=30))),'Model inputs'!AM102+('Model inputs'!AM103-'Model inputs'!AM102)*('Model inputs'!L95-24)/6,IF(IF(IF(ISERROR('Model inputs'!L95&lt;=36),'Model inputs'!L95&lt;=36,IF('Model inputs'!L95="","",'Model inputs'!L95&lt;=36))="",FALSE,IF(ISERROR('Model inputs'!L95&lt;=36),'Model inputs'!L95&lt;=36,IF('Model inputs'!L95="","",'Model inputs'!L95&lt;=36))),'Model inputs'!AM103+('Model inputs'!AM104-'Model inputs'!AM103)*('Model inputs'!L95-30)/6,IF('Model inputs'!AM104="","",'Model inputs'!AM104)))))))))*'Model inputs'!AM93</f>
      </c>
    </row>
    <row r="2173">
      <c r="A2173" t="inlineStr" s="25">
        <is>
          <t xml:space="preserve">Calculation</t>
        </is>
      </c>
      <c r="B2173">
        <f>IF((IF(IF(IF(ISERROR('Model inputs'!M95&lt;=6),'Model inputs'!M95&lt;=6,IF('Model inputs'!M95="","",'Model inputs'!M95&lt;=6))="",FALSE,IF(ISERROR('Model inputs'!M95&lt;=6),'Model inputs'!M95&lt;=6,IF('Model inputs'!M95="","",'Model inputs'!M95&lt;=6))),'Model inputs'!AM99+('Model inputs'!AM105-'Model inputs'!AM99)*('Model inputs'!M95-0)/6,IF(IF(IF(ISERROR('Model inputs'!M95&lt;=12),'Model inputs'!M95&lt;=12,IF('Model inputs'!M95="","",'Model inputs'!M95&lt;=12))="",FALSE,IF(ISERROR('Model inputs'!M95&lt;=12),'Model inputs'!M95&lt;=12,IF('Model inputs'!M95="","",'Model inputs'!M95&lt;=12))),'Model inputs'!AM105+('Model inputs'!AM100-'Model inputs'!AM105)*('Model inputs'!M95-6)/6,IF(IF(IF(ISERROR('Model inputs'!M95&lt;=18),'Model inputs'!M95&lt;=18,IF('Model inputs'!M95="","",'Model inputs'!M95&lt;=18))="",FALSE,IF(ISERROR('Model inputs'!M95&lt;=18),'Model inputs'!M95&lt;=18,IF('Model inputs'!M95="","",'Model inputs'!M95&lt;=18))),'Model inputs'!AM100+('Model inputs'!AM101-'Model inputs'!AM100)*('Model inputs'!M95-12)/6,IF(IF(IF(ISERROR('Model inputs'!M95&lt;=24),'Model inputs'!M95&lt;=24,IF('Model inputs'!M95="","",'Model inputs'!M95&lt;=24))="",FALSE,IF(ISERROR('Model inputs'!M95&lt;=24),'Model inputs'!M95&lt;=24,IF('Model inputs'!M95="","",'Model inputs'!M95&lt;=24))),'Model inputs'!AM101+('Model inputs'!AM102-'Model inputs'!AM101)*('Model inputs'!M95-18)/6,IF(IF(IF(ISERROR('Model inputs'!M95&lt;=30),'Model inputs'!M95&lt;=30,IF('Model inputs'!M95="","",'Model inputs'!M95&lt;=30))="",FALSE,IF(ISERROR('Model inputs'!M95&lt;=30),'Model inputs'!M95&lt;=30,IF('Model inputs'!M95="","",'Model inputs'!M95&lt;=30))),'Model inputs'!AM102+('Model inputs'!AM103-'Model inputs'!AM102)*('Model inputs'!M95-24)/6,IF(IF(IF(ISERROR('Model inputs'!M95&lt;=36),'Model inputs'!M95&lt;=36,IF('Model inputs'!M95="","",'Model inputs'!M95&lt;=36))="",FALSE,IF(ISERROR('Model inputs'!M95&lt;=36),'Model inputs'!M95&lt;=36,IF('Model inputs'!M95="","",'Model inputs'!M95&lt;=36))),'Model inputs'!AM103+('Model inputs'!AM104-'Model inputs'!AM103)*('Model inputs'!M95-30)/6,IF('Model inputs'!AM104="","",'Model inputs'!AM104))))))))="",0,(IF(IF(IF(ISERROR('Model inputs'!M95&lt;=6),'Model inputs'!M95&lt;=6,IF('Model inputs'!M95="","",'Model inputs'!M95&lt;=6))="",FALSE,IF(ISERROR('Model inputs'!M95&lt;=6),'Model inputs'!M95&lt;=6,IF('Model inputs'!M95="","",'Model inputs'!M95&lt;=6))),'Model inputs'!AM99+('Model inputs'!AM105-'Model inputs'!AM99)*('Model inputs'!M95-0)/6,IF(IF(IF(ISERROR('Model inputs'!M95&lt;=12),'Model inputs'!M95&lt;=12,IF('Model inputs'!M95="","",'Model inputs'!M95&lt;=12))="",FALSE,IF(ISERROR('Model inputs'!M95&lt;=12),'Model inputs'!M95&lt;=12,IF('Model inputs'!M95="","",'Model inputs'!M95&lt;=12))),'Model inputs'!AM105+('Model inputs'!AM100-'Model inputs'!AM105)*('Model inputs'!M95-6)/6,IF(IF(IF(ISERROR('Model inputs'!M95&lt;=18),'Model inputs'!M95&lt;=18,IF('Model inputs'!M95="","",'Model inputs'!M95&lt;=18))="",FALSE,IF(ISERROR('Model inputs'!M95&lt;=18),'Model inputs'!M95&lt;=18,IF('Model inputs'!M95="","",'Model inputs'!M95&lt;=18))),'Model inputs'!AM100+('Model inputs'!AM101-'Model inputs'!AM100)*('Model inputs'!M95-12)/6,IF(IF(IF(ISERROR('Model inputs'!M95&lt;=24),'Model inputs'!M95&lt;=24,IF('Model inputs'!M95="","",'Model inputs'!M95&lt;=24))="",FALSE,IF(ISERROR('Model inputs'!M95&lt;=24),'Model inputs'!M95&lt;=24,IF('Model inputs'!M95="","",'Model inputs'!M95&lt;=24))),'Model inputs'!AM101+('Model inputs'!AM102-'Model inputs'!AM101)*('Model inputs'!M95-18)/6,IF(IF(IF(ISERROR('Model inputs'!M95&lt;=30),'Model inputs'!M95&lt;=30,IF('Model inputs'!M95="","",'Model inputs'!M95&lt;=30))="",FALSE,IF(ISERROR('Model inputs'!M95&lt;=30),'Model inputs'!M95&lt;=30,IF('Model inputs'!M95="","",'Model inputs'!M95&lt;=30))),'Model inputs'!AM102+('Model inputs'!AM103-'Model inputs'!AM102)*('Model inputs'!M95-24)/6,IF(IF(IF(ISERROR('Model inputs'!M95&lt;=36),'Model inputs'!M95&lt;=36,IF('Model inputs'!M95="","",'Model inputs'!M95&lt;=36))="",FALSE,IF(ISERROR('Model inputs'!M95&lt;=36),'Model inputs'!M95&lt;=36,IF('Model inputs'!M95="","",'Model inputs'!M95&lt;=36))),'Model inputs'!AM103+('Model inputs'!AM104-'Model inputs'!AM103)*('Model inputs'!M95-30)/6,IF('Model inputs'!AM104="","",'Model inputs'!AM104)))))))))*'Model inputs'!AM93</f>
      </c>
    </row>
    <row r="2174">
      <c r="A2174" t="inlineStr" s="25">
        <is>
          <t xml:space="preserve">Calculation</t>
        </is>
      </c>
      <c r="B2174">
        <f>IF((IF(IF(IF(ISERROR('Model inputs'!N95&lt;=6),'Model inputs'!N95&lt;=6,IF('Model inputs'!N95="","",'Model inputs'!N95&lt;=6))="",FALSE,IF(ISERROR('Model inputs'!N95&lt;=6),'Model inputs'!N95&lt;=6,IF('Model inputs'!N95="","",'Model inputs'!N95&lt;=6))),'Model inputs'!AM99+('Model inputs'!AM105-'Model inputs'!AM99)*('Model inputs'!N95-0)/6,IF(IF(IF(ISERROR('Model inputs'!N95&lt;=12),'Model inputs'!N95&lt;=12,IF('Model inputs'!N95="","",'Model inputs'!N95&lt;=12))="",FALSE,IF(ISERROR('Model inputs'!N95&lt;=12),'Model inputs'!N95&lt;=12,IF('Model inputs'!N95="","",'Model inputs'!N95&lt;=12))),'Model inputs'!AM105+('Model inputs'!AM100-'Model inputs'!AM105)*('Model inputs'!N95-6)/6,IF(IF(IF(ISERROR('Model inputs'!N95&lt;=18),'Model inputs'!N95&lt;=18,IF('Model inputs'!N95="","",'Model inputs'!N95&lt;=18))="",FALSE,IF(ISERROR('Model inputs'!N95&lt;=18),'Model inputs'!N95&lt;=18,IF('Model inputs'!N95="","",'Model inputs'!N95&lt;=18))),'Model inputs'!AM100+('Model inputs'!AM101-'Model inputs'!AM100)*('Model inputs'!N95-12)/6,IF(IF(IF(ISERROR('Model inputs'!N95&lt;=24),'Model inputs'!N95&lt;=24,IF('Model inputs'!N95="","",'Model inputs'!N95&lt;=24))="",FALSE,IF(ISERROR('Model inputs'!N95&lt;=24),'Model inputs'!N95&lt;=24,IF('Model inputs'!N95="","",'Model inputs'!N95&lt;=24))),'Model inputs'!AM101+('Model inputs'!AM102-'Model inputs'!AM101)*('Model inputs'!N95-18)/6,IF(IF(IF(ISERROR('Model inputs'!N95&lt;=30),'Model inputs'!N95&lt;=30,IF('Model inputs'!N95="","",'Model inputs'!N95&lt;=30))="",FALSE,IF(ISERROR('Model inputs'!N95&lt;=30),'Model inputs'!N95&lt;=30,IF('Model inputs'!N95="","",'Model inputs'!N95&lt;=30))),'Model inputs'!AM102+('Model inputs'!AM103-'Model inputs'!AM102)*('Model inputs'!N95-24)/6,IF(IF(IF(ISERROR('Model inputs'!N95&lt;=36),'Model inputs'!N95&lt;=36,IF('Model inputs'!N95="","",'Model inputs'!N95&lt;=36))="",FALSE,IF(ISERROR('Model inputs'!N95&lt;=36),'Model inputs'!N95&lt;=36,IF('Model inputs'!N95="","",'Model inputs'!N95&lt;=36))),'Model inputs'!AM103+('Model inputs'!AM104-'Model inputs'!AM103)*('Model inputs'!N95-30)/6,IF('Model inputs'!AM104="","",'Model inputs'!AM104))))))))="",0,(IF(IF(IF(ISERROR('Model inputs'!N95&lt;=6),'Model inputs'!N95&lt;=6,IF('Model inputs'!N95="","",'Model inputs'!N95&lt;=6))="",FALSE,IF(ISERROR('Model inputs'!N95&lt;=6),'Model inputs'!N95&lt;=6,IF('Model inputs'!N95="","",'Model inputs'!N95&lt;=6))),'Model inputs'!AM99+('Model inputs'!AM105-'Model inputs'!AM99)*('Model inputs'!N95-0)/6,IF(IF(IF(ISERROR('Model inputs'!N95&lt;=12),'Model inputs'!N95&lt;=12,IF('Model inputs'!N95="","",'Model inputs'!N95&lt;=12))="",FALSE,IF(ISERROR('Model inputs'!N95&lt;=12),'Model inputs'!N95&lt;=12,IF('Model inputs'!N95="","",'Model inputs'!N95&lt;=12))),'Model inputs'!AM105+('Model inputs'!AM100-'Model inputs'!AM105)*('Model inputs'!N95-6)/6,IF(IF(IF(ISERROR('Model inputs'!N95&lt;=18),'Model inputs'!N95&lt;=18,IF('Model inputs'!N95="","",'Model inputs'!N95&lt;=18))="",FALSE,IF(ISERROR('Model inputs'!N95&lt;=18),'Model inputs'!N95&lt;=18,IF('Model inputs'!N95="","",'Model inputs'!N95&lt;=18))),'Model inputs'!AM100+('Model inputs'!AM101-'Model inputs'!AM100)*('Model inputs'!N95-12)/6,IF(IF(IF(ISERROR('Model inputs'!N95&lt;=24),'Model inputs'!N95&lt;=24,IF('Model inputs'!N95="","",'Model inputs'!N95&lt;=24))="",FALSE,IF(ISERROR('Model inputs'!N95&lt;=24),'Model inputs'!N95&lt;=24,IF('Model inputs'!N95="","",'Model inputs'!N95&lt;=24))),'Model inputs'!AM101+('Model inputs'!AM102-'Model inputs'!AM101)*('Model inputs'!N95-18)/6,IF(IF(IF(ISERROR('Model inputs'!N95&lt;=30),'Model inputs'!N95&lt;=30,IF('Model inputs'!N95="","",'Model inputs'!N95&lt;=30))="",FALSE,IF(ISERROR('Model inputs'!N95&lt;=30),'Model inputs'!N95&lt;=30,IF('Model inputs'!N95="","",'Model inputs'!N95&lt;=30))),'Model inputs'!AM102+('Model inputs'!AM103-'Model inputs'!AM102)*('Model inputs'!N95-24)/6,IF(IF(IF(ISERROR('Model inputs'!N95&lt;=36),'Model inputs'!N95&lt;=36,IF('Model inputs'!N95="","",'Model inputs'!N95&lt;=36))="",FALSE,IF(ISERROR('Model inputs'!N95&lt;=36),'Model inputs'!N95&lt;=36,IF('Model inputs'!N95="","",'Model inputs'!N95&lt;=36))),'Model inputs'!AM103+('Model inputs'!AM104-'Model inputs'!AM103)*('Model inputs'!N95-30)/6,IF('Model inputs'!AM104="","",'Model inputs'!AM104)))))))))*'Model inputs'!AM93</f>
      </c>
    </row>
    <row r="2175">
      <c r="A2175" t="inlineStr" s="25">
        <is>
          <t xml:space="preserve">Calculation</t>
        </is>
      </c>
      <c r="B2175">
        <f>IF((IF(IF(IF(ISERROR('Model inputs'!O95&lt;=6),'Model inputs'!O95&lt;=6,IF('Model inputs'!O95="","",'Model inputs'!O95&lt;=6))="",FALSE,IF(ISERROR('Model inputs'!O95&lt;=6),'Model inputs'!O95&lt;=6,IF('Model inputs'!O95="","",'Model inputs'!O95&lt;=6))),'Model inputs'!AM99+('Model inputs'!AM105-'Model inputs'!AM99)*('Model inputs'!O95-0)/6,IF(IF(IF(ISERROR('Model inputs'!O95&lt;=12),'Model inputs'!O95&lt;=12,IF('Model inputs'!O95="","",'Model inputs'!O95&lt;=12))="",FALSE,IF(ISERROR('Model inputs'!O95&lt;=12),'Model inputs'!O95&lt;=12,IF('Model inputs'!O95="","",'Model inputs'!O95&lt;=12))),'Model inputs'!AM105+('Model inputs'!AM100-'Model inputs'!AM105)*('Model inputs'!O95-6)/6,IF(IF(IF(ISERROR('Model inputs'!O95&lt;=18),'Model inputs'!O95&lt;=18,IF('Model inputs'!O95="","",'Model inputs'!O95&lt;=18))="",FALSE,IF(ISERROR('Model inputs'!O95&lt;=18),'Model inputs'!O95&lt;=18,IF('Model inputs'!O95="","",'Model inputs'!O95&lt;=18))),'Model inputs'!AM100+('Model inputs'!AM101-'Model inputs'!AM100)*('Model inputs'!O95-12)/6,IF(IF(IF(ISERROR('Model inputs'!O95&lt;=24),'Model inputs'!O95&lt;=24,IF('Model inputs'!O95="","",'Model inputs'!O95&lt;=24))="",FALSE,IF(ISERROR('Model inputs'!O95&lt;=24),'Model inputs'!O95&lt;=24,IF('Model inputs'!O95="","",'Model inputs'!O95&lt;=24))),'Model inputs'!AM101+('Model inputs'!AM102-'Model inputs'!AM101)*('Model inputs'!O95-18)/6,IF(IF(IF(ISERROR('Model inputs'!O95&lt;=30),'Model inputs'!O95&lt;=30,IF('Model inputs'!O95="","",'Model inputs'!O95&lt;=30))="",FALSE,IF(ISERROR('Model inputs'!O95&lt;=30),'Model inputs'!O95&lt;=30,IF('Model inputs'!O95="","",'Model inputs'!O95&lt;=30))),'Model inputs'!AM102+('Model inputs'!AM103-'Model inputs'!AM102)*('Model inputs'!O95-24)/6,IF(IF(IF(ISERROR('Model inputs'!O95&lt;=36),'Model inputs'!O95&lt;=36,IF('Model inputs'!O95="","",'Model inputs'!O95&lt;=36))="",FALSE,IF(ISERROR('Model inputs'!O95&lt;=36),'Model inputs'!O95&lt;=36,IF('Model inputs'!O95="","",'Model inputs'!O95&lt;=36))),'Model inputs'!AM103+('Model inputs'!AM104-'Model inputs'!AM103)*('Model inputs'!O95-30)/6,IF('Model inputs'!AM104="","",'Model inputs'!AM104))))))))="",0,(IF(IF(IF(ISERROR('Model inputs'!O95&lt;=6),'Model inputs'!O95&lt;=6,IF('Model inputs'!O95="","",'Model inputs'!O95&lt;=6))="",FALSE,IF(ISERROR('Model inputs'!O95&lt;=6),'Model inputs'!O95&lt;=6,IF('Model inputs'!O95="","",'Model inputs'!O95&lt;=6))),'Model inputs'!AM99+('Model inputs'!AM105-'Model inputs'!AM99)*('Model inputs'!O95-0)/6,IF(IF(IF(ISERROR('Model inputs'!O95&lt;=12),'Model inputs'!O95&lt;=12,IF('Model inputs'!O95="","",'Model inputs'!O95&lt;=12))="",FALSE,IF(ISERROR('Model inputs'!O95&lt;=12),'Model inputs'!O95&lt;=12,IF('Model inputs'!O95="","",'Model inputs'!O95&lt;=12))),'Model inputs'!AM105+('Model inputs'!AM100-'Model inputs'!AM105)*('Model inputs'!O95-6)/6,IF(IF(IF(ISERROR('Model inputs'!O95&lt;=18),'Model inputs'!O95&lt;=18,IF('Model inputs'!O95="","",'Model inputs'!O95&lt;=18))="",FALSE,IF(ISERROR('Model inputs'!O95&lt;=18),'Model inputs'!O95&lt;=18,IF('Model inputs'!O95="","",'Model inputs'!O95&lt;=18))),'Model inputs'!AM100+('Model inputs'!AM101-'Model inputs'!AM100)*('Model inputs'!O95-12)/6,IF(IF(IF(ISERROR('Model inputs'!O95&lt;=24),'Model inputs'!O95&lt;=24,IF('Model inputs'!O95="","",'Model inputs'!O95&lt;=24))="",FALSE,IF(ISERROR('Model inputs'!O95&lt;=24),'Model inputs'!O95&lt;=24,IF('Model inputs'!O95="","",'Model inputs'!O95&lt;=24))),'Model inputs'!AM101+('Model inputs'!AM102-'Model inputs'!AM101)*('Model inputs'!O95-18)/6,IF(IF(IF(ISERROR('Model inputs'!O95&lt;=30),'Model inputs'!O95&lt;=30,IF('Model inputs'!O95="","",'Model inputs'!O95&lt;=30))="",FALSE,IF(ISERROR('Model inputs'!O95&lt;=30),'Model inputs'!O95&lt;=30,IF('Model inputs'!O95="","",'Model inputs'!O95&lt;=30))),'Model inputs'!AM102+('Model inputs'!AM103-'Model inputs'!AM102)*('Model inputs'!O95-24)/6,IF(IF(IF(ISERROR('Model inputs'!O95&lt;=36),'Model inputs'!O95&lt;=36,IF('Model inputs'!O95="","",'Model inputs'!O95&lt;=36))="",FALSE,IF(ISERROR('Model inputs'!O95&lt;=36),'Model inputs'!O95&lt;=36,IF('Model inputs'!O95="","",'Model inputs'!O95&lt;=36))),'Model inputs'!AM103+('Model inputs'!AM104-'Model inputs'!AM103)*('Model inputs'!O95-30)/6,IF('Model inputs'!AM104="","",'Model inputs'!AM104)))))))))*'Model inputs'!AM93</f>
      </c>
    </row>
    <row r="2176">
      <c r="A2176" t="inlineStr" s="25">
        <is>
          <t xml:space="preserve">Calculation</t>
        </is>
      </c>
      <c r="B2176">
        <f>IF((IF(IF(IF(ISERROR('Model inputs'!P95&lt;=6),'Model inputs'!P95&lt;=6,IF('Model inputs'!P95="","",'Model inputs'!P95&lt;=6))="",FALSE,IF(ISERROR('Model inputs'!P95&lt;=6),'Model inputs'!P95&lt;=6,IF('Model inputs'!P95="","",'Model inputs'!P95&lt;=6))),'Model inputs'!AM99+('Model inputs'!AM105-'Model inputs'!AM99)*('Model inputs'!P95-0)/6,IF(IF(IF(ISERROR('Model inputs'!P95&lt;=12),'Model inputs'!P95&lt;=12,IF('Model inputs'!P95="","",'Model inputs'!P95&lt;=12))="",FALSE,IF(ISERROR('Model inputs'!P95&lt;=12),'Model inputs'!P95&lt;=12,IF('Model inputs'!P95="","",'Model inputs'!P95&lt;=12))),'Model inputs'!AM105+('Model inputs'!AM100-'Model inputs'!AM105)*('Model inputs'!P95-6)/6,IF(IF(IF(ISERROR('Model inputs'!P95&lt;=18),'Model inputs'!P95&lt;=18,IF('Model inputs'!P95="","",'Model inputs'!P95&lt;=18))="",FALSE,IF(ISERROR('Model inputs'!P95&lt;=18),'Model inputs'!P95&lt;=18,IF('Model inputs'!P95="","",'Model inputs'!P95&lt;=18))),'Model inputs'!AM100+('Model inputs'!AM101-'Model inputs'!AM100)*('Model inputs'!P95-12)/6,IF(IF(IF(ISERROR('Model inputs'!P95&lt;=24),'Model inputs'!P95&lt;=24,IF('Model inputs'!P95="","",'Model inputs'!P95&lt;=24))="",FALSE,IF(ISERROR('Model inputs'!P95&lt;=24),'Model inputs'!P95&lt;=24,IF('Model inputs'!P95="","",'Model inputs'!P95&lt;=24))),'Model inputs'!AM101+('Model inputs'!AM102-'Model inputs'!AM101)*('Model inputs'!P95-18)/6,IF(IF(IF(ISERROR('Model inputs'!P95&lt;=30),'Model inputs'!P95&lt;=30,IF('Model inputs'!P95="","",'Model inputs'!P95&lt;=30))="",FALSE,IF(ISERROR('Model inputs'!P95&lt;=30),'Model inputs'!P95&lt;=30,IF('Model inputs'!P95="","",'Model inputs'!P95&lt;=30))),'Model inputs'!AM102+('Model inputs'!AM103-'Model inputs'!AM102)*('Model inputs'!P95-24)/6,IF(IF(IF(ISERROR('Model inputs'!P95&lt;=36),'Model inputs'!P95&lt;=36,IF('Model inputs'!P95="","",'Model inputs'!P95&lt;=36))="",FALSE,IF(ISERROR('Model inputs'!P95&lt;=36),'Model inputs'!P95&lt;=36,IF('Model inputs'!P95="","",'Model inputs'!P95&lt;=36))),'Model inputs'!AM103+('Model inputs'!AM104-'Model inputs'!AM103)*('Model inputs'!P95-30)/6,IF('Model inputs'!AM104="","",'Model inputs'!AM104))))))))="",0,(IF(IF(IF(ISERROR('Model inputs'!P95&lt;=6),'Model inputs'!P95&lt;=6,IF('Model inputs'!P95="","",'Model inputs'!P95&lt;=6))="",FALSE,IF(ISERROR('Model inputs'!P95&lt;=6),'Model inputs'!P95&lt;=6,IF('Model inputs'!P95="","",'Model inputs'!P95&lt;=6))),'Model inputs'!AM99+('Model inputs'!AM105-'Model inputs'!AM99)*('Model inputs'!P95-0)/6,IF(IF(IF(ISERROR('Model inputs'!P95&lt;=12),'Model inputs'!P95&lt;=12,IF('Model inputs'!P95="","",'Model inputs'!P95&lt;=12))="",FALSE,IF(ISERROR('Model inputs'!P95&lt;=12),'Model inputs'!P95&lt;=12,IF('Model inputs'!P95="","",'Model inputs'!P95&lt;=12))),'Model inputs'!AM105+('Model inputs'!AM100-'Model inputs'!AM105)*('Model inputs'!P95-6)/6,IF(IF(IF(ISERROR('Model inputs'!P95&lt;=18),'Model inputs'!P95&lt;=18,IF('Model inputs'!P95="","",'Model inputs'!P95&lt;=18))="",FALSE,IF(ISERROR('Model inputs'!P95&lt;=18),'Model inputs'!P95&lt;=18,IF('Model inputs'!P95="","",'Model inputs'!P95&lt;=18))),'Model inputs'!AM100+('Model inputs'!AM101-'Model inputs'!AM100)*('Model inputs'!P95-12)/6,IF(IF(IF(ISERROR('Model inputs'!P95&lt;=24),'Model inputs'!P95&lt;=24,IF('Model inputs'!P95="","",'Model inputs'!P95&lt;=24))="",FALSE,IF(ISERROR('Model inputs'!P95&lt;=24),'Model inputs'!P95&lt;=24,IF('Model inputs'!P95="","",'Model inputs'!P95&lt;=24))),'Model inputs'!AM101+('Model inputs'!AM102-'Model inputs'!AM101)*('Model inputs'!P95-18)/6,IF(IF(IF(ISERROR('Model inputs'!P95&lt;=30),'Model inputs'!P95&lt;=30,IF('Model inputs'!P95="","",'Model inputs'!P95&lt;=30))="",FALSE,IF(ISERROR('Model inputs'!P95&lt;=30),'Model inputs'!P95&lt;=30,IF('Model inputs'!P95="","",'Model inputs'!P95&lt;=30))),'Model inputs'!AM102+('Model inputs'!AM103-'Model inputs'!AM102)*('Model inputs'!P95-24)/6,IF(IF(IF(ISERROR('Model inputs'!P95&lt;=36),'Model inputs'!P95&lt;=36,IF('Model inputs'!P95="","",'Model inputs'!P95&lt;=36))="",FALSE,IF(ISERROR('Model inputs'!P95&lt;=36),'Model inputs'!P95&lt;=36,IF('Model inputs'!P95="","",'Model inputs'!P95&lt;=36))),'Model inputs'!AM103+('Model inputs'!AM104-'Model inputs'!AM103)*('Model inputs'!P95-30)/6,IF('Model inputs'!AM104="","",'Model inputs'!AM104)))))))))*'Model inputs'!AM93</f>
      </c>
    </row>
    <row r="2177">
      <c r="A2177" t="inlineStr" s="25">
        <is>
          <t xml:space="preserve">Calculation</t>
        </is>
      </c>
      <c r="B2177">
        <f>IF((IF(IF(IF(ISERROR('Model inputs'!Q95&lt;=6),'Model inputs'!Q95&lt;=6,IF('Model inputs'!Q95="","",'Model inputs'!Q95&lt;=6))="",FALSE,IF(ISERROR('Model inputs'!Q95&lt;=6),'Model inputs'!Q95&lt;=6,IF('Model inputs'!Q95="","",'Model inputs'!Q95&lt;=6))),'Model inputs'!AM99+('Model inputs'!AM105-'Model inputs'!AM99)*('Model inputs'!Q95-0)/6,IF(IF(IF(ISERROR('Model inputs'!Q95&lt;=12),'Model inputs'!Q95&lt;=12,IF('Model inputs'!Q95="","",'Model inputs'!Q95&lt;=12))="",FALSE,IF(ISERROR('Model inputs'!Q95&lt;=12),'Model inputs'!Q95&lt;=12,IF('Model inputs'!Q95="","",'Model inputs'!Q95&lt;=12))),'Model inputs'!AM105+('Model inputs'!AM100-'Model inputs'!AM105)*('Model inputs'!Q95-6)/6,IF(IF(IF(ISERROR('Model inputs'!Q95&lt;=18),'Model inputs'!Q95&lt;=18,IF('Model inputs'!Q95="","",'Model inputs'!Q95&lt;=18))="",FALSE,IF(ISERROR('Model inputs'!Q95&lt;=18),'Model inputs'!Q95&lt;=18,IF('Model inputs'!Q95="","",'Model inputs'!Q95&lt;=18))),'Model inputs'!AM100+('Model inputs'!AM101-'Model inputs'!AM100)*('Model inputs'!Q95-12)/6,IF(IF(IF(ISERROR('Model inputs'!Q95&lt;=24),'Model inputs'!Q95&lt;=24,IF('Model inputs'!Q95="","",'Model inputs'!Q95&lt;=24))="",FALSE,IF(ISERROR('Model inputs'!Q95&lt;=24),'Model inputs'!Q95&lt;=24,IF('Model inputs'!Q95="","",'Model inputs'!Q95&lt;=24))),'Model inputs'!AM101+('Model inputs'!AM102-'Model inputs'!AM101)*('Model inputs'!Q95-18)/6,IF(IF(IF(ISERROR('Model inputs'!Q95&lt;=30),'Model inputs'!Q95&lt;=30,IF('Model inputs'!Q95="","",'Model inputs'!Q95&lt;=30))="",FALSE,IF(ISERROR('Model inputs'!Q95&lt;=30),'Model inputs'!Q95&lt;=30,IF('Model inputs'!Q95="","",'Model inputs'!Q95&lt;=30))),'Model inputs'!AM102+('Model inputs'!AM103-'Model inputs'!AM102)*('Model inputs'!Q95-24)/6,IF(IF(IF(ISERROR('Model inputs'!Q95&lt;=36),'Model inputs'!Q95&lt;=36,IF('Model inputs'!Q95="","",'Model inputs'!Q95&lt;=36))="",FALSE,IF(ISERROR('Model inputs'!Q95&lt;=36),'Model inputs'!Q95&lt;=36,IF('Model inputs'!Q95="","",'Model inputs'!Q95&lt;=36))),'Model inputs'!AM103+('Model inputs'!AM104-'Model inputs'!AM103)*('Model inputs'!Q95-30)/6,IF('Model inputs'!AM104="","",'Model inputs'!AM104))))))))="",0,(IF(IF(IF(ISERROR('Model inputs'!Q95&lt;=6),'Model inputs'!Q95&lt;=6,IF('Model inputs'!Q95="","",'Model inputs'!Q95&lt;=6))="",FALSE,IF(ISERROR('Model inputs'!Q95&lt;=6),'Model inputs'!Q95&lt;=6,IF('Model inputs'!Q95="","",'Model inputs'!Q95&lt;=6))),'Model inputs'!AM99+('Model inputs'!AM105-'Model inputs'!AM99)*('Model inputs'!Q95-0)/6,IF(IF(IF(ISERROR('Model inputs'!Q95&lt;=12),'Model inputs'!Q95&lt;=12,IF('Model inputs'!Q95="","",'Model inputs'!Q95&lt;=12))="",FALSE,IF(ISERROR('Model inputs'!Q95&lt;=12),'Model inputs'!Q95&lt;=12,IF('Model inputs'!Q95="","",'Model inputs'!Q95&lt;=12))),'Model inputs'!AM105+('Model inputs'!AM100-'Model inputs'!AM105)*('Model inputs'!Q95-6)/6,IF(IF(IF(ISERROR('Model inputs'!Q95&lt;=18),'Model inputs'!Q95&lt;=18,IF('Model inputs'!Q95="","",'Model inputs'!Q95&lt;=18))="",FALSE,IF(ISERROR('Model inputs'!Q95&lt;=18),'Model inputs'!Q95&lt;=18,IF('Model inputs'!Q95="","",'Model inputs'!Q95&lt;=18))),'Model inputs'!AM100+('Model inputs'!AM101-'Model inputs'!AM100)*('Model inputs'!Q95-12)/6,IF(IF(IF(ISERROR('Model inputs'!Q95&lt;=24),'Model inputs'!Q95&lt;=24,IF('Model inputs'!Q95="","",'Model inputs'!Q95&lt;=24))="",FALSE,IF(ISERROR('Model inputs'!Q95&lt;=24),'Model inputs'!Q95&lt;=24,IF('Model inputs'!Q95="","",'Model inputs'!Q95&lt;=24))),'Model inputs'!AM101+('Model inputs'!AM102-'Model inputs'!AM101)*('Model inputs'!Q95-18)/6,IF(IF(IF(ISERROR('Model inputs'!Q95&lt;=30),'Model inputs'!Q95&lt;=30,IF('Model inputs'!Q95="","",'Model inputs'!Q95&lt;=30))="",FALSE,IF(ISERROR('Model inputs'!Q95&lt;=30),'Model inputs'!Q95&lt;=30,IF('Model inputs'!Q95="","",'Model inputs'!Q95&lt;=30))),'Model inputs'!AM102+('Model inputs'!AM103-'Model inputs'!AM102)*('Model inputs'!Q95-24)/6,IF(IF(IF(ISERROR('Model inputs'!Q95&lt;=36),'Model inputs'!Q95&lt;=36,IF('Model inputs'!Q95="","",'Model inputs'!Q95&lt;=36))="",FALSE,IF(ISERROR('Model inputs'!Q95&lt;=36),'Model inputs'!Q95&lt;=36,IF('Model inputs'!Q95="","",'Model inputs'!Q95&lt;=36))),'Model inputs'!AM103+('Model inputs'!AM104-'Model inputs'!AM103)*('Model inputs'!Q95-30)/6,IF('Model inputs'!AM104="","",'Model inputs'!AM104)))))))))*'Model inputs'!AM93</f>
      </c>
    </row>
    <row r="2178">
      <c r="A2178" t="inlineStr" s="25">
        <is>
          <t xml:space="preserve">Calculation</t>
        </is>
      </c>
      <c r="B2178">
        <f>IF((IF(IF(IF(ISERROR('Model inputs'!R95&lt;=6),'Model inputs'!R95&lt;=6,IF('Model inputs'!R95="","",'Model inputs'!R95&lt;=6))="",FALSE,IF(ISERROR('Model inputs'!R95&lt;=6),'Model inputs'!R95&lt;=6,IF('Model inputs'!R95="","",'Model inputs'!R95&lt;=6))),'Model inputs'!AM99+('Model inputs'!AM105-'Model inputs'!AM99)*('Model inputs'!R95-0)/6,IF(IF(IF(ISERROR('Model inputs'!R95&lt;=12),'Model inputs'!R95&lt;=12,IF('Model inputs'!R95="","",'Model inputs'!R95&lt;=12))="",FALSE,IF(ISERROR('Model inputs'!R95&lt;=12),'Model inputs'!R95&lt;=12,IF('Model inputs'!R95="","",'Model inputs'!R95&lt;=12))),'Model inputs'!AM105+('Model inputs'!AM100-'Model inputs'!AM105)*('Model inputs'!R95-6)/6,IF(IF(IF(ISERROR('Model inputs'!R95&lt;=18),'Model inputs'!R95&lt;=18,IF('Model inputs'!R95="","",'Model inputs'!R95&lt;=18))="",FALSE,IF(ISERROR('Model inputs'!R95&lt;=18),'Model inputs'!R95&lt;=18,IF('Model inputs'!R95="","",'Model inputs'!R95&lt;=18))),'Model inputs'!AM100+('Model inputs'!AM101-'Model inputs'!AM100)*('Model inputs'!R95-12)/6,IF(IF(IF(ISERROR('Model inputs'!R95&lt;=24),'Model inputs'!R95&lt;=24,IF('Model inputs'!R95="","",'Model inputs'!R95&lt;=24))="",FALSE,IF(ISERROR('Model inputs'!R95&lt;=24),'Model inputs'!R95&lt;=24,IF('Model inputs'!R95="","",'Model inputs'!R95&lt;=24))),'Model inputs'!AM101+('Model inputs'!AM102-'Model inputs'!AM101)*('Model inputs'!R95-18)/6,IF(IF(IF(ISERROR('Model inputs'!R95&lt;=30),'Model inputs'!R95&lt;=30,IF('Model inputs'!R95="","",'Model inputs'!R95&lt;=30))="",FALSE,IF(ISERROR('Model inputs'!R95&lt;=30),'Model inputs'!R95&lt;=30,IF('Model inputs'!R95="","",'Model inputs'!R95&lt;=30))),'Model inputs'!AM102+('Model inputs'!AM103-'Model inputs'!AM102)*('Model inputs'!R95-24)/6,IF(IF(IF(ISERROR('Model inputs'!R95&lt;=36),'Model inputs'!R95&lt;=36,IF('Model inputs'!R95="","",'Model inputs'!R95&lt;=36))="",FALSE,IF(ISERROR('Model inputs'!R95&lt;=36),'Model inputs'!R95&lt;=36,IF('Model inputs'!R95="","",'Model inputs'!R95&lt;=36))),'Model inputs'!AM103+('Model inputs'!AM104-'Model inputs'!AM103)*('Model inputs'!R95-30)/6,IF('Model inputs'!AM104="","",'Model inputs'!AM104))))))))="",0,(IF(IF(IF(ISERROR('Model inputs'!R95&lt;=6),'Model inputs'!R95&lt;=6,IF('Model inputs'!R95="","",'Model inputs'!R95&lt;=6))="",FALSE,IF(ISERROR('Model inputs'!R95&lt;=6),'Model inputs'!R95&lt;=6,IF('Model inputs'!R95="","",'Model inputs'!R95&lt;=6))),'Model inputs'!AM99+('Model inputs'!AM105-'Model inputs'!AM99)*('Model inputs'!R95-0)/6,IF(IF(IF(ISERROR('Model inputs'!R95&lt;=12),'Model inputs'!R95&lt;=12,IF('Model inputs'!R95="","",'Model inputs'!R95&lt;=12))="",FALSE,IF(ISERROR('Model inputs'!R95&lt;=12),'Model inputs'!R95&lt;=12,IF('Model inputs'!R95="","",'Model inputs'!R95&lt;=12))),'Model inputs'!AM105+('Model inputs'!AM100-'Model inputs'!AM105)*('Model inputs'!R95-6)/6,IF(IF(IF(ISERROR('Model inputs'!R95&lt;=18),'Model inputs'!R95&lt;=18,IF('Model inputs'!R95="","",'Model inputs'!R95&lt;=18))="",FALSE,IF(ISERROR('Model inputs'!R95&lt;=18),'Model inputs'!R95&lt;=18,IF('Model inputs'!R95="","",'Model inputs'!R95&lt;=18))),'Model inputs'!AM100+('Model inputs'!AM101-'Model inputs'!AM100)*('Model inputs'!R95-12)/6,IF(IF(IF(ISERROR('Model inputs'!R95&lt;=24),'Model inputs'!R95&lt;=24,IF('Model inputs'!R95="","",'Model inputs'!R95&lt;=24))="",FALSE,IF(ISERROR('Model inputs'!R95&lt;=24),'Model inputs'!R95&lt;=24,IF('Model inputs'!R95="","",'Model inputs'!R95&lt;=24))),'Model inputs'!AM101+('Model inputs'!AM102-'Model inputs'!AM101)*('Model inputs'!R95-18)/6,IF(IF(IF(ISERROR('Model inputs'!R95&lt;=30),'Model inputs'!R95&lt;=30,IF('Model inputs'!R95="","",'Model inputs'!R95&lt;=30))="",FALSE,IF(ISERROR('Model inputs'!R95&lt;=30),'Model inputs'!R95&lt;=30,IF('Model inputs'!R95="","",'Model inputs'!R95&lt;=30))),'Model inputs'!AM102+('Model inputs'!AM103-'Model inputs'!AM102)*('Model inputs'!R95-24)/6,IF(IF(IF(ISERROR('Model inputs'!R95&lt;=36),'Model inputs'!R95&lt;=36,IF('Model inputs'!R95="","",'Model inputs'!R95&lt;=36))="",FALSE,IF(ISERROR('Model inputs'!R95&lt;=36),'Model inputs'!R95&lt;=36,IF('Model inputs'!R95="","",'Model inputs'!R95&lt;=36))),'Model inputs'!AM103+('Model inputs'!AM104-'Model inputs'!AM103)*('Model inputs'!R95-30)/6,IF('Model inputs'!AM104="","",'Model inputs'!AM104)))))))))*'Model inputs'!AM93</f>
      </c>
    </row>
    <row r="2179">
      <c r="A2179" t="inlineStr" s="25">
        <is>
          <t xml:space="preserve">Calculation</t>
        </is>
      </c>
      <c r="B2179">
        <f>IF((IF(IF(IF(ISERROR('Model inputs'!S95&lt;=6),'Model inputs'!S95&lt;=6,IF('Model inputs'!S95="","",'Model inputs'!S95&lt;=6))="",FALSE,IF(ISERROR('Model inputs'!S95&lt;=6),'Model inputs'!S95&lt;=6,IF('Model inputs'!S95="","",'Model inputs'!S95&lt;=6))),'Model inputs'!AM99+('Model inputs'!AM105-'Model inputs'!AM99)*('Model inputs'!S95-0)/6,IF(IF(IF(ISERROR('Model inputs'!S95&lt;=12),'Model inputs'!S95&lt;=12,IF('Model inputs'!S95="","",'Model inputs'!S95&lt;=12))="",FALSE,IF(ISERROR('Model inputs'!S95&lt;=12),'Model inputs'!S95&lt;=12,IF('Model inputs'!S95="","",'Model inputs'!S95&lt;=12))),'Model inputs'!AM105+('Model inputs'!AM100-'Model inputs'!AM105)*('Model inputs'!S95-6)/6,IF(IF(IF(ISERROR('Model inputs'!S95&lt;=18),'Model inputs'!S95&lt;=18,IF('Model inputs'!S95="","",'Model inputs'!S95&lt;=18))="",FALSE,IF(ISERROR('Model inputs'!S95&lt;=18),'Model inputs'!S95&lt;=18,IF('Model inputs'!S95="","",'Model inputs'!S95&lt;=18))),'Model inputs'!AM100+('Model inputs'!AM101-'Model inputs'!AM100)*('Model inputs'!S95-12)/6,IF(IF(IF(ISERROR('Model inputs'!S95&lt;=24),'Model inputs'!S95&lt;=24,IF('Model inputs'!S95="","",'Model inputs'!S95&lt;=24))="",FALSE,IF(ISERROR('Model inputs'!S95&lt;=24),'Model inputs'!S95&lt;=24,IF('Model inputs'!S95="","",'Model inputs'!S95&lt;=24))),'Model inputs'!AM101+('Model inputs'!AM102-'Model inputs'!AM101)*('Model inputs'!S95-18)/6,IF(IF(IF(ISERROR('Model inputs'!S95&lt;=30),'Model inputs'!S95&lt;=30,IF('Model inputs'!S95="","",'Model inputs'!S95&lt;=30))="",FALSE,IF(ISERROR('Model inputs'!S95&lt;=30),'Model inputs'!S95&lt;=30,IF('Model inputs'!S95="","",'Model inputs'!S95&lt;=30))),'Model inputs'!AM102+('Model inputs'!AM103-'Model inputs'!AM102)*('Model inputs'!S95-24)/6,IF(IF(IF(ISERROR('Model inputs'!S95&lt;=36),'Model inputs'!S95&lt;=36,IF('Model inputs'!S95="","",'Model inputs'!S95&lt;=36))="",FALSE,IF(ISERROR('Model inputs'!S95&lt;=36),'Model inputs'!S95&lt;=36,IF('Model inputs'!S95="","",'Model inputs'!S95&lt;=36))),'Model inputs'!AM103+('Model inputs'!AM104-'Model inputs'!AM103)*('Model inputs'!S95-30)/6,IF('Model inputs'!AM104="","",'Model inputs'!AM104))))))))="",0,(IF(IF(IF(ISERROR('Model inputs'!S95&lt;=6),'Model inputs'!S95&lt;=6,IF('Model inputs'!S95="","",'Model inputs'!S95&lt;=6))="",FALSE,IF(ISERROR('Model inputs'!S95&lt;=6),'Model inputs'!S95&lt;=6,IF('Model inputs'!S95="","",'Model inputs'!S95&lt;=6))),'Model inputs'!AM99+('Model inputs'!AM105-'Model inputs'!AM99)*('Model inputs'!S95-0)/6,IF(IF(IF(ISERROR('Model inputs'!S95&lt;=12),'Model inputs'!S95&lt;=12,IF('Model inputs'!S95="","",'Model inputs'!S95&lt;=12))="",FALSE,IF(ISERROR('Model inputs'!S95&lt;=12),'Model inputs'!S95&lt;=12,IF('Model inputs'!S95="","",'Model inputs'!S95&lt;=12))),'Model inputs'!AM105+('Model inputs'!AM100-'Model inputs'!AM105)*('Model inputs'!S95-6)/6,IF(IF(IF(ISERROR('Model inputs'!S95&lt;=18),'Model inputs'!S95&lt;=18,IF('Model inputs'!S95="","",'Model inputs'!S95&lt;=18))="",FALSE,IF(ISERROR('Model inputs'!S95&lt;=18),'Model inputs'!S95&lt;=18,IF('Model inputs'!S95="","",'Model inputs'!S95&lt;=18))),'Model inputs'!AM100+('Model inputs'!AM101-'Model inputs'!AM100)*('Model inputs'!S95-12)/6,IF(IF(IF(ISERROR('Model inputs'!S95&lt;=24),'Model inputs'!S95&lt;=24,IF('Model inputs'!S95="","",'Model inputs'!S95&lt;=24))="",FALSE,IF(ISERROR('Model inputs'!S95&lt;=24),'Model inputs'!S95&lt;=24,IF('Model inputs'!S95="","",'Model inputs'!S95&lt;=24))),'Model inputs'!AM101+('Model inputs'!AM102-'Model inputs'!AM101)*('Model inputs'!S95-18)/6,IF(IF(IF(ISERROR('Model inputs'!S95&lt;=30),'Model inputs'!S95&lt;=30,IF('Model inputs'!S95="","",'Model inputs'!S95&lt;=30))="",FALSE,IF(ISERROR('Model inputs'!S95&lt;=30),'Model inputs'!S95&lt;=30,IF('Model inputs'!S95="","",'Model inputs'!S95&lt;=30))),'Model inputs'!AM102+('Model inputs'!AM103-'Model inputs'!AM102)*('Model inputs'!S95-24)/6,IF(IF(IF(ISERROR('Model inputs'!S95&lt;=36),'Model inputs'!S95&lt;=36,IF('Model inputs'!S95="","",'Model inputs'!S95&lt;=36))="",FALSE,IF(ISERROR('Model inputs'!S95&lt;=36),'Model inputs'!S95&lt;=36,IF('Model inputs'!S95="","",'Model inputs'!S95&lt;=36))),'Model inputs'!AM103+('Model inputs'!AM104-'Model inputs'!AM103)*('Model inputs'!S95-30)/6,IF('Model inputs'!AM104="","",'Model inputs'!AM104)))))))))*'Model inputs'!AM93</f>
      </c>
    </row>
    <row r="2180">
      <c r="A2180" t="inlineStr" s="25">
        <is>
          <t xml:space="preserve">Calculation</t>
        </is>
      </c>
      <c r="B2180">
        <f>IF((IF(IF(IF(ISERROR('Model inputs'!T95&lt;=6),'Model inputs'!T95&lt;=6,IF('Model inputs'!T95="","",'Model inputs'!T95&lt;=6))="",FALSE,IF(ISERROR('Model inputs'!T95&lt;=6),'Model inputs'!T95&lt;=6,IF('Model inputs'!T95="","",'Model inputs'!T95&lt;=6))),'Model inputs'!AM99+('Model inputs'!AM105-'Model inputs'!AM99)*('Model inputs'!T95-0)/6,IF(IF(IF(ISERROR('Model inputs'!T95&lt;=12),'Model inputs'!T95&lt;=12,IF('Model inputs'!T95="","",'Model inputs'!T95&lt;=12))="",FALSE,IF(ISERROR('Model inputs'!T95&lt;=12),'Model inputs'!T95&lt;=12,IF('Model inputs'!T95="","",'Model inputs'!T95&lt;=12))),'Model inputs'!AM105+('Model inputs'!AM100-'Model inputs'!AM105)*('Model inputs'!T95-6)/6,IF(IF(IF(ISERROR('Model inputs'!T95&lt;=18),'Model inputs'!T95&lt;=18,IF('Model inputs'!T95="","",'Model inputs'!T95&lt;=18))="",FALSE,IF(ISERROR('Model inputs'!T95&lt;=18),'Model inputs'!T95&lt;=18,IF('Model inputs'!T95="","",'Model inputs'!T95&lt;=18))),'Model inputs'!AM100+('Model inputs'!AM101-'Model inputs'!AM100)*('Model inputs'!T95-12)/6,IF(IF(IF(ISERROR('Model inputs'!T95&lt;=24),'Model inputs'!T95&lt;=24,IF('Model inputs'!T95="","",'Model inputs'!T95&lt;=24))="",FALSE,IF(ISERROR('Model inputs'!T95&lt;=24),'Model inputs'!T95&lt;=24,IF('Model inputs'!T95="","",'Model inputs'!T95&lt;=24))),'Model inputs'!AM101+('Model inputs'!AM102-'Model inputs'!AM101)*('Model inputs'!T95-18)/6,IF(IF(IF(ISERROR('Model inputs'!T95&lt;=30),'Model inputs'!T95&lt;=30,IF('Model inputs'!T95="","",'Model inputs'!T95&lt;=30))="",FALSE,IF(ISERROR('Model inputs'!T95&lt;=30),'Model inputs'!T95&lt;=30,IF('Model inputs'!T95="","",'Model inputs'!T95&lt;=30))),'Model inputs'!AM102+('Model inputs'!AM103-'Model inputs'!AM102)*('Model inputs'!T95-24)/6,IF(IF(IF(ISERROR('Model inputs'!T95&lt;=36),'Model inputs'!T95&lt;=36,IF('Model inputs'!T95="","",'Model inputs'!T95&lt;=36))="",FALSE,IF(ISERROR('Model inputs'!T95&lt;=36),'Model inputs'!T95&lt;=36,IF('Model inputs'!T95="","",'Model inputs'!T95&lt;=36))),'Model inputs'!AM103+('Model inputs'!AM104-'Model inputs'!AM103)*('Model inputs'!T95-30)/6,IF('Model inputs'!AM104="","",'Model inputs'!AM104))))))))="",0,(IF(IF(IF(ISERROR('Model inputs'!T95&lt;=6),'Model inputs'!T95&lt;=6,IF('Model inputs'!T95="","",'Model inputs'!T95&lt;=6))="",FALSE,IF(ISERROR('Model inputs'!T95&lt;=6),'Model inputs'!T95&lt;=6,IF('Model inputs'!T95="","",'Model inputs'!T95&lt;=6))),'Model inputs'!AM99+('Model inputs'!AM105-'Model inputs'!AM99)*('Model inputs'!T95-0)/6,IF(IF(IF(ISERROR('Model inputs'!T95&lt;=12),'Model inputs'!T95&lt;=12,IF('Model inputs'!T95="","",'Model inputs'!T95&lt;=12))="",FALSE,IF(ISERROR('Model inputs'!T95&lt;=12),'Model inputs'!T95&lt;=12,IF('Model inputs'!T95="","",'Model inputs'!T95&lt;=12))),'Model inputs'!AM105+('Model inputs'!AM100-'Model inputs'!AM105)*('Model inputs'!T95-6)/6,IF(IF(IF(ISERROR('Model inputs'!T95&lt;=18),'Model inputs'!T95&lt;=18,IF('Model inputs'!T95="","",'Model inputs'!T95&lt;=18))="",FALSE,IF(ISERROR('Model inputs'!T95&lt;=18),'Model inputs'!T95&lt;=18,IF('Model inputs'!T95="","",'Model inputs'!T95&lt;=18))),'Model inputs'!AM100+('Model inputs'!AM101-'Model inputs'!AM100)*('Model inputs'!T95-12)/6,IF(IF(IF(ISERROR('Model inputs'!T95&lt;=24),'Model inputs'!T95&lt;=24,IF('Model inputs'!T95="","",'Model inputs'!T95&lt;=24))="",FALSE,IF(ISERROR('Model inputs'!T95&lt;=24),'Model inputs'!T95&lt;=24,IF('Model inputs'!T95="","",'Model inputs'!T95&lt;=24))),'Model inputs'!AM101+('Model inputs'!AM102-'Model inputs'!AM101)*('Model inputs'!T95-18)/6,IF(IF(IF(ISERROR('Model inputs'!T95&lt;=30),'Model inputs'!T95&lt;=30,IF('Model inputs'!T95="","",'Model inputs'!T95&lt;=30))="",FALSE,IF(ISERROR('Model inputs'!T95&lt;=30),'Model inputs'!T95&lt;=30,IF('Model inputs'!T95="","",'Model inputs'!T95&lt;=30))),'Model inputs'!AM102+('Model inputs'!AM103-'Model inputs'!AM102)*('Model inputs'!T95-24)/6,IF(IF(IF(ISERROR('Model inputs'!T95&lt;=36),'Model inputs'!T95&lt;=36,IF('Model inputs'!T95="","",'Model inputs'!T95&lt;=36))="",FALSE,IF(ISERROR('Model inputs'!T95&lt;=36),'Model inputs'!T95&lt;=36,IF('Model inputs'!T95="","",'Model inputs'!T95&lt;=36))),'Model inputs'!AM103+('Model inputs'!AM104-'Model inputs'!AM103)*('Model inputs'!T95-30)/6,IF('Model inputs'!AM104="","",'Model inputs'!AM104)))))))))*'Model inputs'!AM93</f>
      </c>
    </row>
    <row r="2181">
      <c r="A2181" t="inlineStr" s="25">
        <is>
          <t xml:space="preserve">Calculation</t>
        </is>
      </c>
      <c r="B2181">
        <f>IF((IF(IF(IF(ISERROR('Model inputs'!U95&lt;=6),'Model inputs'!U95&lt;=6,IF('Model inputs'!U95="","",'Model inputs'!U95&lt;=6))="",FALSE,IF(ISERROR('Model inputs'!U95&lt;=6),'Model inputs'!U95&lt;=6,IF('Model inputs'!U95="","",'Model inputs'!U95&lt;=6))),'Model inputs'!AM99+('Model inputs'!AM105-'Model inputs'!AM99)*('Model inputs'!U95-0)/6,IF(IF(IF(ISERROR('Model inputs'!U95&lt;=12),'Model inputs'!U95&lt;=12,IF('Model inputs'!U95="","",'Model inputs'!U95&lt;=12))="",FALSE,IF(ISERROR('Model inputs'!U95&lt;=12),'Model inputs'!U95&lt;=12,IF('Model inputs'!U95="","",'Model inputs'!U95&lt;=12))),'Model inputs'!AM105+('Model inputs'!AM100-'Model inputs'!AM105)*('Model inputs'!U95-6)/6,IF(IF(IF(ISERROR('Model inputs'!U95&lt;=18),'Model inputs'!U95&lt;=18,IF('Model inputs'!U95="","",'Model inputs'!U95&lt;=18))="",FALSE,IF(ISERROR('Model inputs'!U95&lt;=18),'Model inputs'!U95&lt;=18,IF('Model inputs'!U95="","",'Model inputs'!U95&lt;=18))),'Model inputs'!AM100+('Model inputs'!AM101-'Model inputs'!AM100)*('Model inputs'!U95-12)/6,IF(IF(IF(ISERROR('Model inputs'!U95&lt;=24),'Model inputs'!U95&lt;=24,IF('Model inputs'!U95="","",'Model inputs'!U95&lt;=24))="",FALSE,IF(ISERROR('Model inputs'!U95&lt;=24),'Model inputs'!U95&lt;=24,IF('Model inputs'!U95="","",'Model inputs'!U95&lt;=24))),'Model inputs'!AM101+('Model inputs'!AM102-'Model inputs'!AM101)*('Model inputs'!U95-18)/6,IF(IF(IF(ISERROR('Model inputs'!U95&lt;=30),'Model inputs'!U95&lt;=30,IF('Model inputs'!U95="","",'Model inputs'!U95&lt;=30))="",FALSE,IF(ISERROR('Model inputs'!U95&lt;=30),'Model inputs'!U95&lt;=30,IF('Model inputs'!U95="","",'Model inputs'!U95&lt;=30))),'Model inputs'!AM102+('Model inputs'!AM103-'Model inputs'!AM102)*('Model inputs'!U95-24)/6,IF(IF(IF(ISERROR('Model inputs'!U95&lt;=36),'Model inputs'!U95&lt;=36,IF('Model inputs'!U95="","",'Model inputs'!U95&lt;=36))="",FALSE,IF(ISERROR('Model inputs'!U95&lt;=36),'Model inputs'!U95&lt;=36,IF('Model inputs'!U95="","",'Model inputs'!U95&lt;=36))),'Model inputs'!AM103+('Model inputs'!AM104-'Model inputs'!AM103)*('Model inputs'!U95-30)/6,IF('Model inputs'!AM104="","",'Model inputs'!AM104))))))))="",0,(IF(IF(IF(ISERROR('Model inputs'!U95&lt;=6),'Model inputs'!U95&lt;=6,IF('Model inputs'!U95="","",'Model inputs'!U95&lt;=6))="",FALSE,IF(ISERROR('Model inputs'!U95&lt;=6),'Model inputs'!U95&lt;=6,IF('Model inputs'!U95="","",'Model inputs'!U95&lt;=6))),'Model inputs'!AM99+('Model inputs'!AM105-'Model inputs'!AM99)*('Model inputs'!U95-0)/6,IF(IF(IF(ISERROR('Model inputs'!U95&lt;=12),'Model inputs'!U95&lt;=12,IF('Model inputs'!U95="","",'Model inputs'!U95&lt;=12))="",FALSE,IF(ISERROR('Model inputs'!U95&lt;=12),'Model inputs'!U95&lt;=12,IF('Model inputs'!U95="","",'Model inputs'!U95&lt;=12))),'Model inputs'!AM105+('Model inputs'!AM100-'Model inputs'!AM105)*('Model inputs'!U95-6)/6,IF(IF(IF(ISERROR('Model inputs'!U95&lt;=18),'Model inputs'!U95&lt;=18,IF('Model inputs'!U95="","",'Model inputs'!U95&lt;=18))="",FALSE,IF(ISERROR('Model inputs'!U95&lt;=18),'Model inputs'!U95&lt;=18,IF('Model inputs'!U95="","",'Model inputs'!U95&lt;=18))),'Model inputs'!AM100+('Model inputs'!AM101-'Model inputs'!AM100)*('Model inputs'!U95-12)/6,IF(IF(IF(ISERROR('Model inputs'!U95&lt;=24),'Model inputs'!U95&lt;=24,IF('Model inputs'!U95="","",'Model inputs'!U95&lt;=24))="",FALSE,IF(ISERROR('Model inputs'!U95&lt;=24),'Model inputs'!U95&lt;=24,IF('Model inputs'!U95="","",'Model inputs'!U95&lt;=24))),'Model inputs'!AM101+('Model inputs'!AM102-'Model inputs'!AM101)*('Model inputs'!U95-18)/6,IF(IF(IF(ISERROR('Model inputs'!U95&lt;=30),'Model inputs'!U95&lt;=30,IF('Model inputs'!U95="","",'Model inputs'!U95&lt;=30))="",FALSE,IF(ISERROR('Model inputs'!U95&lt;=30),'Model inputs'!U95&lt;=30,IF('Model inputs'!U95="","",'Model inputs'!U95&lt;=30))),'Model inputs'!AM102+('Model inputs'!AM103-'Model inputs'!AM102)*('Model inputs'!U95-24)/6,IF(IF(IF(ISERROR('Model inputs'!U95&lt;=36),'Model inputs'!U95&lt;=36,IF('Model inputs'!U95="","",'Model inputs'!U95&lt;=36))="",FALSE,IF(ISERROR('Model inputs'!U95&lt;=36),'Model inputs'!U95&lt;=36,IF('Model inputs'!U95="","",'Model inputs'!U95&lt;=36))),'Model inputs'!AM103+('Model inputs'!AM104-'Model inputs'!AM103)*('Model inputs'!U95-30)/6,IF('Model inputs'!AM104="","",'Model inputs'!AM104)))))))))*'Model inputs'!AM93</f>
      </c>
    </row>
    <row r="2182">
      <c r="A2182" t="inlineStr" s="25">
        <is>
          <t xml:space="preserve">Calculation</t>
        </is>
      </c>
      <c r="B2182">
        <f>IF((IF(IF(IF(ISERROR('Model inputs'!V95&lt;=6),'Model inputs'!V95&lt;=6,IF('Model inputs'!V95="","",'Model inputs'!V95&lt;=6))="",FALSE,IF(ISERROR('Model inputs'!V95&lt;=6),'Model inputs'!V95&lt;=6,IF('Model inputs'!V95="","",'Model inputs'!V95&lt;=6))),'Model inputs'!AM99+('Model inputs'!AM105-'Model inputs'!AM99)*('Model inputs'!V95-0)/6,IF(IF(IF(ISERROR('Model inputs'!V95&lt;=12),'Model inputs'!V95&lt;=12,IF('Model inputs'!V95="","",'Model inputs'!V95&lt;=12))="",FALSE,IF(ISERROR('Model inputs'!V95&lt;=12),'Model inputs'!V95&lt;=12,IF('Model inputs'!V95="","",'Model inputs'!V95&lt;=12))),'Model inputs'!AM105+('Model inputs'!AM100-'Model inputs'!AM105)*('Model inputs'!V95-6)/6,IF(IF(IF(ISERROR('Model inputs'!V95&lt;=18),'Model inputs'!V95&lt;=18,IF('Model inputs'!V95="","",'Model inputs'!V95&lt;=18))="",FALSE,IF(ISERROR('Model inputs'!V95&lt;=18),'Model inputs'!V95&lt;=18,IF('Model inputs'!V95="","",'Model inputs'!V95&lt;=18))),'Model inputs'!AM100+('Model inputs'!AM101-'Model inputs'!AM100)*('Model inputs'!V95-12)/6,IF(IF(IF(ISERROR('Model inputs'!V95&lt;=24),'Model inputs'!V95&lt;=24,IF('Model inputs'!V95="","",'Model inputs'!V95&lt;=24))="",FALSE,IF(ISERROR('Model inputs'!V95&lt;=24),'Model inputs'!V95&lt;=24,IF('Model inputs'!V95="","",'Model inputs'!V95&lt;=24))),'Model inputs'!AM101+('Model inputs'!AM102-'Model inputs'!AM101)*('Model inputs'!V95-18)/6,IF(IF(IF(ISERROR('Model inputs'!V95&lt;=30),'Model inputs'!V95&lt;=30,IF('Model inputs'!V95="","",'Model inputs'!V95&lt;=30))="",FALSE,IF(ISERROR('Model inputs'!V95&lt;=30),'Model inputs'!V95&lt;=30,IF('Model inputs'!V95="","",'Model inputs'!V95&lt;=30))),'Model inputs'!AM102+('Model inputs'!AM103-'Model inputs'!AM102)*('Model inputs'!V95-24)/6,IF(IF(IF(ISERROR('Model inputs'!V95&lt;=36),'Model inputs'!V95&lt;=36,IF('Model inputs'!V95="","",'Model inputs'!V95&lt;=36))="",FALSE,IF(ISERROR('Model inputs'!V95&lt;=36),'Model inputs'!V95&lt;=36,IF('Model inputs'!V95="","",'Model inputs'!V95&lt;=36))),'Model inputs'!AM103+('Model inputs'!AM104-'Model inputs'!AM103)*('Model inputs'!V95-30)/6,IF('Model inputs'!AM104="","",'Model inputs'!AM104))))))))="",0,(IF(IF(IF(ISERROR('Model inputs'!V95&lt;=6),'Model inputs'!V95&lt;=6,IF('Model inputs'!V95="","",'Model inputs'!V95&lt;=6))="",FALSE,IF(ISERROR('Model inputs'!V95&lt;=6),'Model inputs'!V95&lt;=6,IF('Model inputs'!V95="","",'Model inputs'!V95&lt;=6))),'Model inputs'!AM99+('Model inputs'!AM105-'Model inputs'!AM99)*('Model inputs'!V95-0)/6,IF(IF(IF(ISERROR('Model inputs'!V95&lt;=12),'Model inputs'!V95&lt;=12,IF('Model inputs'!V95="","",'Model inputs'!V95&lt;=12))="",FALSE,IF(ISERROR('Model inputs'!V95&lt;=12),'Model inputs'!V95&lt;=12,IF('Model inputs'!V95="","",'Model inputs'!V95&lt;=12))),'Model inputs'!AM105+('Model inputs'!AM100-'Model inputs'!AM105)*('Model inputs'!V95-6)/6,IF(IF(IF(ISERROR('Model inputs'!V95&lt;=18),'Model inputs'!V95&lt;=18,IF('Model inputs'!V95="","",'Model inputs'!V95&lt;=18))="",FALSE,IF(ISERROR('Model inputs'!V95&lt;=18),'Model inputs'!V95&lt;=18,IF('Model inputs'!V95="","",'Model inputs'!V95&lt;=18))),'Model inputs'!AM100+('Model inputs'!AM101-'Model inputs'!AM100)*('Model inputs'!V95-12)/6,IF(IF(IF(ISERROR('Model inputs'!V95&lt;=24),'Model inputs'!V95&lt;=24,IF('Model inputs'!V95="","",'Model inputs'!V95&lt;=24))="",FALSE,IF(ISERROR('Model inputs'!V95&lt;=24),'Model inputs'!V95&lt;=24,IF('Model inputs'!V95="","",'Model inputs'!V95&lt;=24))),'Model inputs'!AM101+('Model inputs'!AM102-'Model inputs'!AM101)*('Model inputs'!V95-18)/6,IF(IF(IF(ISERROR('Model inputs'!V95&lt;=30),'Model inputs'!V95&lt;=30,IF('Model inputs'!V95="","",'Model inputs'!V95&lt;=30))="",FALSE,IF(ISERROR('Model inputs'!V95&lt;=30),'Model inputs'!V95&lt;=30,IF('Model inputs'!V95="","",'Model inputs'!V95&lt;=30))),'Model inputs'!AM102+('Model inputs'!AM103-'Model inputs'!AM102)*('Model inputs'!V95-24)/6,IF(IF(IF(ISERROR('Model inputs'!V95&lt;=36),'Model inputs'!V95&lt;=36,IF('Model inputs'!V95="","",'Model inputs'!V95&lt;=36))="",FALSE,IF(ISERROR('Model inputs'!V95&lt;=36),'Model inputs'!V95&lt;=36,IF('Model inputs'!V95="","",'Model inputs'!V95&lt;=36))),'Model inputs'!AM103+('Model inputs'!AM104-'Model inputs'!AM103)*('Model inputs'!V95-30)/6,IF('Model inputs'!AM104="","",'Model inputs'!AM104)))))))))*'Model inputs'!AM93</f>
      </c>
    </row>
    <row r="2183">
      <c r="A2183" t="inlineStr" s="25">
        <is>
          <t xml:space="preserve">Calculation</t>
        </is>
      </c>
      <c r="B2183">
        <f>IF((IF(IF(IF(ISERROR('Model inputs'!W95&lt;=6),'Model inputs'!W95&lt;=6,IF('Model inputs'!W95="","",'Model inputs'!W95&lt;=6))="",FALSE,IF(ISERROR('Model inputs'!W95&lt;=6),'Model inputs'!W95&lt;=6,IF('Model inputs'!W95="","",'Model inputs'!W95&lt;=6))),'Model inputs'!AM99+('Model inputs'!AM105-'Model inputs'!AM99)*('Model inputs'!W95-0)/6,IF(IF(IF(ISERROR('Model inputs'!W95&lt;=12),'Model inputs'!W95&lt;=12,IF('Model inputs'!W95="","",'Model inputs'!W95&lt;=12))="",FALSE,IF(ISERROR('Model inputs'!W95&lt;=12),'Model inputs'!W95&lt;=12,IF('Model inputs'!W95="","",'Model inputs'!W95&lt;=12))),'Model inputs'!AM105+('Model inputs'!AM100-'Model inputs'!AM105)*('Model inputs'!W95-6)/6,IF(IF(IF(ISERROR('Model inputs'!W95&lt;=18),'Model inputs'!W95&lt;=18,IF('Model inputs'!W95="","",'Model inputs'!W95&lt;=18))="",FALSE,IF(ISERROR('Model inputs'!W95&lt;=18),'Model inputs'!W95&lt;=18,IF('Model inputs'!W95="","",'Model inputs'!W95&lt;=18))),'Model inputs'!AM100+('Model inputs'!AM101-'Model inputs'!AM100)*('Model inputs'!W95-12)/6,IF(IF(IF(ISERROR('Model inputs'!W95&lt;=24),'Model inputs'!W95&lt;=24,IF('Model inputs'!W95="","",'Model inputs'!W95&lt;=24))="",FALSE,IF(ISERROR('Model inputs'!W95&lt;=24),'Model inputs'!W95&lt;=24,IF('Model inputs'!W95="","",'Model inputs'!W95&lt;=24))),'Model inputs'!AM101+('Model inputs'!AM102-'Model inputs'!AM101)*('Model inputs'!W95-18)/6,IF(IF(IF(ISERROR('Model inputs'!W95&lt;=30),'Model inputs'!W95&lt;=30,IF('Model inputs'!W95="","",'Model inputs'!W95&lt;=30))="",FALSE,IF(ISERROR('Model inputs'!W95&lt;=30),'Model inputs'!W95&lt;=30,IF('Model inputs'!W95="","",'Model inputs'!W95&lt;=30))),'Model inputs'!AM102+('Model inputs'!AM103-'Model inputs'!AM102)*('Model inputs'!W95-24)/6,IF(IF(IF(ISERROR('Model inputs'!W95&lt;=36),'Model inputs'!W95&lt;=36,IF('Model inputs'!W95="","",'Model inputs'!W95&lt;=36))="",FALSE,IF(ISERROR('Model inputs'!W95&lt;=36),'Model inputs'!W95&lt;=36,IF('Model inputs'!W95="","",'Model inputs'!W95&lt;=36))),'Model inputs'!AM103+('Model inputs'!AM104-'Model inputs'!AM103)*('Model inputs'!W95-30)/6,IF('Model inputs'!AM104="","",'Model inputs'!AM104))))))))="",0,(IF(IF(IF(ISERROR('Model inputs'!W95&lt;=6),'Model inputs'!W95&lt;=6,IF('Model inputs'!W95="","",'Model inputs'!W95&lt;=6))="",FALSE,IF(ISERROR('Model inputs'!W95&lt;=6),'Model inputs'!W95&lt;=6,IF('Model inputs'!W95="","",'Model inputs'!W95&lt;=6))),'Model inputs'!AM99+('Model inputs'!AM105-'Model inputs'!AM99)*('Model inputs'!W95-0)/6,IF(IF(IF(ISERROR('Model inputs'!W95&lt;=12),'Model inputs'!W95&lt;=12,IF('Model inputs'!W95="","",'Model inputs'!W95&lt;=12))="",FALSE,IF(ISERROR('Model inputs'!W95&lt;=12),'Model inputs'!W95&lt;=12,IF('Model inputs'!W95="","",'Model inputs'!W95&lt;=12))),'Model inputs'!AM105+('Model inputs'!AM100-'Model inputs'!AM105)*('Model inputs'!W95-6)/6,IF(IF(IF(ISERROR('Model inputs'!W95&lt;=18),'Model inputs'!W95&lt;=18,IF('Model inputs'!W95="","",'Model inputs'!W95&lt;=18))="",FALSE,IF(ISERROR('Model inputs'!W95&lt;=18),'Model inputs'!W95&lt;=18,IF('Model inputs'!W95="","",'Model inputs'!W95&lt;=18))),'Model inputs'!AM100+('Model inputs'!AM101-'Model inputs'!AM100)*('Model inputs'!W95-12)/6,IF(IF(IF(ISERROR('Model inputs'!W95&lt;=24),'Model inputs'!W95&lt;=24,IF('Model inputs'!W95="","",'Model inputs'!W95&lt;=24))="",FALSE,IF(ISERROR('Model inputs'!W95&lt;=24),'Model inputs'!W95&lt;=24,IF('Model inputs'!W95="","",'Model inputs'!W95&lt;=24))),'Model inputs'!AM101+('Model inputs'!AM102-'Model inputs'!AM101)*('Model inputs'!W95-18)/6,IF(IF(IF(ISERROR('Model inputs'!W95&lt;=30),'Model inputs'!W95&lt;=30,IF('Model inputs'!W95="","",'Model inputs'!W95&lt;=30))="",FALSE,IF(ISERROR('Model inputs'!W95&lt;=30),'Model inputs'!W95&lt;=30,IF('Model inputs'!W95="","",'Model inputs'!W95&lt;=30))),'Model inputs'!AM102+('Model inputs'!AM103-'Model inputs'!AM102)*('Model inputs'!W95-24)/6,IF(IF(IF(ISERROR('Model inputs'!W95&lt;=36),'Model inputs'!W95&lt;=36,IF('Model inputs'!W95="","",'Model inputs'!W95&lt;=36))="",FALSE,IF(ISERROR('Model inputs'!W95&lt;=36),'Model inputs'!W95&lt;=36,IF('Model inputs'!W95="","",'Model inputs'!W95&lt;=36))),'Model inputs'!AM103+('Model inputs'!AM104-'Model inputs'!AM103)*('Model inputs'!W95-30)/6,IF('Model inputs'!AM104="","",'Model inputs'!AM104)))))))))*'Model inputs'!AM93</f>
      </c>
    </row>
    <row r="2184">
      <c r="A2184" t="inlineStr" s="25">
        <is>
          <t xml:space="preserve">Calculation</t>
        </is>
      </c>
      <c r="B2184">
        <f>IF((IF(IF(IF(ISERROR('Model inputs'!X95&lt;=6),'Model inputs'!X95&lt;=6,IF('Model inputs'!X95="","",'Model inputs'!X95&lt;=6))="",FALSE,IF(ISERROR('Model inputs'!X95&lt;=6),'Model inputs'!X95&lt;=6,IF('Model inputs'!X95="","",'Model inputs'!X95&lt;=6))),'Model inputs'!AM99+('Model inputs'!AM105-'Model inputs'!AM99)*('Model inputs'!X95-0)/6,IF(IF(IF(ISERROR('Model inputs'!X95&lt;=12),'Model inputs'!X95&lt;=12,IF('Model inputs'!X95="","",'Model inputs'!X95&lt;=12))="",FALSE,IF(ISERROR('Model inputs'!X95&lt;=12),'Model inputs'!X95&lt;=12,IF('Model inputs'!X95="","",'Model inputs'!X95&lt;=12))),'Model inputs'!AM105+('Model inputs'!AM100-'Model inputs'!AM105)*('Model inputs'!X95-6)/6,IF(IF(IF(ISERROR('Model inputs'!X95&lt;=18),'Model inputs'!X95&lt;=18,IF('Model inputs'!X95="","",'Model inputs'!X95&lt;=18))="",FALSE,IF(ISERROR('Model inputs'!X95&lt;=18),'Model inputs'!X95&lt;=18,IF('Model inputs'!X95="","",'Model inputs'!X95&lt;=18))),'Model inputs'!AM100+('Model inputs'!AM101-'Model inputs'!AM100)*('Model inputs'!X95-12)/6,IF(IF(IF(ISERROR('Model inputs'!X95&lt;=24),'Model inputs'!X95&lt;=24,IF('Model inputs'!X95="","",'Model inputs'!X95&lt;=24))="",FALSE,IF(ISERROR('Model inputs'!X95&lt;=24),'Model inputs'!X95&lt;=24,IF('Model inputs'!X95="","",'Model inputs'!X95&lt;=24))),'Model inputs'!AM101+('Model inputs'!AM102-'Model inputs'!AM101)*('Model inputs'!X95-18)/6,IF(IF(IF(ISERROR('Model inputs'!X95&lt;=30),'Model inputs'!X95&lt;=30,IF('Model inputs'!X95="","",'Model inputs'!X95&lt;=30))="",FALSE,IF(ISERROR('Model inputs'!X95&lt;=30),'Model inputs'!X95&lt;=30,IF('Model inputs'!X95="","",'Model inputs'!X95&lt;=30))),'Model inputs'!AM102+('Model inputs'!AM103-'Model inputs'!AM102)*('Model inputs'!X95-24)/6,IF(IF(IF(ISERROR('Model inputs'!X95&lt;=36),'Model inputs'!X95&lt;=36,IF('Model inputs'!X95="","",'Model inputs'!X95&lt;=36))="",FALSE,IF(ISERROR('Model inputs'!X95&lt;=36),'Model inputs'!X95&lt;=36,IF('Model inputs'!X95="","",'Model inputs'!X95&lt;=36))),'Model inputs'!AM103+('Model inputs'!AM104-'Model inputs'!AM103)*('Model inputs'!X95-30)/6,IF('Model inputs'!AM104="","",'Model inputs'!AM104))))))))="",0,(IF(IF(IF(ISERROR('Model inputs'!X95&lt;=6),'Model inputs'!X95&lt;=6,IF('Model inputs'!X95="","",'Model inputs'!X95&lt;=6))="",FALSE,IF(ISERROR('Model inputs'!X95&lt;=6),'Model inputs'!X95&lt;=6,IF('Model inputs'!X95="","",'Model inputs'!X95&lt;=6))),'Model inputs'!AM99+('Model inputs'!AM105-'Model inputs'!AM99)*('Model inputs'!X95-0)/6,IF(IF(IF(ISERROR('Model inputs'!X95&lt;=12),'Model inputs'!X95&lt;=12,IF('Model inputs'!X95="","",'Model inputs'!X95&lt;=12))="",FALSE,IF(ISERROR('Model inputs'!X95&lt;=12),'Model inputs'!X95&lt;=12,IF('Model inputs'!X95="","",'Model inputs'!X95&lt;=12))),'Model inputs'!AM105+('Model inputs'!AM100-'Model inputs'!AM105)*('Model inputs'!X95-6)/6,IF(IF(IF(ISERROR('Model inputs'!X95&lt;=18),'Model inputs'!X95&lt;=18,IF('Model inputs'!X95="","",'Model inputs'!X95&lt;=18))="",FALSE,IF(ISERROR('Model inputs'!X95&lt;=18),'Model inputs'!X95&lt;=18,IF('Model inputs'!X95="","",'Model inputs'!X95&lt;=18))),'Model inputs'!AM100+('Model inputs'!AM101-'Model inputs'!AM100)*('Model inputs'!X95-12)/6,IF(IF(IF(ISERROR('Model inputs'!X95&lt;=24),'Model inputs'!X95&lt;=24,IF('Model inputs'!X95="","",'Model inputs'!X95&lt;=24))="",FALSE,IF(ISERROR('Model inputs'!X95&lt;=24),'Model inputs'!X95&lt;=24,IF('Model inputs'!X95="","",'Model inputs'!X95&lt;=24))),'Model inputs'!AM101+('Model inputs'!AM102-'Model inputs'!AM101)*('Model inputs'!X95-18)/6,IF(IF(IF(ISERROR('Model inputs'!X95&lt;=30),'Model inputs'!X95&lt;=30,IF('Model inputs'!X95="","",'Model inputs'!X95&lt;=30))="",FALSE,IF(ISERROR('Model inputs'!X95&lt;=30),'Model inputs'!X95&lt;=30,IF('Model inputs'!X95="","",'Model inputs'!X95&lt;=30))),'Model inputs'!AM102+('Model inputs'!AM103-'Model inputs'!AM102)*('Model inputs'!X95-24)/6,IF(IF(IF(ISERROR('Model inputs'!X95&lt;=36),'Model inputs'!X95&lt;=36,IF('Model inputs'!X95="","",'Model inputs'!X95&lt;=36))="",FALSE,IF(ISERROR('Model inputs'!X95&lt;=36),'Model inputs'!X95&lt;=36,IF('Model inputs'!X95="","",'Model inputs'!X95&lt;=36))),'Model inputs'!AM103+('Model inputs'!AM104-'Model inputs'!AM103)*('Model inputs'!X95-30)/6,IF('Model inputs'!AM104="","",'Model inputs'!AM104)))))))))*'Model inputs'!AM93</f>
      </c>
    </row>
    <row r="2185">
      <c r="A2185" t="inlineStr" s="25">
        <is>
          <t xml:space="preserve">Calculation</t>
        </is>
      </c>
      <c r="B2185">
        <f>IF((IF(IF(IF(ISERROR('Model inputs'!Y95&lt;=6),'Model inputs'!Y95&lt;=6,IF('Model inputs'!Y95="","",'Model inputs'!Y95&lt;=6))="",FALSE,IF(ISERROR('Model inputs'!Y95&lt;=6),'Model inputs'!Y95&lt;=6,IF('Model inputs'!Y95="","",'Model inputs'!Y95&lt;=6))),'Model inputs'!AM99+('Model inputs'!AM105-'Model inputs'!AM99)*('Model inputs'!Y95-0)/6,IF(IF(IF(ISERROR('Model inputs'!Y95&lt;=12),'Model inputs'!Y95&lt;=12,IF('Model inputs'!Y95="","",'Model inputs'!Y95&lt;=12))="",FALSE,IF(ISERROR('Model inputs'!Y95&lt;=12),'Model inputs'!Y95&lt;=12,IF('Model inputs'!Y95="","",'Model inputs'!Y95&lt;=12))),'Model inputs'!AM105+('Model inputs'!AM100-'Model inputs'!AM105)*('Model inputs'!Y95-6)/6,IF(IF(IF(ISERROR('Model inputs'!Y95&lt;=18),'Model inputs'!Y95&lt;=18,IF('Model inputs'!Y95="","",'Model inputs'!Y95&lt;=18))="",FALSE,IF(ISERROR('Model inputs'!Y95&lt;=18),'Model inputs'!Y95&lt;=18,IF('Model inputs'!Y95="","",'Model inputs'!Y95&lt;=18))),'Model inputs'!AM100+('Model inputs'!AM101-'Model inputs'!AM100)*('Model inputs'!Y95-12)/6,IF(IF(IF(ISERROR('Model inputs'!Y95&lt;=24),'Model inputs'!Y95&lt;=24,IF('Model inputs'!Y95="","",'Model inputs'!Y95&lt;=24))="",FALSE,IF(ISERROR('Model inputs'!Y95&lt;=24),'Model inputs'!Y95&lt;=24,IF('Model inputs'!Y95="","",'Model inputs'!Y95&lt;=24))),'Model inputs'!AM101+('Model inputs'!AM102-'Model inputs'!AM101)*('Model inputs'!Y95-18)/6,IF(IF(IF(ISERROR('Model inputs'!Y95&lt;=30),'Model inputs'!Y95&lt;=30,IF('Model inputs'!Y95="","",'Model inputs'!Y95&lt;=30))="",FALSE,IF(ISERROR('Model inputs'!Y95&lt;=30),'Model inputs'!Y95&lt;=30,IF('Model inputs'!Y95="","",'Model inputs'!Y95&lt;=30))),'Model inputs'!AM102+('Model inputs'!AM103-'Model inputs'!AM102)*('Model inputs'!Y95-24)/6,IF(IF(IF(ISERROR('Model inputs'!Y95&lt;=36),'Model inputs'!Y95&lt;=36,IF('Model inputs'!Y95="","",'Model inputs'!Y95&lt;=36))="",FALSE,IF(ISERROR('Model inputs'!Y95&lt;=36),'Model inputs'!Y95&lt;=36,IF('Model inputs'!Y95="","",'Model inputs'!Y95&lt;=36))),'Model inputs'!AM103+('Model inputs'!AM104-'Model inputs'!AM103)*('Model inputs'!Y95-30)/6,IF('Model inputs'!AM104="","",'Model inputs'!AM104))))))))="",0,(IF(IF(IF(ISERROR('Model inputs'!Y95&lt;=6),'Model inputs'!Y95&lt;=6,IF('Model inputs'!Y95="","",'Model inputs'!Y95&lt;=6))="",FALSE,IF(ISERROR('Model inputs'!Y95&lt;=6),'Model inputs'!Y95&lt;=6,IF('Model inputs'!Y95="","",'Model inputs'!Y95&lt;=6))),'Model inputs'!AM99+('Model inputs'!AM105-'Model inputs'!AM99)*('Model inputs'!Y95-0)/6,IF(IF(IF(ISERROR('Model inputs'!Y95&lt;=12),'Model inputs'!Y95&lt;=12,IF('Model inputs'!Y95="","",'Model inputs'!Y95&lt;=12))="",FALSE,IF(ISERROR('Model inputs'!Y95&lt;=12),'Model inputs'!Y95&lt;=12,IF('Model inputs'!Y95="","",'Model inputs'!Y95&lt;=12))),'Model inputs'!AM105+('Model inputs'!AM100-'Model inputs'!AM105)*('Model inputs'!Y95-6)/6,IF(IF(IF(ISERROR('Model inputs'!Y95&lt;=18),'Model inputs'!Y95&lt;=18,IF('Model inputs'!Y95="","",'Model inputs'!Y95&lt;=18))="",FALSE,IF(ISERROR('Model inputs'!Y95&lt;=18),'Model inputs'!Y95&lt;=18,IF('Model inputs'!Y95="","",'Model inputs'!Y95&lt;=18))),'Model inputs'!AM100+('Model inputs'!AM101-'Model inputs'!AM100)*('Model inputs'!Y95-12)/6,IF(IF(IF(ISERROR('Model inputs'!Y95&lt;=24),'Model inputs'!Y95&lt;=24,IF('Model inputs'!Y95="","",'Model inputs'!Y95&lt;=24))="",FALSE,IF(ISERROR('Model inputs'!Y95&lt;=24),'Model inputs'!Y95&lt;=24,IF('Model inputs'!Y95="","",'Model inputs'!Y95&lt;=24))),'Model inputs'!AM101+('Model inputs'!AM102-'Model inputs'!AM101)*('Model inputs'!Y95-18)/6,IF(IF(IF(ISERROR('Model inputs'!Y95&lt;=30),'Model inputs'!Y95&lt;=30,IF('Model inputs'!Y95="","",'Model inputs'!Y95&lt;=30))="",FALSE,IF(ISERROR('Model inputs'!Y95&lt;=30),'Model inputs'!Y95&lt;=30,IF('Model inputs'!Y95="","",'Model inputs'!Y95&lt;=30))),'Model inputs'!AM102+('Model inputs'!AM103-'Model inputs'!AM102)*('Model inputs'!Y95-24)/6,IF(IF(IF(ISERROR('Model inputs'!Y95&lt;=36),'Model inputs'!Y95&lt;=36,IF('Model inputs'!Y95="","",'Model inputs'!Y95&lt;=36))="",FALSE,IF(ISERROR('Model inputs'!Y95&lt;=36),'Model inputs'!Y95&lt;=36,IF('Model inputs'!Y95="","",'Model inputs'!Y95&lt;=36))),'Model inputs'!AM103+('Model inputs'!AM104-'Model inputs'!AM103)*('Model inputs'!Y95-30)/6,IF('Model inputs'!AM104="","",'Model inputs'!AM104)))))))))*'Model inputs'!AM93</f>
      </c>
    </row>
    <row r="2186">
      <c r="A2186" t="inlineStr" s="25">
        <is>
          <t xml:space="preserve">Calculation</t>
        </is>
      </c>
      <c r="B2186">
        <f>IF((IF(IF(IF(ISERROR('Model inputs'!Z95&lt;=6),'Model inputs'!Z95&lt;=6,IF('Model inputs'!Z95="","",'Model inputs'!Z95&lt;=6))="",FALSE,IF(ISERROR('Model inputs'!Z95&lt;=6),'Model inputs'!Z95&lt;=6,IF('Model inputs'!Z95="","",'Model inputs'!Z95&lt;=6))),'Model inputs'!AM99+('Model inputs'!AM105-'Model inputs'!AM99)*('Model inputs'!Z95-0)/6,IF(IF(IF(ISERROR('Model inputs'!Z95&lt;=12),'Model inputs'!Z95&lt;=12,IF('Model inputs'!Z95="","",'Model inputs'!Z95&lt;=12))="",FALSE,IF(ISERROR('Model inputs'!Z95&lt;=12),'Model inputs'!Z95&lt;=12,IF('Model inputs'!Z95="","",'Model inputs'!Z95&lt;=12))),'Model inputs'!AM105+('Model inputs'!AM100-'Model inputs'!AM105)*('Model inputs'!Z95-6)/6,IF(IF(IF(ISERROR('Model inputs'!Z95&lt;=18),'Model inputs'!Z95&lt;=18,IF('Model inputs'!Z95="","",'Model inputs'!Z95&lt;=18))="",FALSE,IF(ISERROR('Model inputs'!Z95&lt;=18),'Model inputs'!Z95&lt;=18,IF('Model inputs'!Z95="","",'Model inputs'!Z95&lt;=18))),'Model inputs'!AM100+('Model inputs'!AM101-'Model inputs'!AM100)*('Model inputs'!Z95-12)/6,IF(IF(IF(ISERROR('Model inputs'!Z95&lt;=24),'Model inputs'!Z95&lt;=24,IF('Model inputs'!Z95="","",'Model inputs'!Z95&lt;=24))="",FALSE,IF(ISERROR('Model inputs'!Z95&lt;=24),'Model inputs'!Z95&lt;=24,IF('Model inputs'!Z95="","",'Model inputs'!Z95&lt;=24))),'Model inputs'!AM101+('Model inputs'!AM102-'Model inputs'!AM101)*('Model inputs'!Z95-18)/6,IF(IF(IF(ISERROR('Model inputs'!Z95&lt;=30),'Model inputs'!Z95&lt;=30,IF('Model inputs'!Z95="","",'Model inputs'!Z95&lt;=30))="",FALSE,IF(ISERROR('Model inputs'!Z95&lt;=30),'Model inputs'!Z95&lt;=30,IF('Model inputs'!Z95="","",'Model inputs'!Z95&lt;=30))),'Model inputs'!AM102+('Model inputs'!AM103-'Model inputs'!AM102)*('Model inputs'!Z95-24)/6,IF(IF(IF(ISERROR('Model inputs'!Z95&lt;=36),'Model inputs'!Z95&lt;=36,IF('Model inputs'!Z95="","",'Model inputs'!Z95&lt;=36))="",FALSE,IF(ISERROR('Model inputs'!Z95&lt;=36),'Model inputs'!Z95&lt;=36,IF('Model inputs'!Z95="","",'Model inputs'!Z95&lt;=36))),'Model inputs'!AM103+('Model inputs'!AM104-'Model inputs'!AM103)*('Model inputs'!Z95-30)/6,IF('Model inputs'!AM104="","",'Model inputs'!AM104))))))))="",0,(IF(IF(IF(ISERROR('Model inputs'!Z95&lt;=6),'Model inputs'!Z95&lt;=6,IF('Model inputs'!Z95="","",'Model inputs'!Z95&lt;=6))="",FALSE,IF(ISERROR('Model inputs'!Z95&lt;=6),'Model inputs'!Z95&lt;=6,IF('Model inputs'!Z95="","",'Model inputs'!Z95&lt;=6))),'Model inputs'!AM99+('Model inputs'!AM105-'Model inputs'!AM99)*('Model inputs'!Z95-0)/6,IF(IF(IF(ISERROR('Model inputs'!Z95&lt;=12),'Model inputs'!Z95&lt;=12,IF('Model inputs'!Z95="","",'Model inputs'!Z95&lt;=12))="",FALSE,IF(ISERROR('Model inputs'!Z95&lt;=12),'Model inputs'!Z95&lt;=12,IF('Model inputs'!Z95="","",'Model inputs'!Z95&lt;=12))),'Model inputs'!AM105+('Model inputs'!AM100-'Model inputs'!AM105)*('Model inputs'!Z95-6)/6,IF(IF(IF(ISERROR('Model inputs'!Z95&lt;=18),'Model inputs'!Z95&lt;=18,IF('Model inputs'!Z95="","",'Model inputs'!Z95&lt;=18))="",FALSE,IF(ISERROR('Model inputs'!Z95&lt;=18),'Model inputs'!Z95&lt;=18,IF('Model inputs'!Z95="","",'Model inputs'!Z95&lt;=18))),'Model inputs'!AM100+('Model inputs'!AM101-'Model inputs'!AM100)*('Model inputs'!Z95-12)/6,IF(IF(IF(ISERROR('Model inputs'!Z95&lt;=24),'Model inputs'!Z95&lt;=24,IF('Model inputs'!Z95="","",'Model inputs'!Z95&lt;=24))="",FALSE,IF(ISERROR('Model inputs'!Z95&lt;=24),'Model inputs'!Z95&lt;=24,IF('Model inputs'!Z95="","",'Model inputs'!Z95&lt;=24))),'Model inputs'!AM101+('Model inputs'!AM102-'Model inputs'!AM101)*('Model inputs'!Z95-18)/6,IF(IF(IF(ISERROR('Model inputs'!Z95&lt;=30),'Model inputs'!Z95&lt;=30,IF('Model inputs'!Z95="","",'Model inputs'!Z95&lt;=30))="",FALSE,IF(ISERROR('Model inputs'!Z95&lt;=30),'Model inputs'!Z95&lt;=30,IF('Model inputs'!Z95="","",'Model inputs'!Z95&lt;=30))),'Model inputs'!AM102+('Model inputs'!AM103-'Model inputs'!AM102)*('Model inputs'!Z95-24)/6,IF(IF(IF(ISERROR('Model inputs'!Z95&lt;=36),'Model inputs'!Z95&lt;=36,IF('Model inputs'!Z95="","",'Model inputs'!Z95&lt;=36))="",FALSE,IF(ISERROR('Model inputs'!Z95&lt;=36),'Model inputs'!Z95&lt;=36,IF('Model inputs'!Z95="","",'Model inputs'!Z95&lt;=36))),'Model inputs'!AM103+('Model inputs'!AM104-'Model inputs'!AM103)*('Model inputs'!Z95-30)/6,IF('Model inputs'!AM104="","",'Model inputs'!AM104)))))))))*'Model inputs'!AM93</f>
      </c>
    </row>
    <row r="2187">
      <c r="A2187" t="inlineStr" s="25">
        <is>
          <t xml:space="preserve">Calculation</t>
        </is>
      </c>
      <c r="B2187">
        <f>IF((IF(IF(IF(ISERROR('Model inputs'!AA95&lt;=6),'Model inputs'!AA95&lt;=6,IF('Model inputs'!AA95="","",'Model inputs'!AA95&lt;=6))="",FALSE,IF(ISERROR('Model inputs'!AA95&lt;=6),'Model inputs'!AA95&lt;=6,IF('Model inputs'!AA95="","",'Model inputs'!AA95&lt;=6))),'Model inputs'!AM99+('Model inputs'!AM105-'Model inputs'!AM99)*('Model inputs'!AA95-0)/6,IF(IF(IF(ISERROR('Model inputs'!AA95&lt;=12),'Model inputs'!AA95&lt;=12,IF('Model inputs'!AA95="","",'Model inputs'!AA95&lt;=12))="",FALSE,IF(ISERROR('Model inputs'!AA95&lt;=12),'Model inputs'!AA95&lt;=12,IF('Model inputs'!AA95="","",'Model inputs'!AA95&lt;=12))),'Model inputs'!AM105+('Model inputs'!AM100-'Model inputs'!AM105)*('Model inputs'!AA95-6)/6,IF(IF(IF(ISERROR('Model inputs'!AA95&lt;=18),'Model inputs'!AA95&lt;=18,IF('Model inputs'!AA95="","",'Model inputs'!AA95&lt;=18))="",FALSE,IF(ISERROR('Model inputs'!AA95&lt;=18),'Model inputs'!AA95&lt;=18,IF('Model inputs'!AA95="","",'Model inputs'!AA95&lt;=18))),'Model inputs'!AM100+('Model inputs'!AM101-'Model inputs'!AM100)*('Model inputs'!AA95-12)/6,IF(IF(IF(ISERROR('Model inputs'!AA95&lt;=24),'Model inputs'!AA95&lt;=24,IF('Model inputs'!AA95="","",'Model inputs'!AA95&lt;=24))="",FALSE,IF(ISERROR('Model inputs'!AA95&lt;=24),'Model inputs'!AA95&lt;=24,IF('Model inputs'!AA95="","",'Model inputs'!AA95&lt;=24))),'Model inputs'!AM101+('Model inputs'!AM102-'Model inputs'!AM101)*('Model inputs'!AA95-18)/6,IF(IF(IF(ISERROR('Model inputs'!AA95&lt;=30),'Model inputs'!AA95&lt;=30,IF('Model inputs'!AA95="","",'Model inputs'!AA95&lt;=30))="",FALSE,IF(ISERROR('Model inputs'!AA95&lt;=30),'Model inputs'!AA95&lt;=30,IF('Model inputs'!AA95="","",'Model inputs'!AA95&lt;=30))),'Model inputs'!AM102+('Model inputs'!AM103-'Model inputs'!AM102)*('Model inputs'!AA95-24)/6,IF(IF(IF(ISERROR('Model inputs'!AA95&lt;=36),'Model inputs'!AA95&lt;=36,IF('Model inputs'!AA95="","",'Model inputs'!AA95&lt;=36))="",FALSE,IF(ISERROR('Model inputs'!AA95&lt;=36),'Model inputs'!AA95&lt;=36,IF('Model inputs'!AA95="","",'Model inputs'!AA95&lt;=36))),'Model inputs'!AM103+('Model inputs'!AM104-'Model inputs'!AM103)*('Model inputs'!AA95-30)/6,IF('Model inputs'!AM104="","",'Model inputs'!AM104))))))))="",0,(IF(IF(IF(ISERROR('Model inputs'!AA95&lt;=6),'Model inputs'!AA95&lt;=6,IF('Model inputs'!AA95="","",'Model inputs'!AA95&lt;=6))="",FALSE,IF(ISERROR('Model inputs'!AA95&lt;=6),'Model inputs'!AA95&lt;=6,IF('Model inputs'!AA95="","",'Model inputs'!AA95&lt;=6))),'Model inputs'!AM99+('Model inputs'!AM105-'Model inputs'!AM99)*('Model inputs'!AA95-0)/6,IF(IF(IF(ISERROR('Model inputs'!AA95&lt;=12),'Model inputs'!AA95&lt;=12,IF('Model inputs'!AA95="","",'Model inputs'!AA95&lt;=12))="",FALSE,IF(ISERROR('Model inputs'!AA95&lt;=12),'Model inputs'!AA95&lt;=12,IF('Model inputs'!AA95="","",'Model inputs'!AA95&lt;=12))),'Model inputs'!AM105+('Model inputs'!AM100-'Model inputs'!AM105)*('Model inputs'!AA95-6)/6,IF(IF(IF(ISERROR('Model inputs'!AA95&lt;=18),'Model inputs'!AA95&lt;=18,IF('Model inputs'!AA95="","",'Model inputs'!AA95&lt;=18))="",FALSE,IF(ISERROR('Model inputs'!AA95&lt;=18),'Model inputs'!AA95&lt;=18,IF('Model inputs'!AA95="","",'Model inputs'!AA95&lt;=18))),'Model inputs'!AM100+('Model inputs'!AM101-'Model inputs'!AM100)*('Model inputs'!AA95-12)/6,IF(IF(IF(ISERROR('Model inputs'!AA95&lt;=24),'Model inputs'!AA95&lt;=24,IF('Model inputs'!AA95="","",'Model inputs'!AA95&lt;=24))="",FALSE,IF(ISERROR('Model inputs'!AA95&lt;=24),'Model inputs'!AA95&lt;=24,IF('Model inputs'!AA95="","",'Model inputs'!AA95&lt;=24))),'Model inputs'!AM101+('Model inputs'!AM102-'Model inputs'!AM101)*('Model inputs'!AA95-18)/6,IF(IF(IF(ISERROR('Model inputs'!AA95&lt;=30),'Model inputs'!AA95&lt;=30,IF('Model inputs'!AA95="","",'Model inputs'!AA95&lt;=30))="",FALSE,IF(ISERROR('Model inputs'!AA95&lt;=30),'Model inputs'!AA95&lt;=30,IF('Model inputs'!AA95="","",'Model inputs'!AA95&lt;=30))),'Model inputs'!AM102+('Model inputs'!AM103-'Model inputs'!AM102)*('Model inputs'!AA95-24)/6,IF(IF(IF(ISERROR('Model inputs'!AA95&lt;=36),'Model inputs'!AA95&lt;=36,IF('Model inputs'!AA95="","",'Model inputs'!AA95&lt;=36))="",FALSE,IF(ISERROR('Model inputs'!AA95&lt;=36),'Model inputs'!AA95&lt;=36,IF('Model inputs'!AA95="","",'Model inputs'!AA95&lt;=36))),'Model inputs'!AM103+('Model inputs'!AM104-'Model inputs'!AM103)*('Model inputs'!AA95-30)/6,IF('Model inputs'!AM104="","",'Model inputs'!AM104)))))))))*'Model inputs'!AM93</f>
      </c>
    </row>
    <row r="2188">
      <c r="A2188" t="inlineStr" s="25">
        <is>
          <t xml:space="preserve">Calculation</t>
        </is>
      </c>
      <c r="B2188">
        <f>IF((IF(IF(IF(ISERROR('Model inputs'!AB95&lt;=6),'Model inputs'!AB95&lt;=6,IF('Model inputs'!AB95="","",'Model inputs'!AB95&lt;=6))="",FALSE,IF(ISERROR('Model inputs'!AB95&lt;=6),'Model inputs'!AB95&lt;=6,IF('Model inputs'!AB95="","",'Model inputs'!AB95&lt;=6))),'Model inputs'!AM99+('Model inputs'!AM105-'Model inputs'!AM99)*('Model inputs'!AB95-0)/6,IF(IF(IF(ISERROR('Model inputs'!AB95&lt;=12),'Model inputs'!AB95&lt;=12,IF('Model inputs'!AB95="","",'Model inputs'!AB95&lt;=12))="",FALSE,IF(ISERROR('Model inputs'!AB95&lt;=12),'Model inputs'!AB95&lt;=12,IF('Model inputs'!AB95="","",'Model inputs'!AB95&lt;=12))),'Model inputs'!AM105+('Model inputs'!AM100-'Model inputs'!AM105)*('Model inputs'!AB95-6)/6,IF(IF(IF(ISERROR('Model inputs'!AB95&lt;=18),'Model inputs'!AB95&lt;=18,IF('Model inputs'!AB95="","",'Model inputs'!AB95&lt;=18))="",FALSE,IF(ISERROR('Model inputs'!AB95&lt;=18),'Model inputs'!AB95&lt;=18,IF('Model inputs'!AB95="","",'Model inputs'!AB95&lt;=18))),'Model inputs'!AM100+('Model inputs'!AM101-'Model inputs'!AM100)*('Model inputs'!AB95-12)/6,IF(IF(IF(ISERROR('Model inputs'!AB95&lt;=24),'Model inputs'!AB95&lt;=24,IF('Model inputs'!AB95="","",'Model inputs'!AB95&lt;=24))="",FALSE,IF(ISERROR('Model inputs'!AB95&lt;=24),'Model inputs'!AB95&lt;=24,IF('Model inputs'!AB95="","",'Model inputs'!AB95&lt;=24))),'Model inputs'!AM101+('Model inputs'!AM102-'Model inputs'!AM101)*('Model inputs'!AB95-18)/6,IF(IF(IF(ISERROR('Model inputs'!AB95&lt;=30),'Model inputs'!AB95&lt;=30,IF('Model inputs'!AB95="","",'Model inputs'!AB95&lt;=30))="",FALSE,IF(ISERROR('Model inputs'!AB95&lt;=30),'Model inputs'!AB95&lt;=30,IF('Model inputs'!AB95="","",'Model inputs'!AB95&lt;=30))),'Model inputs'!AM102+('Model inputs'!AM103-'Model inputs'!AM102)*('Model inputs'!AB95-24)/6,IF(IF(IF(ISERROR('Model inputs'!AB95&lt;=36),'Model inputs'!AB95&lt;=36,IF('Model inputs'!AB95="","",'Model inputs'!AB95&lt;=36))="",FALSE,IF(ISERROR('Model inputs'!AB95&lt;=36),'Model inputs'!AB95&lt;=36,IF('Model inputs'!AB95="","",'Model inputs'!AB95&lt;=36))),'Model inputs'!AM103+('Model inputs'!AM104-'Model inputs'!AM103)*('Model inputs'!AB95-30)/6,IF('Model inputs'!AM104="","",'Model inputs'!AM104))))))))="",0,(IF(IF(IF(ISERROR('Model inputs'!AB95&lt;=6),'Model inputs'!AB95&lt;=6,IF('Model inputs'!AB95="","",'Model inputs'!AB95&lt;=6))="",FALSE,IF(ISERROR('Model inputs'!AB95&lt;=6),'Model inputs'!AB95&lt;=6,IF('Model inputs'!AB95="","",'Model inputs'!AB95&lt;=6))),'Model inputs'!AM99+('Model inputs'!AM105-'Model inputs'!AM99)*('Model inputs'!AB95-0)/6,IF(IF(IF(ISERROR('Model inputs'!AB95&lt;=12),'Model inputs'!AB95&lt;=12,IF('Model inputs'!AB95="","",'Model inputs'!AB95&lt;=12))="",FALSE,IF(ISERROR('Model inputs'!AB95&lt;=12),'Model inputs'!AB95&lt;=12,IF('Model inputs'!AB95="","",'Model inputs'!AB95&lt;=12))),'Model inputs'!AM105+('Model inputs'!AM100-'Model inputs'!AM105)*('Model inputs'!AB95-6)/6,IF(IF(IF(ISERROR('Model inputs'!AB95&lt;=18),'Model inputs'!AB95&lt;=18,IF('Model inputs'!AB95="","",'Model inputs'!AB95&lt;=18))="",FALSE,IF(ISERROR('Model inputs'!AB95&lt;=18),'Model inputs'!AB95&lt;=18,IF('Model inputs'!AB95="","",'Model inputs'!AB95&lt;=18))),'Model inputs'!AM100+('Model inputs'!AM101-'Model inputs'!AM100)*('Model inputs'!AB95-12)/6,IF(IF(IF(ISERROR('Model inputs'!AB95&lt;=24),'Model inputs'!AB95&lt;=24,IF('Model inputs'!AB95="","",'Model inputs'!AB95&lt;=24))="",FALSE,IF(ISERROR('Model inputs'!AB95&lt;=24),'Model inputs'!AB95&lt;=24,IF('Model inputs'!AB95="","",'Model inputs'!AB95&lt;=24))),'Model inputs'!AM101+('Model inputs'!AM102-'Model inputs'!AM101)*('Model inputs'!AB95-18)/6,IF(IF(IF(ISERROR('Model inputs'!AB95&lt;=30),'Model inputs'!AB95&lt;=30,IF('Model inputs'!AB95="","",'Model inputs'!AB95&lt;=30))="",FALSE,IF(ISERROR('Model inputs'!AB95&lt;=30),'Model inputs'!AB95&lt;=30,IF('Model inputs'!AB95="","",'Model inputs'!AB95&lt;=30))),'Model inputs'!AM102+('Model inputs'!AM103-'Model inputs'!AM102)*('Model inputs'!AB95-24)/6,IF(IF(IF(ISERROR('Model inputs'!AB95&lt;=36),'Model inputs'!AB95&lt;=36,IF('Model inputs'!AB95="","",'Model inputs'!AB95&lt;=36))="",FALSE,IF(ISERROR('Model inputs'!AB95&lt;=36),'Model inputs'!AB95&lt;=36,IF('Model inputs'!AB95="","",'Model inputs'!AB95&lt;=36))),'Model inputs'!AM103+('Model inputs'!AM104-'Model inputs'!AM103)*('Model inputs'!AB95-30)/6,IF('Model inputs'!AM104="","",'Model inputs'!AM104)))))))))*'Model inputs'!AM93</f>
      </c>
    </row>
    <row r="2189">
      <c r="A2189" t="inlineStr" s="25">
        <is>
          <t xml:space="preserve">Calculation</t>
        </is>
      </c>
      <c r="B2189">
        <f>IF((IF(IF(IF(ISERROR('Model inputs'!AC95&lt;=6),'Model inputs'!AC95&lt;=6,IF('Model inputs'!AC95="","",'Model inputs'!AC95&lt;=6))="",FALSE,IF(ISERROR('Model inputs'!AC95&lt;=6),'Model inputs'!AC95&lt;=6,IF('Model inputs'!AC95="","",'Model inputs'!AC95&lt;=6))),'Model inputs'!AM99+('Model inputs'!AM105-'Model inputs'!AM99)*('Model inputs'!AC95-0)/6,IF(IF(IF(ISERROR('Model inputs'!AC95&lt;=12),'Model inputs'!AC95&lt;=12,IF('Model inputs'!AC95="","",'Model inputs'!AC95&lt;=12))="",FALSE,IF(ISERROR('Model inputs'!AC95&lt;=12),'Model inputs'!AC95&lt;=12,IF('Model inputs'!AC95="","",'Model inputs'!AC95&lt;=12))),'Model inputs'!AM105+('Model inputs'!AM100-'Model inputs'!AM105)*('Model inputs'!AC95-6)/6,IF(IF(IF(ISERROR('Model inputs'!AC95&lt;=18),'Model inputs'!AC95&lt;=18,IF('Model inputs'!AC95="","",'Model inputs'!AC95&lt;=18))="",FALSE,IF(ISERROR('Model inputs'!AC95&lt;=18),'Model inputs'!AC95&lt;=18,IF('Model inputs'!AC95="","",'Model inputs'!AC95&lt;=18))),'Model inputs'!AM100+('Model inputs'!AM101-'Model inputs'!AM100)*('Model inputs'!AC95-12)/6,IF(IF(IF(ISERROR('Model inputs'!AC95&lt;=24),'Model inputs'!AC95&lt;=24,IF('Model inputs'!AC95="","",'Model inputs'!AC95&lt;=24))="",FALSE,IF(ISERROR('Model inputs'!AC95&lt;=24),'Model inputs'!AC95&lt;=24,IF('Model inputs'!AC95="","",'Model inputs'!AC95&lt;=24))),'Model inputs'!AM101+('Model inputs'!AM102-'Model inputs'!AM101)*('Model inputs'!AC95-18)/6,IF(IF(IF(ISERROR('Model inputs'!AC95&lt;=30),'Model inputs'!AC95&lt;=30,IF('Model inputs'!AC95="","",'Model inputs'!AC95&lt;=30))="",FALSE,IF(ISERROR('Model inputs'!AC95&lt;=30),'Model inputs'!AC95&lt;=30,IF('Model inputs'!AC95="","",'Model inputs'!AC95&lt;=30))),'Model inputs'!AM102+('Model inputs'!AM103-'Model inputs'!AM102)*('Model inputs'!AC95-24)/6,IF(IF(IF(ISERROR('Model inputs'!AC95&lt;=36),'Model inputs'!AC95&lt;=36,IF('Model inputs'!AC95="","",'Model inputs'!AC95&lt;=36))="",FALSE,IF(ISERROR('Model inputs'!AC95&lt;=36),'Model inputs'!AC95&lt;=36,IF('Model inputs'!AC95="","",'Model inputs'!AC95&lt;=36))),'Model inputs'!AM103+('Model inputs'!AM104-'Model inputs'!AM103)*('Model inputs'!AC95-30)/6,IF('Model inputs'!AM104="","",'Model inputs'!AM104))))))))="",0,(IF(IF(IF(ISERROR('Model inputs'!AC95&lt;=6),'Model inputs'!AC95&lt;=6,IF('Model inputs'!AC95="","",'Model inputs'!AC95&lt;=6))="",FALSE,IF(ISERROR('Model inputs'!AC95&lt;=6),'Model inputs'!AC95&lt;=6,IF('Model inputs'!AC95="","",'Model inputs'!AC95&lt;=6))),'Model inputs'!AM99+('Model inputs'!AM105-'Model inputs'!AM99)*('Model inputs'!AC95-0)/6,IF(IF(IF(ISERROR('Model inputs'!AC95&lt;=12),'Model inputs'!AC95&lt;=12,IF('Model inputs'!AC95="","",'Model inputs'!AC95&lt;=12))="",FALSE,IF(ISERROR('Model inputs'!AC95&lt;=12),'Model inputs'!AC95&lt;=12,IF('Model inputs'!AC95="","",'Model inputs'!AC95&lt;=12))),'Model inputs'!AM105+('Model inputs'!AM100-'Model inputs'!AM105)*('Model inputs'!AC95-6)/6,IF(IF(IF(ISERROR('Model inputs'!AC95&lt;=18),'Model inputs'!AC95&lt;=18,IF('Model inputs'!AC95="","",'Model inputs'!AC95&lt;=18))="",FALSE,IF(ISERROR('Model inputs'!AC95&lt;=18),'Model inputs'!AC95&lt;=18,IF('Model inputs'!AC95="","",'Model inputs'!AC95&lt;=18))),'Model inputs'!AM100+('Model inputs'!AM101-'Model inputs'!AM100)*('Model inputs'!AC95-12)/6,IF(IF(IF(ISERROR('Model inputs'!AC95&lt;=24),'Model inputs'!AC95&lt;=24,IF('Model inputs'!AC95="","",'Model inputs'!AC95&lt;=24))="",FALSE,IF(ISERROR('Model inputs'!AC95&lt;=24),'Model inputs'!AC95&lt;=24,IF('Model inputs'!AC95="","",'Model inputs'!AC95&lt;=24))),'Model inputs'!AM101+('Model inputs'!AM102-'Model inputs'!AM101)*('Model inputs'!AC95-18)/6,IF(IF(IF(ISERROR('Model inputs'!AC95&lt;=30),'Model inputs'!AC95&lt;=30,IF('Model inputs'!AC95="","",'Model inputs'!AC95&lt;=30))="",FALSE,IF(ISERROR('Model inputs'!AC95&lt;=30),'Model inputs'!AC95&lt;=30,IF('Model inputs'!AC95="","",'Model inputs'!AC95&lt;=30))),'Model inputs'!AM102+('Model inputs'!AM103-'Model inputs'!AM102)*('Model inputs'!AC95-24)/6,IF(IF(IF(ISERROR('Model inputs'!AC95&lt;=36),'Model inputs'!AC95&lt;=36,IF('Model inputs'!AC95="","",'Model inputs'!AC95&lt;=36))="",FALSE,IF(ISERROR('Model inputs'!AC95&lt;=36),'Model inputs'!AC95&lt;=36,IF('Model inputs'!AC95="","",'Model inputs'!AC95&lt;=36))),'Model inputs'!AM103+('Model inputs'!AM104-'Model inputs'!AM103)*('Model inputs'!AC95-30)/6,IF('Model inputs'!AM104="","",'Model inputs'!AM104)))))))))*'Model inputs'!AM93</f>
      </c>
    </row>
    <row r="2190">
      <c r="A2190" t="inlineStr" s="25">
        <is>
          <t xml:space="preserve">Calculation</t>
        </is>
      </c>
      <c r="B2190">
        <f>IF((IF(IF(IF(ISERROR('Model inputs'!AD95&lt;=6),'Model inputs'!AD95&lt;=6,IF('Model inputs'!AD95="","",'Model inputs'!AD95&lt;=6))="",FALSE,IF(ISERROR('Model inputs'!AD95&lt;=6),'Model inputs'!AD95&lt;=6,IF('Model inputs'!AD95="","",'Model inputs'!AD95&lt;=6))),'Model inputs'!AM99+('Model inputs'!AM105-'Model inputs'!AM99)*('Model inputs'!AD95-0)/6,IF(IF(IF(ISERROR('Model inputs'!AD95&lt;=12),'Model inputs'!AD95&lt;=12,IF('Model inputs'!AD95="","",'Model inputs'!AD95&lt;=12))="",FALSE,IF(ISERROR('Model inputs'!AD95&lt;=12),'Model inputs'!AD95&lt;=12,IF('Model inputs'!AD95="","",'Model inputs'!AD95&lt;=12))),'Model inputs'!AM105+('Model inputs'!AM100-'Model inputs'!AM105)*('Model inputs'!AD95-6)/6,IF(IF(IF(ISERROR('Model inputs'!AD95&lt;=18),'Model inputs'!AD95&lt;=18,IF('Model inputs'!AD95="","",'Model inputs'!AD95&lt;=18))="",FALSE,IF(ISERROR('Model inputs'!AD95&lt;=18),'Model inputs'!AD95&lt;=18,IF('Model inputs'!AD95="","",'Model inputs'!AD95&lt;=18))),'Model inputs'!AM100+('Model inputs'!AM101-'Model inputs'!AM100)*('Model inputs'!AD95-12)/6,IF(IF(IF(ISERROR('Model inputs'!AD95&lt;=24),'Model inputs'!AD95&lt;=24,IF('Model inputs'!AD95="","",'Model inputs'!AD95&lt;=24))="",FALSE,IF(ISERROR('Model inputs'!AD95&lt;=24),'Model inputs'!AD95&lt;=24,IF('Model inputs'!AD95="","",'Model inputs'!AD95&lt;=24))),'Model inputs'!AM101+('Model inputs'!AM102-'Model inputs'!AM101)*('Model inputs'!AD95-18)/6,IF(IF(IF(ISERROR('Model inputs'!AD95&lt;=30),'Model inputs'!AD95&lt;=30,IF('Model inputs'!AD95="","",'Model inputs'!AD95&lt;=30))="",FALSE,IF(ISERROR('Model inputs'!AD95&lt;=30),'Model inputs'!AD95&lt;=30,IF('Model inputs'!AD95="","",'Model inputs'!AD95&lt;=30))),'Model inputs'!AM102+('Model inputs'!AM103-'Model inputs'!AM102)*('Model inputs'!AD95-24)/6,IF(IF(IF(ISERROR('Model inputs'!AD95&lt;=36),'Model inputs'!AD95&lt;=36,IF('Model inputs'!AD95="","",'Model inputs'!AD95&lt;=36))="",FALSE,IF(ISERROR('Model inputs'!AD95&lt;=36),'Model inputs'!AD95&lt;=36,IF('Model inputs'!AD95="","",'Model inputs'!AD95&lt;=36))),'Model inputs'!AM103+('Model inputs'!AM104-'Model inputs'!AM103)*('Model inputs'!AD95-30)/6,IF('Model inputs'!AM104="","",'Model inputs'!AM104))))))))="",0,(IF(IF(IF(ISERROR('Model inputs'!AD95&lt;=6),'Model inputs'!AD95&lt;=6,IF('Model inputs'!AD95="","",'Model inputs'!AD95&lt;=6))="",FALSE,IF(ISERROR('Model inputs'!AD95&lt;=6),'Model inputs'!AD95&lt;=6,IF('Model inputs'!AD95="","",'Model inputs'!AD95&lt;=6))),'Model inputs'!AM99+('Model inputs'!AM105-'Model inputs'!AM99)*('Model inputs'!AD95-0)/6,IF(IF(IF(ISERROR('Model inputs'!AD95&lt;=12),'Model inputs'!AD95&lt;=12,IF('Model inputs'!AD95="","",'Model inputs'!AD95&lt;=12))="",FALSE,IF(ISERROR('Model inputs'!AD95&lt;=12),'Model inputs'!AD95&lt;=12,IF('Model inputs'!AD95="","",'Model inputs'!AD95&lt;=12))),'Model inputs'!AM105+('Model inputs'!AM100-'Model inputs'!AM105)*('Model inputs'!AD95-6)/6,IF(IF(IF(ISERROR('Model inputs'!AD95&lt;=18),'Model inputs'!AD95&lt;=18,IF('Model inputs'!AD95="","",'Model inputs'!AD95&lt;=18))="",FALSE,IF(ISERROR('Model inputs'!AD95&lt;=18),'Model inputs'!AD95&lt;=18,IF('Model inputs'!AD95="","",'Model inputs'!AD95&lt;=18))),'Model inputs'!AM100+('Model inputs'!AM101-'Model inputs'!AM100)*('Model inputs'!AD95-12)/6,IF(IF(IF(ISERROR('Model inputs'!AD95&lt;=24),'Model inputs'!AD95&lt;=24,IF('Model inputs'!AD95="","",'Model inputs'!AD95&lt;=24))="",FALSE,IF(ISERROR('Model inputs'!AD95&lt;=24),'Model inputs'!AD95&lt;=24,IF('Model inputs'!AD95="","",'Model inputs'!AD95&lt;=24))),'Model inputs'!AM101+('Model inputs'!AM102-'Model inputs'!AM101)*('Model inputs'!AD95-18)/6,IF(IF(IF(ISERROR('Model inputs'!AD95&lt;=30),'Model inputs'!AD95&lt;=30,IF('Model inputs'!AD95="","",'Model inputs'!AD95&lt;=30))="",FALSE,IF(ISERROR('Model inputs'!AD95&lt;=30),'Model inputs'!AD95&lt;=30,IF('Model inputs'!AD95="","",'Model inputs'!AD95&lt;=30))),'Model inputs'!AM102+('Model inputs'!AM103-'Model inputs'!AM102)*('Model inputs'!AD95-24)/6,IF(IF(IF(ISERROR('Model inputs'!AD95&lt;=36),'Model inputs'!AD95&lt;=36,IF('Model inputs'!AD95="","",'Model inputs'!AD95&lt;=36))="",FALSE,IF(ISERROR('Model inputs'!AD95&lt;=36),'Model inputs'!AD95&lt;=36,IF('Model inputs'!AD95="","",'Model inputs'!AD95&lt;=36))),'Model inputs'!AM103+('Model inputs'!AM104-'Model inputs'!AM103)*('Model inputs'!AD95-30)/6,IF('Model inputs'!AM104="","",'Model inputs'!AM104)))))))))*'Model inputs'!AM93</f>
      </c>
    </row>
    <row r="2191">
      <c r="A2191" t="inlineStr" s="25">
        <is>
          <t xml:space="preserve">Calculation</t>
        </is>
      </c>
      <c r="B2191">
        <f>IF((IF(IF(IF(ISERROR('Model inputs'!AE95&lt;=6),'Model inputs'!AE95&lt;=6,IF('Model inputs'!AE95="","",'Model inputs'!AE95&lt;=6))="",FALSE,IF(ISERROR('Model inputs'!AE95&lt;=6),'Model inputs'!AE95&lt;=6,IF('Model inputs'!AE95="","",'Model inputs'!AE95&lt;=6))),'Model inputs'!AM99+('Model inputs'!AM105-'Model inputs'!AM99)*('Model inputs'!AE95-0)/6,IF(IF(IF(ISERROR('Model inputs'!AE95&lt;=12),'Model inputs'!AE95&lt;=12,IF('Model inputs'!AE95="","",'Model inputs'!AE95&lt;=12))="",FALSE,IF(ISERROR('Model inputs'!AE95&lt;=12),'Model inputs'!AE95&lt;=12,IF('Model inputs'!AE95="","",'Model inputs'!AE95&lt;=12))),'Model inputs'!AM105+('Model inputs'!AM100-'Model inputs'!AM105)*('Model inputs'!AE95-6)/6,IF(IF(IF(ISERROR('Model inputs'!AE95&lt;=18),'Model inputs'!AE95&lt;=18,IF('Model inputs'!AE95="","",'Model inputs'!AE95&lt;=18))="",FALSE,IF(ISERROR('Model inputs'!AE95&lt;=18),'Model inputs'!AE95&lt;=18,IF('Model inputs'!AE95="","",'Model inputs'!AE95&lt;=18))),'Model inputs'!AM100+('Model inputs'!AM101-'Model inputs'!AM100)*('Model inputs'!AE95-12)/6,IF(IF(IF(ISERROR('Model inputs'!AE95&lt;=24),'Model inputs'!AE95&lt;=24,IF('Model inputs'!AE95="","",'Model inputs'!AE95&lt;=24))="",FALSE,IF(ISERROR('Model inputs'!AE95&lt;=24),'Model inputs'!AE95&lt;=24,IF('Model inputs'!AE95="","",'Model inputs'!AE95&lt;=24))),'Model inputs'!AM101+('Model inputs'!AM102-'Model inputs'!AM101)*('Model inputs'!AE95-18)/6,IF(IF(IF(ISERROR('Model inputs'!AE95&lt;=30),'Model inputs'!AE95&lt;=30,IF('Model inputs'!AE95="","",'Model inputs'!AE95&lt;=30))="",FALSE,IF(ISERROR('Model inputs'!AE95&lt;=30),'Model inputs'!AE95&lt;=30,IF('Model inputs'!AE95="","",'Model inputs'!AE95&lt;=30))),'Model inputs'!AM102+('Model inputs'!AM103-'Model inputs'!AM102)*('Model inputs'!AE95-24)/6,IF(IF(IF(ISERROR('Model inputs'!AE95&lt;=36),'Model inputs'!AE95&lt;=36,IF('Model inputs'!AE95="","",'Model inputs'!AE95&lt;=36))="",FALSE,IF(ISERROR('Model inputs'!AE95&lt;=36),'Model inputs'!AE95&lt;=36,IF('Model inputs'!AE95="","",'Model inputs'!AE95&lt;=36))),'Model inputs'!AM103+('Model inputs'!AM104-'Model inputs'!AM103)*('Model inputs'!AE95-30)/6,IF('Model inputs'!AM104="","",'Model inputs'!AM104))))))))="",0,(IF(IF(IF(ISERROR('Model inputs'!AE95&lt;=6),'Model inputs'!AE95&lt;=6,IF('Model inputs'!AE95="","",'Model inputs'!AE95&lt;=6))="",FALSE,IF(ISERROR('Model inputs'!AE95&lt;=6),'Model inputs'!AE95&lt;=6,IF('Model inputs'!AE95="","",'Model inputs'!AE95&lt;=6))),'Model inputs'!AM99+('Model inputs'!AM105-'Model inputs'!AM99)*('Model inputs'!AE95-0)/6,IF(IF(IF(ISERROR('Model inputs'!AE95&lt;=12),'Model inputs'!AE95&lt;=12,IF('Model inputs'!AE95="","",'Model inputs'!AE95&lt;=12))="",FALSE,IF(ISERROR('Model inputs'!AE95&lt;=12),'Model inputs'!AE95&lt;=12,IF('Model inputs'!AE95="","",'Model inputs'!AE95&lt;=12))),'Model inputs'!AM105+('Model inputs'!AM100-'Model inputs'!AM105)*('Model inputs'!AE95-6)/6,IF(IF(IF(ISERROR('Model inputs'!AE95&lt;=18),'Model inputs'!AE95&lt;=18,IF('Model inputs'!AE95="","",'Model inputs'!AE95&lt;=18))="",FALSE,IF(ISERROR('Model inputs'!AE95&lt;=18),'Model inputs'!AE95&lt;=18,IF('Model inputs'!AE95="","",'Model inputs'!AE95&lt;=18))),'Model inputs'!AM100+('Model inputs'!AM101-'Model inputs'!AM100)*('Model inputs'!AE95-12)/6,IF(IF(IF(ISERROR('Model inputs'!AE95&lt;=24),'Model inputs'!AE95&lt;=24,IF('Model inputs'!AE95="","",'Model inputs'!AE95&lt;=24))="",FALSE,IF(ISERROR('Model inputs'!AE95&lt;=24),'Model inputs'!AE95&lt;=24,IF('Model inputs'!AE95="","",'Model inputs'!AE95&lt;=24))),'Model inputs'!AM101+('Model inputs'!AM102-'Model inputs'!AM101)*('Model inputs'!AE95-18)/6,IF(IF(IF(ISERROR('Model inputs'!AE95&lt;=30),'Model inputs'!AE95&lt;=30,IF('Model inputs'!AE95="","",'Model inputs'!AE95&lt;=30))="",FALSE,IF(ISERROR('Model inputs'!AE95&lt;=30),'Model inputs'!AE95&lt;=30,IF('Model inputs'!AE95="","",'Model inputs'!AE95&lt;=30))),'Model inputs'!AM102+('Model inputs'!AM103-'Model inputs'!AM102)*('Model inputs'!AE95-24)/6,IF(IF(IF(ISERROR('Model inputs'!AE95&lt;=36),'Model inputs'!AE95&lt;=36,IF('Model inputs'!AE95="","",'Model inputs'!AE95&lt;=36))="",FALSE,IF(ISERROR('Model inputs'!AE95&lt;=36),'Model inputs'!AE95&lt;=36,IF('Model inputs'!AE95="","",'Model inputs'!AE95&lt;=36))),'Model inputs'!AM103+('Model inputs'!AM104-'Model inputs'!AM103)*('Model inputs'!AE95-30)/6,IF('Model inputs'!AM104="","",'Model inputs'!AM104)))))))))*'Model inputs'!AM93</f>
      </c>
    </row>
    <row r="2192">
      <c r="A2192" t="inlineStr" s="25">
        <is>
          <t xml:space="preserve">Calculation</t>
        </is>
      </c>
      <c r="B2192">
        <f>IF((IF(IF(IF(ISERROR('Model inputs'!AF95&lt;=6),'Model inputs'!AF95&lt;=6,IF('Model inputs'!AF95="","",'Model inputs'!AF95&lt;=6))="",FALSE,IF(ISERROR('Model inputs'!AF95&lt;=6),'Model inputs'!AF95&lt;=6,IF('Model inputs'!AF95="","",'Model inputs'!AF95&lt;=6))),'Model inputs'!AM99+('Model inputs'!AM105-'Model inputs'!AM99)*('Model inputs'!AF95-0)/6,IF(IF(IF(ISERROR('Model inputs'!AF95&lt;=12),'Model inputs'!AF95&lt;=12,IF('Model inputs'!AF95="","",'Model inputs'!AF95&lt;=12))="",FALSE,IF(ISERROR('Model inputs'!AF95&lt;=12),'Model inputs'!AF95&lt;=12,IF('Model inputs'!AF95="","",'Model inputs'!AF95&lt;=12))),'Model inputs'!AM105+('Model inputs'!AM100-'Model inputs'!AM105)*('Model inputs'!AF95-6)/6,IF(IF(IF(ISERROR('Model inputs'!AF95&lt;=18),'Model inputs'!AF95&lt;=18,IF('Model inputs'!AF95="","",'Model inputs'!AF95&lt;=18))="",FALSE,IF(ISERROR('Model inputs'!AF95&lt;=18),'Model inputs'!AF95&lt;=18,IF('Model inputs'!AF95="","",'Model inputs'!AF95&lt;=18))),'Model inputs'!AM100+('Model inputs'!AM101-'Model inputs'!AM100)*('Model inputs'!AF95-12)/6,IF(IF(IF(ISERROR('Model inputs'!AF95&lt;=24),'Model inputs'!AF95&lt;=24,IF('Model inputs'!AF95="","",'Model inputs'!AF95&lt;=24))="",FALSE,IF(ISERROR('Model inputs'!AF95&lt;=24),'Model inputs'!AF95&lt;=24,IF('Model inputs'!AF95="","",'Model inputs'!AF95&lt;=24))),'Model inputs'!AM101+('Model inputs'!AM102-'Model inputs'!AM101)*('Model inputs'!AF95-18)/6,IF(IF(IF(ISERROR('Model inputs'!AF95&lt;=30),'Model inputs'!AF95&lt;=30,IF('Model inputs'!AF95="","",'Model inputs'!AF95&lt;=30))="",FALSE,IF(ISERROR('Model inputs'!AF95&lt;=30),'Model inputs'!AF95&lt;=30,IF('Model inputs'!AF95="","",'Model inputs'!AF95&lt;=30))),'Model inputs'!AM102+('Model inputs'!AM103-'Model inputs'!AM102)*('Model inputs'!AF95-24)/6,IF(IF(IF(ISERROR('Model inputs'!AF95&lt;=36),'Model inputs'!AF95&lt;=36,IF('Model inputs'!AF95="","",'Model inputs'!AF95&lt;=36))="",FALSE,IF(ISERROR('Model inputs'!AF95&lt;=36),'Model inputs'!AF95&lt;=36,IF('Model inputs'!AF95="","",'Model inputs'!AF95&lt;=36))),'Model inputs'!AM103+('Model inputs'!AM104-'Model inputs'!AM103)*('Model inputs'!AF95-30)/6,IF('Model inputs'!AM104="","",'Model inputs'!AM104))))))))="",0,(IF(IF(IF(ISERROR('Model inputs'!AF95&lt;=6),'Model inputs'!AF95&lt;=6,IF('Model inputs'!AF95="","",'Model inputs'!AF95&lt;=6))="",FALSE,IF(ISERROR('Model inputs'!AF95&lt;=6),'Model inputs'!AF95&lt;=6,IF('Model inputs'!AF95="","",'Model inputs'!AF95&lt;=6))),'Model inputs'!AM99+('Model inputs'!AM105-'Model inputs'!AM99)*('Model inputs'!AF95-0)/6,IF(IF(IF(ISERROR('Model inputs'!AF95&lt;=12),'Model inputs'!AF95&lt;=12,IF('Model inputs'!AF95="","",'Model inputs'!AF95&lt;=12))="",FALSE,IF(ISERROR('Model inputs'!AF95&lt;=12),'Model inputs'!AF95&lt;=12,IF('Model inputs'!AF95="","",'Model inputs'!AF95&lt;=12))),'Model inputs'!AM105+('Model inputs'!AM100-'Model inputs'!AM105)*('Model inputs'!AF95-6)/6,IF(IF(IF(ISERROR('Model inputs'!AF95&lt;=18),'Model inputs'!AF95&lt;=18,IF('Model inputs'!AF95="","",'Model inputs'!AF95&lt;=18))="",FALSE,IF(ISERROR('Model inputs'!AF95&lt;=18),'Model inputs'!AF95&lt;=18,IF('Model inputs'!AF95="","",'Model inputs'!AF95&lt;=18))),'Model inputs'!AM100+('Model inputs'!AM101-'Model inputs'!AM100)*('Model inputs'!AF95-12)/6,IF(IF(IF(ISERROR('Model inputs'!AF95&lt;=24),'Model inputs'!AF95&lt;=24,IF('Model inputs'!AF95="","",'Model inputs'!AF95&lt;=24))="",FALSE,IF(ISERROR('Model inputs'!AF95&lt;=24),'Model inputs'!AF95&lt;=24,IF('Model inputs'!AF95="","",'Model inputs'!AF95&lt;=24))),'Model inputs'!AM101+('Model inputs'!AM102-'Model inputs'!AM101)*('Model inputs'!AF95-18)/6,IF(IF(IF(ISERROR('Model inputs'!AF95&lt;=30),'Model inputs'!AF95&lt;=30,IF('Model inputs'!AF95="","",'Model inputs'!AF95&lt;=30))="",FALSE,IF(ISERROR('Model inputs'!AF95&lt;=30),'Model inputs'!AF95&lt;=30,IF('Model inputs'!AF95="","",'Model inputs'!AF95&lt;=30))),'Model inputs'!AM102+('Model inputs'!AM103-'Model inputs'!AM102)*('Model inputs'!AF95-24)/6,IF(IF(IF(ISERROR('Model inputs'!AF95&lt;=36),'Model inputs'!AF95&lt;=36,IF('Model inputs'!AF95="","",'Model inputs'!AF95&lt;=36))="",FALSE,IF(ISERROR('Model inputs'!AF95&lt;=36),'Model inputs'!AF95&lt;=36,IF('Model inputs'!AF95="","",'Model inputs'!AF95&lt;=36))),'Model inputs'!AM103+('Model inputs'!AM104-'Model inputs'!AM103)*('Model inputs'!AF95-30)/6,IF('Model inputs'!AM104="","",'Model inputs'!AM104)))))))))*'Model inputs'!AM93</f>
      </c>
    </row>
    <row r="2193">
      <c r="A2193" t="inlineStr" s="25">
        <is>
          <t xml:space="preserve">Calculation</t>
        </is>
      </c>
      <c r="B2193">
        <f>IF((IF(IF(IF(ISERROR('Model inputs'!AG95&lt;=6),'Model inputs'!AG95&lt;=6,IF('Model inputs'!AG95="","",'Model inputs'!AG95&lt;=6))="",FALSE,IF(ISERROR('Model inputs'!AG95&lt;=6),'Model inputs'!AG95&lt;=6,IF('Model inputs'!AG95="","",'Model inputs'!AG95&lt;=6))),'Model inputs'!AM99+('Model inputs'!AM105-'Model inputs'!AM99)*('Model inputs'!AG95-0)/6,IF(IF(IF(ISERROR('Model inputs'!AG95&lt;=12),'Model inputs'!AG95&lt;=12,IF('Model inputs'!AG95="","",'Model inputs'!AG95&lt;=12))="",FALSE,IF(ISERROR('Model inputs'!AG95&lt;=12),'Model inputs'!AG95&lt;=12,IF('Model inputs'!AG95="","",'Model inputs'!AG95&lt;=12))),'Model inputs'!AM105+('Model inputs'!AM100-'Model inputs'!AM105)*('Model inputs'!AG95-6)/6,IF(IF(IF(ISERROR('Model inputs'!AG95&lt;=18),'Model inputs'!AG95&lt;=18,IF('Model inputs'!AG95="","",'Model inputs'!AG95&lt;=18))="",FALSE,IF(ISERROR('Model inputs'!AG95&lt;=18),'Model inputs'!AG95&lt;=18,IF('Model inputs'!AG95="","",'Model inputs'!AG95&lt;=18))),'Model inputs'!AM100+('Model inputs'!AM101-'Model inputs'!AM100)*('Model inputs'!AG95-12)/6,IF(IF(IF(ISERROR('Model inputs'!AG95&lt;=24),'Model inputs'!AG95&lt;=24,IF('Model inputs'!AG95="","",'Model inputs'!AG95&lt;=24))="",FALSE,IF(ISERROR('Model inputs'!AG95&lt;=24),'Model inputs'!AG95&lt;=24,IF('Model inputs'!AG95="","",'Model inputs'!AG95&lt;=24))),'Model inputs'!AM101+('Model inputs'!AM102-'Model inputs'!AM101)*('Model inputs'!AG95-18)/6,IF(IF(IF(ISERROR('Model inputs'!AG95&lt;=30),'Model inputs'!AG95&lt;=30,IF('Model inputs'!AG95="","",'Model inputs'!AG95&lt;=30))="",FALSE,IF(ISERROR('Model inputs'!AG95&lt;=30),'Model inputs'!AG95&lt;=30,IF('Model inputs'!AG95="","",'Model inputs'!AG95&lt;=30))),'Model inputs'!AM102+('Model inputs'!AM103-'Model inputs'!AM102)*('Model inputs'!AG95-24)/6,IF(IF(IF(ISERROR('Model inputs'!AG95&lt;=36),'Model inputs'!AG95&lt;=36,IF('Model inputs'!AG95="","",'Model inputs'!AG95&lt;=36))="",FALSE,IF(ISERROR('Model inputs'!AG95&lt;=36),'Model inputs'!AG95&lt;=36,IF('Model inputs'!AG95="","",'Model inputs'!AG95&lt;=36))),'Model inputs'!AM103+('Model inputs'!AM104-'Model inputs'!AM103)*('Model inputs'!AG95-30)/6,IF('Model inputs'!AM104="","",'Model inputs'!AM104))))))))="",0,(IF(IF(IF(ISERROR('Model inputs'!AG95&lt;=6),'Model inputs'!AG95&lt;=6,IF('Model inputs'!AG95="","",'Model inputs'!AG95&lt;=6))="",FALSE,IF(ISERROR('Model inputs'!AG95&lt;=6),'Model inputs'!AG95&lt;=6,IF('Model inputs'!AG95="","",'Model inputs'!AG95&lt;=6))),'Model inputs'!AM99+('Model inputs'!AM105-'Model inputs'!AM99)*('Model inputs'!AG95-0)/6,IF(IF(IF(ISERROR('Model inputs'!AG95&lt;=12),'Model inputs'!AG95&lt;=12,IF('Model inputs'!AG95="","",'Model inputs'!AG95&lt;=12))="",FALSE,IF(ISERROR('Model inputs'!AG95&lt;=12),'Model inputs'!AG95&lt;=12,IF('Model inputs'!AG95="","",'Model inputs'!AG95&lt;=12))),'Model inputs'!AM105+('Model inputs'!AM100-'Model inputs'!AM105)*('Model inputs'!AG95-6)/6,IF(IF(IF(ISERROR('Model inputs'!AG95&lt;=18),'Model inputs'!AG95&lt;=18,IF('Model inputs'!AG95="","",'Model inputs'!AG95&lt;=18))="",FALSE,IF(ISERROR('Model inputs'!AG95&lt;=18),'Model inputs'!AG95&lt;=18,IF('Model inputs'!AG95="","",'Model inputs'!AG95&lt;=18))),'Model inputs'!AM100+('Model inputs'!AM101-'Model inputs'!AM100)*('Model inputs'!AG95-12)/6,IF(IF(IF(ISERROR('Model inputs'!AG95&lt;=24),'Model inputs'!AG95&lt;=24,IF('Model inputs'!AG95="","",'Model inputs'!AG95&lt;=24))="",FALSE,IF(ISERROR('Model inputs'!AG95&lt;=24),'Model inputs'!AG95&lt;=24,IF('Model inputs'!AG95="","",'Model inputs'!AG95&lt;=24))),'Model inputs'!AM101+('Model inputs'!AM102-'Model inputs'!AM101)*('Model inputs'!AG95-18)/6,IF(IF(IF(ISERROR('Model inputs'!AG95&lt;=30),'Model inputs'!AG95&lt;=30,IF('Model inputs'!AG95="","",'Model inputs'!AG95&lt;=30))="",FALSE,IF(ISERROR('Model inputs'!AG95&lt;=30),'Model inputs'!AG95&lt;=30,IF('Model inputs'!AG95="","",'Model inputs'!AG95&lt;=30))),'Model inputs'!AM102+('Model inputs'!AM103-'Model inputs'!AM102)*('Model inputs'!AG95-24)/6,IF(IF(IF(ISERROR('Model inputs'!AG95&lt;=36),'Model inputs'!AG95&lt;=36,IF('Model inputs'!AG95="","",'Model inputs'!AG95&lt;=36))="",FALSE,IF(ISERROR('Model inputs'!AG95&lt;=36),'Model inputs'!AG95&lt;=36,IF('Model inputs'!AG95="","",'Model inputs'!AG95&lt;=36))),'Model inputs'!AM103+('Model inputs'!AM104-'Model inputs'!AM103)*('Model inputs'!AG95-30)/6,IF('Model inputs'!AM104="","",'Model inputs'!AM104)))))))))*'Model inputs'!AM93</f>
      </c>
    </row>
    <row r="2194">
      <c r="A2194" t="inlineStr" s="25">
        <is>
          <t xml:space="preserve">Calculation</t>
        </is>
      </c>
      <c r="B2194">
        <f>IF((IF(IF(IF(ISERROR('Model inputs'!AH95&lt;=6),'Model inputs'!AH95&lt;=6,IF('Model inputs'!AH95="","",'Model inputs'!AH95&lt;=6))="",FALSE,IF(ISERROR('Model inputs'!AH95&lt;=6),'Model inputs'!AH95&lt;=6,IF('Model inputs'!AH95="","",'Model inputs'!AH95&lt;=6))),'Model inputs'!AM99+('Model inputs'!AM105-'Model inputs'!AM99)*('Model inputs'!AH95-0)/6,IF(IF(IF(ISERROR('Model inputs'!AH95&lt;=12),'Model inputs'!AH95&lt;=12,IF('Model inputs'!AH95="","",'Model inputs'!AH95&lt;=12))="",FALSE,IF(ISERROR('Model inputs'!AH95&lt;=12),'Model inputs'!AH95&lt;=12,IF('Model inputs'!AH95="","",'Model inputs'!AH95&lt;=12))),'Model inputs'!AM105+('Model inputs'!AM100-'Model inputs'!AM105)*('Model inputs'!AH95-6)/6,IF(IF(IF(ISERROR('Model inputs'!AH95&lt;=18),'Model inputs'!AH95&lt;=18,IF('Model inputs'!AH95="","",'Model inputs'!AH95&lt;=18))="",FALSE,IF(ISERROR('Model inputs'!AH95&lt;=18),'Model inputs'!AH95&lt;=18,IF('Model inputs'!AH95="","",'Model inputs'!AH95&lt;=18))),'Model inputs'!AM100+('Model inputs'!AM101-'Model inputs'!AM100)*('Model inputs'!AH95-12)/6,IF(IF(IF(ISERROR('Model inputs'!AH95&lt;=24),'Model inputs'!AH95&lt;=24,IF('Model inputs'!AH95="","",'Model inputs'!AH95&lt;=24))="",FALSE,IF(ISERROR('Model inputs'!AH95&lt;=24),'Model inputs'!AH95&lt;=24,IF('Model inputs'!AH95="","",'Model inputs'!AH95&lt;=24))),'Model inputs'!AM101+('Model inputs'!AM102-'Model inputs'!AM101)*('Model inputs'!AH95-18)/6,IF(IF(IF(ISERROR('Model inputs'!AH95&lt;=30),'Model inputs'!AH95&lt;=30,IF('Model inputs'!AH95="","",'Model inputs'!AH95&lt;=30))="",FALSE,IF(ISERROR('Model inputs'!AH95&lt;=30),'Model inputs'!AH95&lt;=30,IF('Model inputs'!AH95="","",'Model inputs'!AH95&lt;=30))),'Model inputs'!AM102+('Model inputs'!AM103-'Model inputs'!AM102)*('Model inputs'!AH95-24)/6,IF(IF(IF(ISERROR('Model inputs'!AH95&lt;=36),'Model inputs'!AH95&lt;=36,IF('Model inputs'!AH95="","",'Model inputs'!AH95&lt;=36))="",FALSE,IF(ISERROR('Model inputs'!AH95&lt;=36),'Model inputs'!AH95&lt;=36,IF('Model inputs'!AH95="","",'Model inputs'!AH95&lt;=36))),'Model inputs'!AM103+('Model inputs'!AM104-'Model inputs'!AM103)*('Model inputs'!AH95-30)/6,IF('Model inputs'!AM104="","",'Model inputs'!AM104))))))))="",0,(IF(IF(IF(ISERROR('Model inputs'!AH95&lt;=6),'Model inputs'!AH95&lt;=6,IF('Model inputs'!AH95="","",'Model inputs'!AH95&lt;=6))="",FALSE,IF(ISERROR('Model inputs'!AH95&lt;=6),'Model inputs'!AH95&lt;=6,IF('Model inputs'!AH95="","",'Model inputs'!AH95&lt;=6))),'Model inputs'!AM99+('Model inputs'!AM105-'Model inputs'!AM99)*('Model inputs'!AH95-0)/6,IF(IF(IF(ISERROR('Model inputs'!AH95&lt;=12),'Model inputs'!AH95&lt;=12,IF('Model inputs'!AH95="","",'Model inputs'!AH95&lt;=12))="",FALSE,IF(ISERROR('Model inputs'!AH95&lt;=12),'Model inputs'!AH95&lt;=12,IF('Model inputs'!AH95="","",'Model inputs'!AH95&lt;=12))),'Model inputs'!AM105+('Model inputs'!AM100-'Model inputs'!AM105)*('Model inputs'!AH95-6)/6,IF(IF(IF(ISERROR('Model inputs'!AH95&lt;=18),'Model inputs'!AH95&lt;=18,IF('Model inputs'!AH95="","",'Model inputs'!AH95&lt;=18))="",FALSE,IF(ISERROR('Model inputs'!AH95&lt;=18),'Model inputs'!AH95&lt;=18,IF('Model inputs'!AH95="","",'Model inputs'!AH95&lt;=18))),'Model inputs'!AM100+('Model inputs'!AM101-'Model inputs'!AM100)*('Model inputs'!AH95-12)/6,IF(IF(IF(ISERROR('Model inputs'!AH95&lt;=24),'Model inputs'!AH95&lt;=24,IF('Model inputs'!AH95="","",'Model inputs'!AH95&lt;=24))="",FALSE,IF(ISERROR('Model inputs'!AH95&lt;=24),'Model inputs'!AH95&lt;=24,IF('Model inputs'!AH95="","",'Model inputs'!AH95&lt;=24))),'Model inputs'!AM101+('Model inputs'!AM102-'Model inputs'!AM101)*('Model inputs'!AH95-18)/6,IF(IF(IF(ISERROR('Model inputs'!AH95&lt;=30),'Model inputs'!AH95&lt;=30,IF('Model inputs'!AH95="","",'Model inputs'!AH95&lt;=30))="",FALSE,IF(ISERROR('Model inputs'!AH95&lt;=30),'Model inputs'!AH95&lt;=30,IF('Model inputs'!AH95="","",'Model inputs'!AH95&lt;=30))),'Model inputs'!AM102+('Model inputs'!AM103-'Model inputs'!AM102)*('Model inputs'!AH95-24)/6,IF(IF(IF(ISERROR('Model inputs'!AH95&lt;=36),'Model inputs'!AH95&lt;=36,IF('Model inputs'!AH95="","",'Model inputs'!AH95&lt;=36))="",FALSE,IF(ISERROR('Model inputs'!AH95&lt;=36),'Model inputs'!AH95&lt;=36,IF('Model inputs'!AH95="","",'Model inputs'!AH95&lt;=36))),'Model inputs'!AM103+('Model inputs'!AM104-'Model inputs'!AM103)*('Model inputs'!AH95-30)/6,IF('Model inputs'!AM104="","",'Model inputs'!AM104)))))))))*'Model inputs'!AM93</f>
      </c>
    </row>
    <row r="2195">
      <c r="A2195" t="inlineStr" s="25">
        <is>
          <t xml:space="preserve">Calculation</t>
        </is>
      </c>
      <c r="B2195">
        <f>IF((IF(IF(IF(ISERROR('Model inputs'!AI95&lt;=6),'Model inputs'!AI95&lt;=6,IF('Model inputs'!AI95="","",'Model inputs'!AI95&lt;=6))="",FALSE,IF(ISERROR('Model inputs'!AI95&lt;=6),'Model inputs'!AI95&lt;=6,IF('Model inputs'!AI95="","",'Model inputs'!AI95&lt;=6))),'Model inputs'!AM99+('Model inputs'!AM105-'Model inputs'!AM99)*('Model inputs'!AI95-0)/6,IF(IF(IF(ISERROR('Model inputs'!AI95&lt;=12),'Model inputs'!AI95&lt;=12,IF('Model inputs'!AI95="","",'Model inputs'!AI95&lt;=12))="",FALSE,IF(ISERROR('Model inputs'!AI95&lt;=12),'Model inputs'!AI95&lt;=12,IF('Model inputs'!AI95="","",'Model inputs'!AI95&lt;=12))),'Model inputs'!AM105+('Model inputs'!AM100-'Model inputs'!AM105)*('Model inputs'!AI95-6)/6,IF(IF(IF(ISERROR('Model inputs'!AI95&lt;=18),'Model inputs'!AI95&lt;=18,IF('Model inputs'!AI95="","",'Model inputs'!AI95&lt;=18))="",FALSE,IF(ISERROR('Model inputs'!AI95&lt;=18),'Model inputs'!AI95&lt;=18,IF('Model inputs'!AI95="","",'Model inputs'!AI95&lt;=18))),'Model inputs'!AM100+('Model inputs'!AM101-'Model inputs'!AM100)*('Model inputs'!AI95-12)/6,IF(IF(IF(ISERROR('Model inputs'!AI95&lt;=24),'Model inputs'!AI95&lt;=24,IF('Model inputs'!AI95="","",'Model inputs'!AI95&lt;=24))="",FALSE,IF(ISERROR('Model inputs'!AI95&lt;=24),'Model inputs'!AI95&lt;=24,IF('Model inputs'!AI95="","",'Model inputs'!AI95&lt;=24))),'Model inputs'!AM101+('Model inputs'!AM102-'Model inputs'!AM101)*('Model inputs'!AI95-18)/6,IF(IF(IF(ISERROR('Model inputs'!AI95&lt;=30),'Model inputs'!AI95&lt;=30,IF('Model inputs'!AI95="","",'Model inputs'!AI95&lt;=30))="",FALSE,IF(ISERROR('Model inputs'!AI95&lt;=30),'Model inputs'!AI95&lt;=30,IF('Model inputs'!AI95="","",'Model inputs'!AI95&lt;=30))),'Model inputs'!AM102+('Model inputs'!AM103-'Model inputs'!AM102)*('Model inputs'!AI95-24)/6,IF(IF(IF(ISERROR('Model inputs'!AI95&lt;=36),'Model inputs'!AI95&lt;=36,IF('Model inputs'!AI95="","",'Model inputs'!AI95&lt;=36))="",FALSE,IF(ISERROR('Model inputs'!AI95&lt;=36),'Model inputs'!AI95&lt;=36,IF('Model inputs'!AI95="","",'Model inputs'!AI95&lt;=36))),'Model inputs'!AM103+('Model inputs'!AM104-'Model inputs'!AM103)*('Model inputs'!AI95-30)/6,IF('Model inputs'!AM104="","",'Model inputs'!AM104))))))))="",0,(IF(IF(IF(ISERROR('Model inputs'!AI95&lt;=6),'Model inputs'!AI95&lt;=6,IF('Model inputs'!AI95="","",'Model inputs'!AI95&lt;=6))="",FALSE,IF(ISERROR('Model inputs'!AI95&lt;=6),'Model inputs'!AI95&lt;=6,IF('Model inputs'!AI95="","",'Model inputs'!AI95&lt;=6))),'Model inputs'!AM99+('Model inputs'!AM105-'Model inputs'!AM99)*('Model inputs'!AI95-0)/6,IF(IF(IF(ISERROR('Model inputs'!AI95&lt;=12),'Model inputs'!AI95&lt;=12,IF('Model inputs'!AI95="","",'Model inputs'!AI95&lt;=12))="",FALSE,IF(ISERROR('Model inputs'!AI95&lt;=12),'Model inputs'!AI95&lt;=12,IF('Model inputs'!AI95="","",'Model inputs'!AI95&lt;=12))),'Model inputs'!AM105+('Model inputs'!AM100-'Model inputs'!AM105)*('Model inputs'!AI95-6)/6,IF(IF(IF(ISERROR('Model inputs'!AI95&lt;=18),'Model inputs'!AI95&lt;=18,IF('Model inputs'!AI95="","",'Model inputs'!AI95&lt;=18))="",FALSE,IF(ISERROR('Model inputs'!AI95&lt;=18),'Model inputs'!AI95&lt;=18,IF('Model inputs'!AI95="","",'Model inputs'!AI95&lt;=18))),'Model inputs'!AM100+('Model inputs'!AM101-'Model inputs'!AM100)*('Model inputs'!AI95-12)/6,IF(IF(IF(ISERROR('Model inputs'!AI95&lt;=24),'Model inputs'!AI95&lt;=24,IF('Model inputs'!AI95="","",'Model inputs'!AI95&lt;=24))="",FALSE,IF(ISERROR('Model inputs'!AI95&lt;=24),'Model inputs'!AI95&lt;=24,IF('Model inputs'!AI95="","",'Model inputs'!AI95&lt;=24))),'Model inputs'!AM101+('Model inputs'!AM102-'Model inputs'!AM101)*('Model inputs'!AI95-18)/6,IF(IF(IF(ISERROR('Model inputs'!AI95&lt;=30),'Model inputs'!AI95&lt;=30,IF('Model inputs'!AI95="","",'Model inputs'!AI95&lt;=30))="",FALSE,IF(ISERROR('Model inputs'!AI95&lt;=30),'Model inputs'!AI95&lt;=30,IF('Model inputs'!AI95="","",'Model inputs'!AI95&lt;=30))),'Model inputs'!AM102+('Model inputs'!AM103-'Model inputs'!AM102)*('Model inputs'!AI95-24)/6,IF(IF(IF(ISERROR('Model inputs'!AI95&lt;=36),'Model inputs'!AI95&lt;=36,IF('Model inputs'!AI95="","",'Model inputs'!AI95&lt;=36))="",FALSE,IF(ISERROR('Model inputs'!AI95&lt;=36),'Model inputs'!AI95&lt;=36,IF('Model inputs'!AI95="","",'Model inputs'!AI95&lt;=36))),'Model inputs'!AM103+('Model inputs'!AM104-'Model inputs'!AM103)*('Model inputs'!AI95-30)/6,IF('Model inputs'!AM104="","",'Model inputs'!AM104)))))))))*'Model inputs'!AM93</f>
      </c>
    </row>
    <row r="2196">
      <c r="A2196" t="inlineStr" s="25">
        <is>
          <t xml:space="preserve">Calculation</t>
        </is>
      </c>
      <c r="B2196">
        <f>IF((IF(IF(IF(ISERROR('Model inputs'!AJ95&lt;=6),'Model inputs'!AJ95&lt;=6,IF('Model inputs'!AJ95="","",'Model inputs'!AJ95&lt;=6))="",FALSE,IF(ISERROR('Model inputs'!AJ95&lt;=6),'Model inputs'!AJ95&lt;=6,IF('Model inputs'!AJ95="","",'Model inputs'!AJ95&lt;=6))),'Model inputs'!AM99+('Model inputs'!AM105-'Model inputs'!AM99)*('Model inputs'!AJ95-0)/6,IF(IF(IF(ISERROR('Model inputs'!AJ95&lt;=12),'Model inputs'!AJ95&lt;=12,IF('Model inputs'!AJ95="","",'Model inputs'!AJ95&lt;=12))="",FALSE,IF(ISERROR('Model inputs'!AJ95&lt;=12),'Model inputs'!AJ95&lt;=12,IF('Model inputs'!AJ95="","",'Model inputs'!AJ95&lt;=12))),'Model inputs'!AM105+('Model inputs'!AM100-'Model inputs'!AM105)*('Model inputs'!AJ95-6)/6,IF(IF(IF(ISERROR('Model inputs'!AJ95&lt;=18),'Model inputs'!AJ95&lt;=18,IF('Model inputs'!AJ95="","",'Model inputs'!AJ95&lt;=18))="",FALSE,IF(ISERROR('Model inputs'!AJ95&lt;=18),'Model inputs'!AJ95&lt;=18,IF('Model inputs'!AJ95="","",'Model inputs'!AJ95&lt;=18))),'Model inputs'!AM100+('Model inputs'!AM101-'Model inputs'!AM100)*('Model inputs'!AJ95-12)/6,IF(IF(IF(ISERROR('Model inputs'!AJ95&lt;=24),'Model inputs'!AJ95&lt;=24,IF('Model inputs'!AJ95="","",'Model inputs'!AJ95&lt;=24))="",FALSE,IF(ISERROR('Model inputs'!AJ95&lt;=24),'Model inputs'!AJ95&lt;=24,IF('Model inputs'!AJ95="","",'Model inputs'!AJ95&lt;=24))),'Model inputs'!AM101+('Model inputs'!AM102-'Model inputs'!AM101)*('Model inputs'!AJ95-18)/6,IF(IF(IF(ISERROR('Model inputs'!AJ95&lt;=30),'Model inputs'!AJ95&lt;=30,IF('Model inputs'!AJ95="","",'Model inputs'!AJ95&lt;=30))="",FALSE,IF(ISERROR('Model inputs'!AJ95&lt;=30),'Model inputs'!AJ95&lt;=30,IF('Model inputs'!AJ95="","",'Model inputs'!AJ95&lt;=30))),'Model inputs'!AM102+('Model inputs'!AM103-'Model inputs'!AM102)*('Model inputs'!AJ95-24)/6,IF(IF(IF(ISERROR('Model inputs'!AJ95&lt;=36),'Model inputs'!AJ95&lt;=36,IF('Model inputs'!AJ95="","",'Model inputs'!AJ95&lt;=36))="",FALSE,IF(ISERROR('Model inputs'!AJ95&lt;=36),'Model inputs'!AJ95&lt;=36,IF('Model inputs'!AJ95="","",'Model inputs'!AJ95&lt;=36))),'Model inputs'!AM103+('Model inputs'!AM104-'Model inputs'!AM103)*('Model inputs'!AJ95-30)/6,IF('Model inputs'!AM104="","",'Model inputs'!AM104))))))))="",0,(IF(IF(IF(ISERROR('Model inputs'!AJ95&lt;=6),'Model inputs'!AJ95&lt;=6,IF('Model inputs'!AJ95="","",'Model inputs'!AJ95&lt;=6))="",FALSE,IF(ISERROR('Model inputs'!AJ95&lt;=6),'Model inputs'!AJ95&lt;=6,IF('Model inputs'!AJ95="","",'Model inputs'!AJ95&lt;=6))),'Model inputs'!AM99+('Model inputs'!AM105-'Model inputs'!AM99)*('Model inputs'!AJ95-0)/6,IF(IF(IF(ISERROR('Model inputs'!AJ95&lt;=12),'Model inputs'!AJ95&lt;=12,IF('Model inputs'!AJ95="","",'Model inputs'!AJ95&lt;=12))="",FALSE,IF(ISERROR('Model inputs'!AJ95&lt;=12),'Model inputs'!AJ95&lt;=12,IF('Model inputs'!AJ95="","",'Model inputs'!AJ95&lt;=12))),'Model inputs'!AM105+('Model inputs'!AM100-'Model inputs'!AM105)*('Model inputs'!AJ95-6)/6,IF(IF(IF(ISERROR('Model inputs'!AJ95&lt;=18),'Model inputs'!AJ95&lt;=18,IF('Model inputs'!AJ95="","",'Model inputs'!AJ95&lt;=18))="",FALSE,IF(ISERROR('Model inputs'!AJ95&lt;=18),'Model inputs'!AJ95&lt;=18,IF('Model inputs'!AJ95="","",'Model inputs'!AJ95&lt;=18))),'Model inputs'!AM100+('Model inputs'!AM101-'Model inputs'!AM100)*('Model inputs'!AJ95-12)/6,IF(IF(IF(ISERROR('Model inputs'!AJ95&lt;=24),'Model inputs'!AJ95&lt;=24,IF('Model inputs'!AJ95="","",'Model inputs'!AJ95&lt;=24))="",FALSE,IF(ISERROR('Model inputs'!AJ95&lt;=24),'Model inputs'!AJ95&lt;=24,IF('Model inputs'!AJ95="","",'Model inputs'!AJ95&lt;=24))),'Model inputs'!AM101+('Model inputs'!AM102-'Model inputs'!AM101)*('Model inputs'!AJ95-18)/6,IF(IF(IF(ISERROR('Model inputs'!AJ95&lt;=30),'Model inputs'!AJ95&lt;=30,IF('Model inputs'!AJ95="","",'Model inputs'!AJ95&lt;=30))="",FALSE,IF(ISERROR('Model inputs'!AJ95&lt;=30),'Model inputs'!AJ95&lt;=30,IF('Model inputs'!AJ95="","",'Model inputs'!AJ95&lt;=30))),'Model inputs'!AM102+('Model inputs'!AM103-'Model inputs'!AM102)*('Model inputs'!AJ95-24)/6,IF(IF(IF(ISERROR('Model inputs'!AJ95&lt;=36),'Model inputs'!AJ95&lt;=36,IF('Model inputs'!AJ95="","",'Model inputs'!AJ95&lt;=36))="",FALSE,IF(ISERROR('Model inputs'!AJ95&lt;=36),'Model inputs'!AJ95&lt;=36,IF('Model inputs'!AJ95="","",'Model inputs'!AJ95&lt;=36))),'Model inputs'!AM103+('Model inputs'!AM104-'Model inputs'!AM103)*('Model inputs'!AJ95-30)/6,IF('Model inputs'!AM104="","",'Model inputs'!AM104)))))))))*'Model inputs'!AM93</f>
      </c>
    </row>
    <row r="2197">
      <c r="A2197" t="inlineStr" s="25">
        <is>
          <t xml:space="preserve">Calculation</t>
        </is>
      </c>
      <c r="B2197">
        <f>IF((IF(IF(IF(ISERROR('Model inputs'!AK95&lt;=6),'Model inputs'!AK95&lt;=6,IF('Model inputs'!AK95="","",'Model inputs'!AK95&lt;=6))="",FALSE,IF(ISERROR('Model inputs'!AK95&lt;=6),'Model inputs'!AK95&lt;=6,IF('Model inputs'!AK95="","",'Model inputs'!AK95&lt;=6))),'Model inputs'!AM99+('Model inputs'!AM105-'Model inputs'!AM99)*('Model inputs'!AK95-0)/6,IF(IF(IF(ISERROR('Model inputs'!AK95&lt;=12),'Model inputs'!AK95&lt;=12,IF('Model inputs'!AK95="","",'Model inputs'!AK95&lt;=12))="",FALSE,IF(ISERROR('Model inputs'!AK95&lt;=12),'Model inputs'!AK95&lt;=12,IF('Model inputs'!AK95="","",'Model inputs'!AK95&lt;=12))),'Model inputs'!AM105+('Model inputs'!AM100-'Model inputs'!AM105)*('Model inputs'!AK95-6)/6,IF(IF(IF(ISERROR('Model inputs'!AK95&lt;=18),'Model inputs'!AK95&lt;=18,IF('Model inputs'!AK95="","",'Model inputs'!AK95&lt;=18))="",FALSE,IF(ISERROR('Model inputs'!AK95&lt;=18),'Model inputs'!AK95&lt;=18,IF('Model inputs'!AK95="","",'Model inputs'!AK95&lt;=18))),'Model inputs'!AM100+('Model inputs'!AM101-'Model inputs'!AM100)*('Model inputs'!AK95-12)/6,IF(IF(IF(ISERROR('Model inputs'!AK95&lt;=24),'Model inputs'!AK95&lt;=24,IF('Model inputs'!AK95="","",'Model inputs'!AK95&lt;=24))="",FALSE,IF(ISERROR('Model inputs'!AK95&lt;=24),'Model inputs'!AK95&lt;=24,IF('Model inputs'!AK95="","",'Model inputs'!AK95&lt;=24))),'Model inputs'!AM101+('Model inputs'!AM102-'Model inputs'!AM101)*('Model inputs'!AK95-18)/6,IF(IF(IF(ISERROR('Model inputs'!AK95&lt;=30),'Model inputs'!AK95&lt;=30,IF('Model inputs'!AK95="","",'Model inputs'!AK95&lt;=30))="",FALSE,IF(ISERROR('Model inputs'!AK95&lt;=30),'Model inputs'!AK95&lt;=30,IF('Model inputs'!AK95="","",'Model inputs'!AK95&lt;=30))),'Model inputs'!AM102+('Model inputs'!AM103-'Model inputs'!AM102)*('Model inputs'!AK95-24)/6,IF(IF(IF(ISERROR('Model inputs'!AK95&lt;=36),'Model inputs'!AK95&lt;=36,IF('Model inputs'!AK95="","",'Model inputs'!AK95&lt;=36))="",FALSE,IF(ISERROR('Model inputs'!AK95&lt;=36),'Model inputs'!AK95&lt;=36,IF('Model inputs'!AK95="","",'Model inputs'!AK95&lt;=36))),'Model inputs'!AM103+('Model inputs'!AM104-'Model inputs'!AM103)*('Model inputs'!AK95-30)/6,IF('Model inputs'!AM104="","",'Model inputs'!AM104))))))))="",0,(IF(IF(IF(ISERROR('Model inputs'!AK95&lt;=6),'Model inputs'!AK95&lt;=6,IF('Model inputs'!AK95="","",'Model inputs'!AK95&lt;=6))="",FALSE,IF(ISERROR('Model inputs'!AK95&lt;=6),'Model inputs'!AK95&lt;=6,IF('Model inputs'!AK95="","",'Model inputs'!AK95&lt;=6))),'Model inputs'!AM99+('Model inputs'!AM105-'Model inputs'!AM99)*('Model inputs'!AK95-0)/6,IF(IF(IF(ISERROR('Model inputs'!AK95&lt;=12),'Model inputs'!AK95&lt;=12,IF('Model inputs'!AK95="","",'Model inputs'!AK95&lt;=12))="",FALSE,IF(ISERROR('Model inputs'!AK95&lt;=12),'Model inputs'!AK95&lt;=12,IF('Model inputs'!AK95="","",'Model inputs'!AK95&lt;=12))),'Model inputs'!AM105+('Model inputs'!AM100-'Model inputs'!AM105)*('Model inputs'!AK95-6)/6,IF(IF(IF(ISERROR('Model inputs'!AK95&lt;=18),'Model inputs'!AK95&lt;=18,IF('Model inputs'!AK95="","",'Model inputs'!AK95&lt;=18))="",FALSE,IF(ISERROR('Model inputs'!AK95&lt;=18),'Model inputs'!AK95&lt;=18,IF('Model inputs'!AK95="","",'Model inputs'!AK95&lt;=18))),'Model inputs'!AM100+('Model inputs'!AM101-'Model inputs'!AM100)*('Model inputs'!AK95-12)/6,IF(IF(IF(ISERROR('Model inputs'!AK95&lt;=24),'Model inputs'!AK95&lt;=24,IF('Model inputs'!AK95="","",'Model inputs'!AK95&lt;=24))="",FALSE,IF(ISERROR('Model inputs'!AK95&lt;=24),'Model inputs'!AK95&lt;=24,IF('Model inputs'!AK95="","",'Model inputs'!AK95&lt;=24))),'Model inputs'!AM101+('Model inputs'!AM102-'Model inputs'!AM101)*('Model inputs'!AK95-18)/6,IF(IF(IF(ISERROR('Model inputs'!AK95&lt;=30),'Model inputs'!AK95&lt;=30,IF('Model inputs'!AK95="","",'Model inputs'!AK95&lt;=30))="",FALSE,IF(ISERROR('Model inputs'!AK95&lt;=30),'Model inputs'!AK95&lt;=30,IF('Model inputs'!AK95="","",'Model inputs'!AK95&lt;=30))),'Model inputs'!AM102+('Model inputs'!AM103-'Model inputs'!AM102)*('Model inputs'!AK95-24)/6,IF(IF(IF(ISERROR('Model inputs'!AK95&lt;=36),'Model inputs'!AK95&lt;=36,IF('Model inputs'!AK95="","",'Model inputs'!AK95&lt;=36))="",FALSE,IF(ISERROR('Model inputs'!AK95&lt;=36),'Model inputs'!AK95&lt;=36,IF('Model inputs'!AK95="","",'Model inputs'!AK95&lt;=36))),'Model inputs'!AM103+('Model inputs'!AM104-'Model inputs'!AM103)*('Model inputs'!AK95-30)/6,IF('Model inputs'!AM104="","",'Model inputs'!AM104)))))))))*'Model inputs'!AM93</f>
      </c>
    </row>
    <row r="2198">
      <c r="A2198" t="inlineStr" s="25">
        <is>
          <t xml:space="preserve">Calculation</t>
        </is>
      </c>
      <c r="B2198">
        <f>IF((IF(IF(IF(ISERROR('Model inputs'!AL95&lt;=6),'Model inputs'!AL95&lt;=6,IF('Model inputs'!AL95="","",'Model inputs'!AL95&lt;=6))="",FALSE,IF(ISERROR('Model inputs'!AL95&lt;=6),'Model inputs'!AL95&lt;=6,IF('Model inputs'!AL95="","",'Model inputs'!AL95&lt;=6))),'Model inputs'!AM99+('Model inputs'!AM105-'Model inputs'!AM99)*('Model inputs'!AL95-0)/6,IF(IF(IF(ISERROR('Model inputs'!AL95&lt;=12),'Model inputs'!AL95&lt;=12,IF('Model inputs'!AL95="","",'Model inputs'!AL95&lt;=12))="",FALSE,IF(ISERROR('Model inputs'!AL95&lt;=12),'Model inputs'!AL95&lt;=12,IF('Model inputs'!AL95="","",'Model inputs'!AL95&lt;=12))),'Model inputs'!AM105+('Model inputs'!AM100-'Model inputs'!AM105)*('Model inputs'!AL95-6)/6,IF(IF(IF(ISERROR('Model inputs'!AL95&lt;=18),'Model inputs'!AL95&lt;=18,IF('Model inputs'!AL95="","",'Model inputs'!AL95&lt;=18))="",FALSE,IF(ISERROR('Model inputs'!AL95&lt;=18),'Model inputs'!AL95&lt;=18,IF('Model inputs'!AL95="","",'Model inputs'!AL95&lt;=18))),'Model inputs'!AM100+('Model inputs'!AM101-'Model inputs'!AM100)*('Model inputs'!AL95-12)/6,IF(IF(IF(ISERROR('Model inputs'!AL95&lt;=24),'Model inputs'!AL95&lt;=24,IF('Model inputs'!AL95="","",'Model inputs'!AL95&lt;=24))="",FALSE,IF(ISERROR('Model inputs'!AL95&lt;=24),'Model inputs'!AL95&lt;=24,IF('Model inputs'!AL95="","",'Model inputs'!AL95&lt;=24))),'Model inputs'!AM101+('Model inputs'!AM102-'Model inputs'!AM101)*('Model inputs'!AL95-18)/6,IF(IF(IF(ISERROR('Model inputs'!AL95&lt;=30),'Model inputs'!AL95&lt;=30,IF('Model inputs'!AL95="","",'Model inputs'!AL95&lt;=30))="",FALSE,IF(ISERROR('Model inputs'!AL95&lt;=30),'Model inputs'!AL95&lt;=30,IF('Model inputs'!AL95="","",'Model inputs'!AL95&lt;=30))),'Model inputs'!AM102+('Model inputs'!AM103-'Model inputs'!AM102)*('Model inputs'!AL95-24)/6,IF(IF(IF(ISERROR('Model inputs'!AL95&lt;=36),'Model inputs'!AL95&lt;=36,IF('Model inputs'!AL95="","",'Model inputs'!AL95&lt;=36))="",FALSE,IF(ISERROR('Model inputs'!AL95&lt;=36),'Model inputs'!AL95&lt;=36,IF('Model inputs'!AL95="","",'Model inputs'!AL95&lt;=36))),'Model inputs'!AM103+('Model inputs'!AM104-'Model inputs'!AM103)*('Model inputs'!AL95-30)/6,IF('Model inputs'!AM104="","",'Model inputs'!AM104))))))))="",0,(IF(IF(IF(ISERROR('Model inputs'!AL95&lt;=6),'Model inputs'!AL95&lt;=6,IF('Model inputs'!AL95="","",'Model inputs'!AL95&lt;=6))="",FALSE,IF(ISERROR('Model inputs'!AL95&lt;=6),'Model inputs'!AL95&lt;=6,IF('Model inputs'!AL95="","",'Model inputs'!AL95&lt;=6))),'Model inputs'!AM99+('Model inputs'!AM105-'Model inputs'!AM99)*('Model inputs'!AL95-0)/6,IF(IF(IF(ISERROR('Model inputs'!AL95&lt;=12),'Model inputs'!AL95&lt;=12,IF('Model inputs'!AL95="","",'Model inputs'!AL95&lt;=12))="",FALSE,IF(ISERROR('Model inputs'!AL95&lt;=12),'Model inputs'!AL95&lt;=12,IF('Model inputs'!AL95="","",'Model inputs'!AL95&lt;=12))),'Model inputs'!AM105+('Model inputs'!AM100-'Model inputs'!AM105)*('Model inputs'!AL95-6)/6,IF(IF(IF(ISERROR('Model inputs'!AL95&lt;=18),'Model inputs'!AL95&lt;=18,IF('Model inputs'!AL95="","",'Model inputs'!AL95&lt;=18))="",FALSE,IF(ISERROR('Model inputs'!AL95&lt;=18),'Model inputs'!AL95&lt;=18,IF('Model inputs'!AL95="","",'Model inputs'!AL95&lt;=18))),'Model inputs'!AM100+('Model inputs'!AM101-'Model inputs'!AM100)*('Model inputs'!AL95-12)/6,IF(IF(IF(ISERROR('Model inputs'!AL95&lt;=24),'Model inputs'!AL95&lt;=24,IF('Model inputs'!AL95="","",'Model inputs'!AL95&lt;=24))="",FALSE,IF(ISERROR('Model inputs'!AL95&lt;=24),'Model inputs'!AL95&lt;=24,IF('Model inputs'!AL95="","",'Model inputs'!AL95&lt;=24))),'Model inputs'!AM101+('Model inputs'!AM102-'Model inputs'!AM101)*('Model inputs'!AL95-18)/6,IF(IF(IF(ISERROR('Model inputs'!AL95&lt;=30),'Model inputs'!AL95&lt;=30,IF('Model inputs'!AL95="","",'Model inputs'!AL95&lt;=30))="",FALSE,IF(ISERROR('Model inputs'!AL95&lt;=30),'Model inputs'!AL95&lt;=30,IF('Model inputs'!AL95="","",'Model inputs'!AL95&lt;=30))),'Model inputs'!AM102+('Model inputs'!AM103-'Model inputs'!AM102)*('Model inputs'!AL95-24)/6,IF(IF(IF(ISERROR('Model inputs'!AL95&lt;=36),'Model inputs'!AL95&lt;=36,IF('Model inputs'!AL95="","",'Model inputs'!AL95&lt;=36))="",FALSE,IF(ISERROR('Model inputs'!AL95&lt;=36),'Model inputs'!AL95&lt;=36,IF('Model inputs'!AL95="","",'Model inputs'!AL95&lt;=36))),'Model inputs'!AM103+('Model inputs'!AM104-'Model inputs'!AM103)*('Model inputs'!AL95-30)/6,IF('Model inputs'!AM104="","",'Model inputs'!AM104)))))))))*'Model inputs'!AM93</f>
      </c>
    </row>
    <row r="2199">
      <c r="A2199" t="inlineStr" s="25">
        <is>
          <t xml:space="preserve">Calculation</t>
        </is>
      </c>
      <c r="B2199">
        <f>IF(IF(DATE(2026,10,1)=EDATE(DATE(2026,10,1),-'Model inputs'!AM13*1)="",FALSE,DATE(2026,10,1)=EDATE(DATE(2026,10,1),-'Model inputs'!AM13*1)),IF('Model inputs'!C85="","",'Model inputs'!C85),"")</f>
      </c>
    </row>
    <row r="2200">
      <c r="A2200" t="inlineStr" s="25">
        <is>
          <t xml:space="preserve">Calculation</t>
        </is>
      </c>
      <c r="B2200">
        <f>IF(IF(DATE(2026,11,1)=EDATE(DATE(2026,10,1),-'Model inputs'!AM13*1)="",FALSE,DATE(2026,11,1)=EDATE(DATE(2026,10,1),-'Model inputs'!AM13*1)),IF('Model inputs'!D85="","",'Model inputs'!D85),"")</f>
      </c>
    </row>
    <row r="2201">
      <c r="A2201" t="inlineStr" s="25">
        <is>
          <t xml:space="preserve">Calculation</t>
        </is>
      </c>
      <c r="B2201">
        <f>IF(IF(DATE(2026,12,1)=EDATE(DATE(2026,10,1),-'Model inputs'!AM13*1)="",FALSE,DATE(2026,12,1)=EDATE(DATE(2026,10,1),-'Model inputs'!AM13*1)),IF('Model inputs'!E85="","",'Model inputs'!E85),"")</f>
      </c>
    </row>
    <row r="2202">
      <c r="A2202" t="inlineStr" s="25">
        <is>
          <t xml:space="preserve">Calculation</t>
        </is>
      </c>
      <c r="B2202">
        <f>IF(IF(DATE(2027,1,1)=EDATE(DATE(2026,10,1),-'Model inputs'!AM13*1)="",FALSE,DATE(2027,1,1)=EDATE(DATE(2026,10,1),-'Model inputs'!AM13*1)),IF('Model inputs'!F85="","",'Model inputs'!F85),"")</f>
      </c>
    </row>
    <row r="2203">
      <c r="A2203" t="inlineStr" s="25">
        <is>
          <t xml:space="preserve">Calculation</t>
        </is>
      </c>
      <c r="B2203">
        <f>IF(IF(DATE(2027,2,1)=EDATE(DATE(2026,10,1),-'Model inputs'!AM13*1)="",FALSE,DATE(2027,2,1)=EDATE(DATE(2026,10,1),-'Model inputs'!AM13*1)),IF('Model inputs'!G85="","",'Model inputs'!G85),"")</f>
      </c>
    </row>
    <row r="2204">
      <c r="A2204" t="inlineStr" s="25">
        <is>
          <t xml:space="preserve">Calculation</t>
        </is>
      </c>
      <c r="B2204">
        <f>IF(IF(DATE(2027,3,1)=EDATE(DATE(2026,10,1),-'Model inputs'!AM13*1)="",FALSE,DATE(2027,3,1)=EDATE(DATE(2026,10,1),-'Model inputs'!AM13*1)),IF('Model inputs'!H85="","",'Model inputs'!H85),"")</f>
      </c>
    </row>
    <row r="2205">
      <c r="A2205" t="inlineStr" s="25">
        <is>
          <t xml:space="preserve">Calculation</t>
        </is>
      </c>
      <c r="B2205">
        <f>IF(IF(DATE(2027,4,1)=EDATE(DATE(2026,10,1),-'Model inputs'!AM13*1)="",FALSE,DATE(2027,4,1)=EDATE(DATE(2026,10,1),-'Model inputs'!AM13*1)),IF('Model inputs'!I85="","",'Model inputs'!I85),"")</f>
      </c>
    </row>
    <row r="2206">
      <c r="A2206" t="inlineStr" s="25">
        <is>
          <t xml:space="preserve">Calculation</t>
        </is>
      </c>
      <c r="B2206">
        <f>IF(IF(DATE(2027,5,1)=EDATE(DATE(2026,10,1),-'Model inputs'!AM13*1)="",FALSE,DATE(2027,5,1)=EDATE(DATE(2026,10,1),-'Model inputs'!AM13*1)),IF('Model inputs'!J85="","",'Model inputs'!J85),"")</f>
      </c>
    </row>
    <row r="2207">
      <c r="A2207" t="inlineStr" s="25">
        <is>
          <t xml:space="preserve">Calculation</t>
        </is>
      </c>
      <c r="B2207">
        <f>IF(IF(DATE(2027,6,1)=EDATE(DATE(2026,10,1),-'Model inputs'!AM13*1)="",FALSE,DATE(2027,6,1)=EDATE(DATE(2026,10,1),-'Model inputs'!AM13*1)),IF('Model inputs'!K85="","",'Model inputs'!K85),"")</f>
      </c>
    </row>
    <row r="2208">
      <c r="A2208" t="inlineStr" s="25">
        <is>
          <t xml:space="preserve">Calculation</t>
        </is>
      </c>
      <c r="B2208">
        <f>IF(IF(DATE(2027,7,1)=EDATE(DATE(2026,10,1),-'Model inputs'!AM13*1)="",FALSE,DATE(2027,7,1)=EDATE(DATE(2026,10,1),-'Model inputs'!AM13*1)),IF('Model inputs'!L85="","",'Model inputs'!L85),"")</f>
      </c>
    </row>
    <row r="2209">
      <c r="A2209" t="inlineStr" s="25">
        <is>
          <t xml:space="preserve">Calculation</t>
        </is>
      </c>
      <c r="B2209">
        <f>IF(IF(DATE(2027,8,1)=EDATE(DATE(2026,10,1),-'Model inputs'!AM13*1)="",FALSE,DATE(2027,8,1)=EDATE(DATE(2026,10,1),-'Model inputs'!AM13*1)),IF('Model inputs'!M85="","",'Model inputs'!M85),"")</f>
      </c>
    </row>
    <row r="2210">
      <c r="A2210" t="inlineStr" s="25">
        <is>
          <t xml:space="preserve">Calculation</t>
        </is>
      </c>
      <c r="B2210">
        <f>IF(IF(DATE(2027,9,1)=EDATE(DATE(2026,10,1),-'Model inputs'!AM13*1)="",FALSE,DATE(2027,9,1)=EDATE(DATE(2026,10,1),-'Model inputs'!AM13*1)),IF('Model inputs'!N85="","",'Model inputs'!N85),"")</f>
      </c>
    </row>
    <row r="2211">
      <c r="A2211" t="inlineStr" s="25">
        <is>
          <t xml:space="preserve">Calculation</t>
        </is>
      </c>
      <c r="B2211">
        <f>IF(IF(DATE(2027,10,1)=EDATE(DATE(2026,10,1),-'Model inputs'!AM13*1)="",FALSE,DATE(2027,10,1)=EDATE(DATE(2026,10,1),-'Model inputs'!AM13*1)),IF('Model inputs'!O85="","",'Model inputs'!O85),"")</f>
      </c>
    </row>
    <row r="2212">
      <c r="A2212" t="inlineStr" s="25">
        <is>
          <t xml:space="preserve">Calculation</t>
        </is>
      </c>
      <c r="B2212">
        <f>IF(IF(DATE(2027,11,1)=EDATE(DATE(2026,10,1),-'Model inputs'!AM13*1)="",FALSE,DATE(2027,11,1)=EDATE(DATE(2026,10,1),-'Model inputs'!AM13*1)),IF('Model inputs'!P85="","",'Model inputs'!P85),"")</f>
      </c>
    </row>
    <row r="2213">
      <c r="A2213" t="inlineStr" s="25">
        <is>
          <t xml:space="preserve">Calculation</t>
        </is>
      </c>
      <c r="B2213">
        <f>IF(IF(DATE(2027,12,1)=EDATE(DATE(2026,10,1),-'Model inputs'!AM13*1)="",FALSE,DATE(2027,12,1)=EDATE(DATE(2026,10,1),-'Model inputs'!AM13*1)),IF('Model inputs'!Q85="","",'Model inputs'!Q85),"")</f>
      </c>
    </row>
    <row r="2214">
      <c r="A2214" t="inlineStr" s="25">
        <is>
          <t xml:space="preserve">Calculation</t>
        </is>
      </c>
      <c r="B2214">
        <f>IF(IF(DATE(2028,1,1)=EDATE(DATE(2026,10,1),-'Model inputs'!AM13*1)="",FALSE,DATE(2028,1,1)=EDATE(DATE(2026,10,1),-'Model inputs'!AM13*1)),IF('Model inputs'!R85="","",'Model inputs'!R85),"")</f>
      </c>
    </row>
    <row r="2215">
      <c r="A2215" t="inlineStr" s="25">
        <is>
          <t xml:space="preserve">Calculation</t>
        </is>
      </c>
      <c r="B2215">
        <f>IF(IF(DATE(2028,2,1)=EDATE(DATE(2026,10,1),-'Model inputs'!AM13*1)="",FALSE,DATE(2028,2,1)=EDATE(DATE(2026,10,1),-'Model inputs'!AM13*1)),IF('Model inputs'!S85="","",'Model inputs'!S85),"")</f>
      </c>
    </row>
    <row r="2216">
      <c r="A2216" t="inlineStr" s="25">
        <is>
          <t xml:space="preserve">Calculation</t>
        </is>
      </c>
      <c r="B2216">
        <f>IF(IF(DATE(2028,3,1)=EDATE(DATE(2026,10,1),-'Model inputs'!AM13*1)="",FALSE,DATE(2028,3,1)=EDATE(DATE(2026,10,1),-'Model inputs'!AM13*1)),IF('Model inputs'!T85="","",'Model inputs'!T85),"")</f>
      </c>
    </row>
    <row r="2217">
      <c r="A2217" t="inlineStr" s="25">
        <is>
          <t xml:space="preserve">Calculation</t>
        </is>
      </c>
      <c r="B2217">
        <f>IF(IF(DATE(2028,4,1)=EDATE(DATE(2026,10,1),-'Model inputs'!AM13*1)="",FALSE,DATE(2028,4,1)=EDATE(DATE(2026,10,1),-'Model inputs'!AM13*1)),IF('Model inputs'!U85="","",'Model inputs'!U85),"")</f>
      </c>
    </row>
    <row r="2218">
      <c r="A2218" t="inlineStr" s="25">
        <is>
          <t xml:space="preserve">Calculation</t>
        </is>
      </c>
      <c r="B2218">
        <f>IF(IF(DATE(2028,5,1)=EDATE(DATE(2026,10,1),-'Model inputs'!AM13*1)="",FALSE,DATE(2028,5,1)=EDATE(DATE(2026,10,1),-'Model inputs'!AM13*1)),IF('Model inputs'!V85="","",'Model inputs'!V85),"")</f>
      </c>
    </row>
    <row r="2219">
      <c r="A2219" t="inlineStr" s="25">
        <is>
          <t xml:space="preserve">Calculation</t>
        </is>
      </c>
      <c r="B2219">
        <f>IF(IF(DATE(2028,6,1)=EDATE(DATE(2026,10,1),-'Model inputs'!AM13*1)="",FALSE,DATE(2028,6,1)=EDATE(DATE(2026,10,1),-'Model inputs'!AM13*1)),IF('Model inputs'!W85="","",'Model inputs'!W85),"")</f>
      </c>
    </row>
    <row r="2220">
      <c r="A2220" t="inlineStr" s="25">
        <is>
          <t xml:space="preserve">Calculation</t>
        </is>
      </c>
      <c r="B2220">
        <f>IF(IF(DATE(2028,7,1)=EDATE(DATE(2026,10,1),-'Model inputs'!AM13*1)="",FALSE,DATE(2028,7,1)=EDATE(DATE(2026,10,1),-'Model inputs'!AM13*1)),IF('Model inputs'!X85="","",'Model inputs'!X85),"")</f>
      </c>
    </row>
    <row r="2221">
      <c r="A2221" t="inlineStr" s="25">
        <is>
          <t xml:space="preserve">Calculation</t>
        </is>
      </c>
      <c r="B2221">
        <f>IF(IF(DATE(2028,8,1)=EDATE(DATE(2026,10,1),-'Model inputs'!AM13*1)="",FALSE,DATE(2028,8,1)=EDATE(DATE(2026,10,1),-'Model inputs'!AM13*1)),IF('Model inputs'!Y85="","",'Model inputs'!Y85),"")</f>
      </c>
    </row>
    <row r="2222">
      <c r="A2222" t="inlineStr" s="25">
        <is>
          <t xml:space="preserve">Calculation</t>
        </is>
      </c>
      <c r="B2222">
        <f>IF(IF(DATE(2028,9,1)=EDATE(DATE(2026,10,1),-'Model inputs'!AM13*1)="",FALSE,DATE(2028,9,1)=EDATE(DATE(2026,10,1),-'Model inputs'!AM13*1)),IF('Model inputs'!Z85="","",'Model inputs'!Z85),"")</f>
      </c>
    </row>
    <row r="2223">
      <c r="A2223" t="inlineStr" s="25">
        <is>
          <t xml:space="preserve">Calculation</t>
        </is>
      </c>
      <c r="B2223">
        <f>IF(IF(DATE(2028,10,1)=EDATE(DATE(2026,10,1),-'Model inputs'!AM13*1)="",FALSE,DATE(2028,10,1)=EDATE(DATE(2026,10,1),-'Model inputs'!AM13*1)),IF('Model inputs'!AA85="","",'Model inputs'!AA85),"")</f>
      </c>
    </row>
    <row r="2224">
      <c r="A2224" t="inlineStr" s="25">
        <is>
          <t xml:space="preserve">Calculation</t>
        </is>
      </c>
      <c r="B2224">
        <f>IF(IF(DATE(2028,11,1)=EDATE(DATE(2026,10,1),-'Model inputs'!AM13*1)="",FALSE,DATE(2028,11,1)=EDATE(DATE(2026,10,1),-'Model inputs'!AM13*1)),IF('Model inputs'!AB85="","",'Model inputs'!AB85),"")</f>
      </c>
    </row>
    <row r="2225">
      <c r="A2225" t="inlineStr" s="25">
        <is>
          <t xml:space="preserve">Calculation</t>
        </is>
      </c>
      <c r="B2225">
        <f>IF(IF(DATE(2028,12,1)=EDATE(DATE(2026,10,1),-'Model inputs'!AM13*1)="",FALSE,DATE(2028,12,1)=EDATE(DATE(2026,10,1),-'Model inputs'!AM13*1)),IF('Model inputs'!AC85="","",'Model inputs'!AC85),"")</f>
      </c>
    </row>
    <row r="2226">
      <c r="A2226" t="inlineStr" s="25">
        <is>
          <t xml:space="preserve">Calculation</t>
        </is>
      </c>
      <c r="B2226">
        <f>IF(IF(DATE(2029,1,1)=EDATE(DATE(2026,10,1),-'Model inputs'!AM13*1)="",FALSE,DATE(2029,1,1)=EDATE(DATE(2026,10,1),-'Model inputs'!AM13*1)),IF('Model inputs'!AD85="","",'Model inputs'!AD85),"")</f>
      </c>
    </row>
    <row r="2227">
      <c r="A2227" t="inlineStr" s="25">
        <is>
          <t xml:space="preserve">Calculation</t>
        </is>
      </c>
      <c r="B2227">
        <f>IF(IF(DATE(2029,2,1)=EDATE(DATE(2026,10,1),-'Model inputs'!AM13*1)="",FALSE,DATE(2029,2,1)=EDATE(DATE(2026,10,1),-'Model inputs'!AM13*1)),IF('Model inputs'!AE85="","",'Model inputs'!AE85),"")</f>
      </c>
    </row>
    <row r="2228">
      <c r="A2228" t="inlineStr" s="25">
        <is>
          <t xml:space="preserve">Calculation</t>
        </is>
      </c>
      <c r="B2228">
        <f>IF(IF(DATE(2029,3,1)=EDATE(DATE(2026,10,1),-'Model inputs'!AM13*1)="",FALSE,DATE(2029,3,1)=EDATE(DATE(2026,10,1),-'Model inputs'!AM13*1)),IF('Model inputs'!AF85="","",'Model inputs'!AF85),"")</f>
      </c>
    </row>
    <row r="2229">
      <c r="A2229" t="inlineStr" s="25">
        <is>
          <t xml:space="preserve">Calculation</t>
        </is>
      </c>
      <c r="B2229">
        <f>IF(IF(DATE(2029,4,1)=EDATE(DATE(2026,10,1),-'Model inputs'!AM13*1)="",FALSE,DATE(2029,4,1)=EDATE(DATE(2026,10,1),-'Model inputs'!AM13*1)),IF('Model inputs'!AG85="","",'Model inputs'!AG85),"")</f>
      </c>
    </row>
    <row r="2230">
      <c r="A2230" t="inlineStr" s="25">
        <is>
          <t xml:space="preserve">Calculation</t>
        </is>
      </c>
      <c r="B2230">
        <f>IF(IF(DATE(2029,5,1)=EDATE(DATE(2026,10,1),-'Model inputs'!AM13*1)="",FALSE,DATE(2029,5,1)=EDATE(DATE(2026,10,1),-'Model inputs'!AM13*1)),IF('Model inputs'!AH85="","",'Model inputs'!AH85),"")</f>
      </c>
    </row>
    <row r="2231">
      <c r="A2231" t="inlineStr" s="25">
        <is>
          <t xml:space="preserve">Calculation</t>
        </is>
      </c>
      <c r="B2231">
        <f>IF(IF(DATE(2029,6,1)=EDATE(DATE(2026,10,1),-'Model inputs'!AM13*1)="",FALSE,DATE(2029,6,1)=EDATE(DATE(2026,10,1),-'Model inputs'!AM13*1)),IF('Model inputs'!AI85="","",'Model inputs'!AI85),"")</f>
      </c>
    </row>
    <row r="2232">
      <c r="A2232" t="inlineStr" s="25">
        <is>
          <t xml:space="preserve">Calculation</t>
        </is>
      </c>
      <c r="B2232">
        <f>IF(IF(DATE(2029,7,1)=EDATE(DATE(2026,10,1),-'Model inputs'!AM13*1)="",FALSE,DATE(2029,7,1)=EDATE(DATE(2026,10,1),-'Model inputs'!AM13*1)),IF('Model inputs'!AJ85="","",'Model inputs'!AJ85),"")</f>
      </c>
    </row>
    <row r="2233">
      <c r="A2233" t="inlineStr" s="25">
        <is>
          <t xml:space="preserve">Calculation</t>
        </is>
      </c>
      <c r="B2233">
        <f>IF(IF(DATE(2029,8,1)=EDATE(DATE(2026,10,1),-'Model inputs'!AM13*1)="",FALSE,DATE(2029,8,1)=EDATE(DATE(2026,10,1),-'Model inputs'!AM13*1)),IF('Model inputs'!AK85="","",'Model inputs'!AK85),"")</f>
      </c>
    </row>
    <row r="2234">
      <c r="A2234" t="inlineStr" s="25">
        <is>
          <t xml:space="preserve">Calculation</t>
        </is>
      </c>
      <c r="B2234">
        <f>IF(IF(DATE(2029,9,1)=EDATE(DATE(2026,10,1),-'Model inputs'!AM13*1)="",FALSE,DATE(2029,9,1)=EDATE(DATE(2026,10,1),-'Model inputs'!AM13*1)),IF('Model inputs'!AL85="","",'Model inputs'!AL85),"")</f>
      </c>
    </row>
    <row r="2235">
      <c r="A2235" t="inlineStr" s="25">
        <is>
          <t xml:space="preserve">Calculation</t>
        </is>
      </c>
      <c r="B2235">
        <f>SUM(IF(IF('Model inputs'!B831="",0,1)="",0,IF('Model inputs'!B831="",0,1)),IF(IF('Model inputs'!B2199="",0,1)="",0,IF('Model inputs'!B2199="",0,1)),IF(IF('Model inputs'!B2200="",0,1)="",0,IF('Model inputs'!B2200="",0,1)),IF(IF('Model inputs'!B2201="",0,1)="",0,IF('Model inputs'!B2201="",0,1)),IF(IF('Model inputs'!B2202="",0,1)="",0,IF('Model inputs'!B2202="",0,1)),IF(IF('Model inputs'!B2203="",0,1)="",0,IF('Model inputs'!B2203="",0,1)),IF(IF('Model inputs'!B2204="",0,1)="",0,IF('Model inputs'!B2204="",0,1)),IF(IF('Model inputs'!B2205="",0,1)="",0,IF('Model inputs'!B2205="",0,1)),IF(IF('Model inputs'!B2206="",0,1)="",0,IF('Model inputs'!B2206="",0,1)),IF(IF('Model inputs'!B2207="",0,1)="",0,IF('Model inputs'!B2207="",0,1)),IF(IF('Model inputs'!B2208="",0,1)="",0,IF('Model inputs'!B2208="",0,1)),IF(IF('Model inputs'!B2209="",0,1)="",0,IF('Model inputs'!B2209="",0,1)),IF(IF('Model inputs'!B2210="",0,1)="",0,IF('Model inputs'!B2210="",0,1)),IF(IF('Model inputs'!B2211="",0,1)="",0,IF('Model inputs'!B2211="",0,1)),IF(IF('Model inputs'!B2212="",0,1)="",0,IF('Model inputs'!B2212="",0,1)),IF(IF('Model inputs'!B2213="",0,1)="",0,IF('Model inputs'!B2213="",0,1)),IF(IF('Model inputs'!B2214="",0,1)="",0,IF('Model inputs'!B2214="",0,1)),IF(IF('Model inputs'!B2215="",0,1)="",0,IF('Model inputs'!B2215="",0,1)),IF(IF('Model inputs'!B2216="",0,1)="",0,IF('Model inputs'!B2216="",0,1)),IF(IF('Model inputs'!B2217="",0,1)="",0,IF('Model inputs'!B2217="",0,1)),IF(IF('Model inputs'!B2218="",0,1)="",0,IF('Model inputs'!B2218="",0,1)),IF(IF('Model inputs'!B2219="",0,1)="",0,IF('Model inputs'!B2219="",0,1)),IF(IF('Model inputs'!B2220="",0,1)="",0,IF('Model inputs'!B2220="",0,1)),IF(IF('Model inputs'!B2221="",0,1)="",0,IF('Model inputs'!B2221="",0,1)),IF(IF('Model inputs'!B2222="",0,1)="",0,IF('Model inputs'!B2222="",0,1)),IF(IF('Model inputs'!B2223="",0,1)="",0,IF('Model inputs'!B2223="",0,1)),IF(IF('Model inputs'!B2224="",0,1)="",0,IF('Model inputs'!B2224="",0,1)),IF(IF('Model inputs'!B2225="",0,1)="",0,IF('Model inputs'!B2225="",0,1)),IF(IF('Model inputs'!B2226="",0,1)="",0,IF('Model inputs'!B2226="",0,1)),IF(IF('Model inputs'!B2227="",0,1)="",0,IF('Model inputs'!B2227="",0,1)),IF(IF('Model inputs'!B2228="",0,1)="",0,IF('Model inputs'!B2228="",0,1)),IF(IF('Model inputs'!B2229="",0,1)="",0,IF('Model inputs'!B2229="",0,1)),IF(IF('Model inputs'!B2230="",0,1)="",0,IF('Model inputs'!B2230="",0,1)),IF(IF('Model inputs'!B2231="",0,1)="",0,IF('Model inputs'!B2231="",0,1)),IF(IF('Model inputs'!B2232="",0,1)="",0,IF('Model inputs'!B2232="",0,1)),IF(IF('Model inputs'!B2233="",0,1)="",0,IF('Model inputs'!B2233="",0,1)),IF(IF('Model inputs'!B2234="",0,1)="",0,IF('Model inputs'!B2234="",0,1)))</f>
      </c>
    </row>
    <row r="2236">
      <c r="A2236" t="inlineStr" s="25">
        <is>
          <t xml:space="preserve">Calculation</t>
        </is>
      </c>
      <c r="B2236">
        <f>IF(IF(DATE(2026,10,1)=EDATE(DATE(2026,11,1),-'Model inputs'!AM13*1)="",FALSE,DATE(2026,10,1)=EDATE(DATE(2026,11,1),-'Model inputs'!AM13*1)),IF('Model inputs'!C85="","",'Model inputs'!C85),"")</f>
      </c>
    </row>
    <row r="2237">
      <c r="A2237" t="inlineStr" s="25">
        <is>
          <t xml:space="preserve">Calculation</t>
        </is>
      </c>
      <c r="B2237">
        <f>IF(IF(DATE(2026,11,1)=EDATE(DATE(2026,11,1),-'Model inputs'!AM13*1)="",FALSE,DATE(2026,11,1)=EDATE(DATE(2026,11,1),-'Model inputs'!AM13*1)),IF('Model inputs'!D85="","",'Model inputs'!D85),"")</f>
      </c>
    </row>
    <row r="2238">
      <c r="A2238" t="inlineStr" s="25">
        <is>
          <t xml:space="preserve">Calculation</t>
        </is>
      </c>
      <c r="B2238">
        <f>IF(IF(DATE(2026,12,1)=EDATE(DATE(2026,11,1),-'Model inputs'!AM13*1)="",FALSE,DATE(2026,12,1)=EDATE(DATE(2026,11,1),-'Model inputs'!AM13*1)),IF('Model inputs'!E85="","",'Model inputs'!E85),"")</f>
      </c>
    </row>
    <row r="2239">
      <c r="A2239" t="inlineStr" s="25">
        <is>
          <t xml:space="preserve">Calculation</t>
        </is>
      </c>
      <c r="B2239">
        <f>IF(IF(DATE(2027,1,1)=EDATE(DATE(2026,11,1),-'Model inputs'!AM13*1)="",FALSE,DATE(2027,1,1)=EDATE(DATE(2026,11,1),-'Model inputs'!AM13*1)),IF('Model inputs'!F85="","",'Model inputs'!F85),"")</f>
      </c>
    </row>
    <row r="2240">
      <c r="A2240" t="inlineStr" s="25">
        <is>
          <t xml:space="preserve">Calculation</t>
        </is>
      </c>
      <c r="B2240">
        <f>IF(IF(DATE(2027,2,1)=EDATE(DATE(2026,11,1),-'Model inputs'!AM13*1)="",FALSE,DATE(2027,2,1)=EDATE(DATE(2026,11,1),-'Model inputs'!AM13*1)),IF('Model inputs'!G85="","",'Model inputs'!G85),"")</f>
      </c>
    </row>
    <row r="2241">
      <c r="A2241" t="inlineStr" s="25">
        <is>
          <t xml:space="preserve">Calculation</t>
        </is>
      </c>
      <c r="B2241">
        <f>IF(IF(DATE(2027,3,1)=EDATE(DATE(2026,11,1),-'Model inputs'!AM13*1)="",FALSE,DATE(2027,3,1)=EDATE(DATE(2026,11,1),-'Model inputs'!AM13*1)),IF('Model inputs'!H85="","",'Model inputs'!H85),"")</f>
      </c>
    </row>
    <row r="2242">
      <c r="A2242" t="inlineStr" s="25">
        <is>
          <t xml:space="preserve">Calculation</t>
        </is>
      </c>
      <c r="B2242">
        <f>IF(IF(DATE(2027,4,1)=EDATE(DATE(2026,11,1),-'Model inputs'!AM13*1)="",FALSE,DATE(2027,4,1)=EDATE(DATE(2026,11,1),-'Model inputs'!AM13*1)),IF('Model inputs'!I85="","",'Model inputs'!I85),"")</f>
      </c>
    </row>
    <row r="2243">
      <c r="A2243" t="inlineStr" s="25">
        <is>
          <t xml:space="preserve">Calculation</t>
        </is>
      </c>
      <c r="B2243">
        <f>IF(IF(DATE(2027,5,1)=EDATE(DATE(2026,11,1),-'Model inputs'!AM13*1)="",FALSE,DATE(2027,5,1)=EDATE(DATE(2026,11,1),-'Model inputs'!AM13*1)),IF('Model inputs'!J85="","",'Model inputs'!J85),"")</f>
      </c>
    </row>
    <row r="2244">
      <c r="A2244" t="inlineStr" s="25">
        <is>
          <t xml:space="preserve">Calculation</t>
        </is>
      </c>
      <c r="B2244">
        <f>IF(IF(DATE(2027,6,1)=EDATE(DATE(2026,11,1),-'Model inputs'!AM13*1)="",FALSE,DATE(2027,6,1)=EDATE(DATE(2026,11,1),-'Model inputs'!AM13*1)),IF('Model inputs'!K85="","",'Model inputs'!K85),"")</f>
      </c>
    </row>
    <row r="2245">
      <c r="A2245" t="inlineStr" s="25">
        <is>
          <t xml:space="preserve">Calculation</t>
        </is>
      </c>
      <c r="B2245">
        <f>IF(IF(DATE(2027,7,1)=EDATE(DATE(2026,11,1),-'Model inputs'!AM13*1)="",FALSE,DATE(2027,7,1)=EDATE(DATE(2026,11,1),-'Model inputs'!AM13*1)),IF('Model inputs'!L85="","",'Model inputs'!L85),"")</f>
      </c>
    </row>
    <row r="2246">
      <c r="A2246" t="inlineStr" s="25">
        <is>
          <t xml:space="preserve">Calculation</t>
        </is>
      </c>
      <c r="B2246">
        <f>IF(IF(DATE(2027,8,1)=EDATE(DATE(2026,11,1),-'Model inputs'!AM13*1)="",FALSE,DATE(2027,8,1)=EDATE(DATE(2026,11,1),-'Model inputs'!AM13*1)),IF('Model inputs'!M85="","",'Model inputs'!M85),"")</f>
      </c>
    </row>
    <row r="2247">
      <c r="A2247" t="inlineStr" s="25">
        <is>
          <t xml:space="preserve">Calculation</t>
        </is>
      </c>
      <c r="B2247">
        <f>IF(IF(DATE(2027,9,1)=EDATE(DATE(2026,11,1),-'Model inputs'!AM13*1)="",FALSE,DATE(2027,9,1)=EDATE(DATE(2026,11,1),-'Model inputs'!AM13*1)),IF('Model inputs'!N85="","",'Model inputs'!N85),"")</f>
      </c>
    </row>
    <row r="2248">
      <c r="A2248" t="inlineStr" s="25">
        <is>
          <t xml:space="preserve">Calculation</t>
        </is>
      </c>
      <c r="B2248">
        <f>IF(IF(DATE(2027,10,1)=EDATE(DATE(2026,11,1),-'Model inputs'!AM13*1)="",FALSE,DATE(2027,10,1)=EDATE(DATE(2026,11,1),-'Model inputs'!AM13*1)),IF('Model inputs'!O85="","",'Model inputs'!O85),"")</f>
      </c>
    </row>
    <row r="2249">
      <c r="A2249" t="inlineStr" s="25">
        <is>
          <t xml:space="preserve">Calculation</t>
        </is>
      </c>
      <c r="B2249">
        <f>IF(IF(DATE(2027,11,1)=EDATE(DATE(2026,11,1),-'Model inputs'!AM13*1)="",FALSE,DATE(2027,11,1)=EDATE(DATE(2026,11,1),-'Model inputs'!AM13*1)),IF('Model inputs'!P85="","",'Model inputs'!P85),"")</f>
      </c>
    </row>
    <row r="2250">
      <c r="A2250" t="inlineStr" s="25">
        <is>
          <t xml:space="preserve">Calculation</t>
        </is>
      </c>
      <c r="B2250">
        <f>IF(IF(DATE(2027,12,1)=EDATE(DATE(2026,11,1),-'Model inputs'!AM13*1)="",FALSE,DATE(2027,12,1)=EDATE(DATE(2026,11,1),-'Model inputs'!AM13*1)),IF('Model inputs'!Q85="","",'Model inputs'!Q85),"")</f>
      </c>
    </row>
    <row r="2251">
      <c r="A2251" t="inlineStr" s="25">
        <is>
          <t xml:space="preserve">Calculation</t>
        </is>
      </c>
      <c r="B2251">
        <f>IF(IF(DATE(2028,1,1)=EDATE(DATE(2026,11,1),-'Model inputs'!AM13*1)="",FALSE,DATE(2028,1,1)=EDATE(DATE(2026,11,1),-'Model inputs'!AM13*1)),IF('Model inputs'!R85="","",'Model inputs'!R85),"")</f>
      </c>
    </row>
    <row r="2252">
      <c r="A2252" t="inlineStr" s="25">
        <is>
          <t xml:space="preserve">Calculation</t>
        </is>
      </c>
      <c r="B2252">
        <f>IF(IF(DATE(2028,2,1)=EDATE(DATE(2026,11,1),-'Model inputs'!AM13*1)="",FALSE,DATE(2028,2,1)=EDATE(DATE(2026,11,1),-'Model inputs'!AM13*1)),IF('Model inputs'!S85="","",'Model inputs'!S85),"")</f>
      </c>
    </row>
    <row r="2253">
      <c r="A2253" t="inlineStr" s="25">
        <is>
          <t xml:space="preserve">Calculation</t>
        </is>
      </c>
      <c r="B2253">
        <f>IF(IF(DATE(2028,3,1)=EDATE(DATE(2026,11,1),-'Model inputs'!AM13*1)="",FALSE,DATE(2028,3,1)=EDATE(DATE(2026,11,1),-'Model inputs'!AM13*1)),IF('Model inputs'!T85="","",'Model inputs'!T85),"")</f>
      </c>
    </row>
    <row r="2254">
      <c r="A2254" t="inlineStr" s="25">
        <is>
          <t xml:space="preserve">Calculation</t>
        </is>
      </c>
      <c r="B2254">
        <f>IF(IF(DATE(2028,4,1)=EDATE(DATE(2026,11,1),-'Model inputs'!AM13*1)="",FALSE,DATE(2028,4,1)=EDATE(DATE(2026,11,1),-'Model inputs'!AM13*1)),IF('Model inputs'!U85="","",'Model inputs'!U85),"")</f>
      </c>
    </row>
    <row r="2255">
      <c r="A2255" t="inlineStr" s="25">
        <is>
          <t xml:space="preserve">Calculation</t>
        </is>
      </c>
      <c r="B2255">
        <f>IF(IF(DATE(2028,5,1)=EDATE(DATE(2026,11,1),-'Model inputs'!AM13*1)="",FALSE,DATE(2028,5,1)=EDATE(DATE(2026,11,1),-'Model inputs'!AM13*1)),IF('Model inputs'!V85="","",'Model inputs'!V85),"")</f>
      </c>
    </row>
    <row r="2256">
      <c r="A2256" t="inlineStr" s="25">
        <is>
          <t xml:space="preserve">Calculation</t>
        </is>
      </c>
      <c r="B2256">
        <f>IF(IF(DATE(2028,6,1)=EDATE(DATE(2026,11,1),-'Model inputs'!AM13*1)="",FALSE,DATE(2028,6,1)=EDATE(DATE(2026,11,1),-'Model inputs'!AM13*1)),IF('Model inputs'!W85="","",'Model inputs'!W85),"")</f>
      </c>
    </row>
    <row r="2257">
      <c r="A2257" t="inlineStr" s="25">
        <is>
          <t xml:space="preserve">Calculation</t>
        </is>
      </c>
      <c r="B2257">
        <f>IF(IF(DATE(2028,7,1)=EDATE(DATE(2026,11,1),-'Model inputs'!AM13*1)="",FALSE,DATE(2028,7,1)=EDATE(DATE(2026,11,1),-'Model inputs'!AM13*1)),IF('Model inputs'!X85="","",'Model inputs'!X85),"")</f>
      </c>
    </row>
    <row r="2258">
      <c r="A2258" t="inlineStr" s="25">
        <is>
          <t xml:space="preserve">Calculation</t>
        </is>
      </c>
      <c r="B2258">
        <f>IF(IF(DATE(2028,8,1)=EDATE(DATE(2026,11,1),-'Model inputs'!AM13*1)="",FALSE,DATE(2028,8,1)=EDATE(DATE(2026,11,1),-'Model inputs'!AM13*1)),IF('Model inputs'!Y85="","",'Model inputs'!Y85),"")</f>
      </c>
    </row>
    <row r="2259">
      <c r="A2259" t="inlineStr" s="25">
        <is>
          <t xml:space="preserve">Calculation</t>
        </is>
      </c>
      <c r="B2259">
        <f>IF(IF(DATE(2028,9,1)=EDATE(DATE(2026,11,1),-'Model inputs'!AM13*1)="",FALSE,DATE(2028,9,1)=EDATE(DATE(2026,11,1),-'Model inputs'!AM13*1)),IF('Model inputs'!Z85="","",'Model inputs'!Z85),"")</f>
      </c>
    </row>
    <row r="2260">
      <c r="A2260" t="inlineStr" s="25">
        <is>
          <t xml:space="preserve">Calculation</t>
        </is>
      </c>
      <c r="B2260">
        <f>IF(IF(DATE(2028,10,1)=EDATE(DATE(2026,11,1),-'Model inputs'!AM13*1)="",FALSE,DATE(2028,10,1)=EDATE(DATE(2026,11,1),-'Model inputs'!AM13*1)),IF('Model inputs'!AA85="","",'Model inputs'!AA85),"")</f>
      </c>
    </row>
    <row r="2261">
      <c r="A2261" t="inlineStr" s="25">
        <is>
          <t xml:space="preserve">Calculation</t>
        </is>
      </c>
      <c r="B2261">
        <f>IF(IF(DATE(2028,11,1)=EDATE(DATE(2026,11,1),-'Model inputs'!AM13*1)="",FALSE,DATE(2028,11,1)=EDATE(DATE(2026,11,1),-'Model inputs'!AM13*1)),IF('Model inputs'!AB85="","",'Model inputs'!AB85),"")</f>
      </c>
    </row>
    <row r="2262">
      <c r="A2262" t="inlineStr" s="25">
        <is>
          <t xml:space="preserve">Calculation</t>
        </is>
      </c>
      <c r="B2262">
        <f>IF(IF(DATE(2028,12,1)=EDATE(DATE(2026,11,1),-'Model inputs'!AM13*1)="",FALSE,DATE(2028,12,1)=EDATE(DATE(2026,11,1),-'Model inputs'!AM13*1)),IF('Model inputs'!AC85="","",'Model inputs'!AC85),"")</f>
      </c>
    </row>
    <row r="2263">
      <c r="A2263" t="inlineStr" s="25">
        <is>
          <t xml:space="preserve">Calculation</t>
        </is>
      </c>
      <c r="B2263">
        <f>IF(IF(DATE(2029,1,1)=EDATE(DATE(2026,11,1),-'Model inputs'!AM13*1)="",FALSE,DATE(2029,1,1)=EDATE(DATE(2026,11,1),-'Model inputs'!AM13*1)),IF('Model inputs'!AD85="","",'Model inputs'!AD85),"")</f>
      </c>
    </row>
    <row r="2264">
      <c r="A2264" t="inlineStr" s="25">
        <is>
          <t xml:space="preserve">Calculation</t>
        </is>
      </c>
      <c r="B2264">
        <f>IF(IF(DATE(2029,2,1)=EDATE(DATE(2026,11,1),-'Model inputs'!AM13*1)="",FALSE,DATE(2029,2,1)=EDATE(DATE(2026,11,1),-'Model inputs'!AM13*1)),IF('Model inputs'!AE85="","",'Model inputs'!AE85),"")</f>
      </c>
    </row>
    <row r="2265">
      <c r="A2265" t="inlineStr" s="25">
        <is>
          <t xml:space="preserve">Calculation</t>
        </is>
      </c>
      <c r="B2265">
        <f>IF(IF(DATE(2029,3,1)=EDATE(DATE(2026,11,1),-'Model inputs'!AM13*1)="",FALSE,DATE(2029,3,1)=EDATE(DATE(2026,11,1),-'Model inputs'!AM13*1)),IF('Model inputs'!AF85="","",'Model inputs'!AF85),"")</f>
      </c>
    </row>
    <row r="2266">
      <c r="A2266" t="inlineStr" s="25">
        <is>
          <t xml:space="preserve">Calculation</t>
        </is>
      </c>
      <c r="B2266">
        <f>IF(IF(DATE(2029,4,1)=EDATE(DATE(2026,11,1),-'Model inputs'!AM13*1)="",FALSE,DATE(2029,4,1)=EDATE(DATE(2026,11,1),-'Model inputs'!AM13*1)),IF('Model inputs'!AG85="","",'Model inputs'!AG85),"")</f>
      </c>
    </row>
    <row r="2267">
      <c r="A2267" t="inlineStr" s="25">
        <is>
          <t xml:space="preserve">Calculation</t>
        </is>
      </c>
      <c r="B2267">
        <f>IF(IF(DATE(2029,5,1)=EDATE(DATE(2026,11,1),-'Model inputs'!AM13*1)="",FALSE,DATE(2029,5,1)=EDATE(DATE(2026,11,1),-'Model inputs'!AM13*1)),IF('Model inputs'!AH85="","",'Model inputs'!AH85),"")</f>
      </c>
    </row>
    <row r="2268">
      <c r="A2268" t="inlineStr" s="25">
        <is>
          <t xml:space="preserve">Calculation</t>
        </is>
      </c>
      <c r="B2268">
        <f>IF(IF(DATE(2029,6,1)=EDATE(DATE(2026,11,1),-'Model inputs'!AM13*1)="",FALSE,DATE(2029,6,1)=EDATE(DATE(2026,11,1),-'Model inputs'!AM13*1)),IF('Model inputs'!AI85="","",'Model inputs'!AI85),"")</f>
      </c>
    </row>
    <row r="2269">
      <c r="A2269" t="inlineStr" s="25">
        <is>
          <t xml:space="preserve">Calculation</t>
        </is>
      </c>
      <c r="B2269">
        <f>IF(IF(DATE(2029,7,1)=EDATE(DATE(2026,11,1),-'Model inputs'!AM13*1)="",FALSE,DATE(2029,7,1)=EDATE(DATE(2026,11,1),-'Model inputs'!AM13*1)),IF('Model inputs'!AJ85="","",'Model inputs'!AJ85),"")</f>
      </c>
    </row>
    <row r="2270">
      <c r="A2270" t="inlineStr" s="25">
        <is>
          <t xml:space="preserve">Calculation</t>
        </is>
      </c>
      <c r="B2270">
        <f>IF(IF(DATE(2029,8,1)=EDATE(DATE(2026,11,1),-'Model inputs'!AM13*1)="",FALSE,DATE(2029,8,1)=EDATE(DATE(2026,11,1),-'Model inputs'!AM13*1)),IF('Model inputs'!AK85="","",'Model inputs'!AK85),"")</f>
      </c>
    </row>
    <row r="2271">
      <c r="A2271" t="inlineStr" s="25">
        <is>
          <t xml:space="preserve">Calculation</t>
        </is>
      </c>
      <c r="B2271">
        <f>IF(IF(DATE(2029,9,1)=EDATE(DATE(2026,11,1),-'Model inputs'!AM13*1)="",FALSE,DATE(2029,9,1)=EDATE(DATE(2026,11,1),-'Model inputs'!AM13*1)),IF('Model inputs'!AL85="","",'Model inputs'!AL85),"")</f>
      </c>
    </row>
    <row r="2272">
      <c r="A2272" t="inlineStr" s="25">
        <is>
          <t xml:space="preserve">Calculation</t>
        </is>
      </c>
      <c r="B2272">
        <f>SUM(IF(IF('Model inputs'!B869="",0,1)="",0,IF('Model inputs'!B869="",0,1)),IF(IF('Model inputs'!B2236="",0,1)="",0,IF('Model inputs'!B2236="",0,1)),IF(IF('Model inputs'!B2237="",0,1)="",0,IF('Model inputs'!B2237="",0,1)),IF(IF('Model inputs'!B2238="",0,1)="",0,IF('Model inputs'!B2238="",0,1)),IF(IF('Model inputs'!B2239="",0,1)="",0,IF('Model inputs'!B2239="",0,1)),IF(IF('Model inputs'!B2240="",0,1)="",0,IF('Model inputs'!B2240="",0,1)),IF(IF('Model inputs'!B2241="",0,1)="",0,IF('Model inputs'!B2241="",0,1)),IF(IF('Model inputs'!B2242="",0,1)="",0,IF('Model inputs'!B2242="",0,1)),IF(IF('Model inputs'!B2243="",0,1)="",0,IF('Model inputs'!B2243="",0,1)),IF(IF('Model inputs'!B2244="",0,1)="",0,IF('Model inputs'!B2244="",0,1)),IF(IF('Model inputs'!B2245="",0,1)="",0,IF('Model inputs'!B2245="",0,1)),IF(IF('Model inputs'!B2246="",0,1)="",0,IF('Model inputs'!B2246="",0,1)),IF(IF('Model inputs'!B2247="",0,1)="",0,IF('Model inputs'!B2247="",0,1)),IF(IF('Model inputs'!B2248="",0,1)="",0,IF('Model inputs'!B2248="",0,1)),IF(IF('Model inputs'!B2249="",0,1)="",0,IF('Model inputs'!B2249="",0,1)),IF(IF('Model inputs'!B2250="",0,1)="",0,IF('Model inputs'!B2250="",0,1)),IF(IF('Model inputs'!B2251="",0,1)="",0,IF('Model inputs'!B2251="",0,1)),IF(IF('Model inputs'!B2252="",0,1)="",0,IF('Model inputs'!B2252="",0,1)),IF(IF('Model inputs'!B2253="",0,1)="",0,IF('Model inputs'!B2253="",0,1)),IF(IF('Model inputs'!B2254="",0,1)="",0,IF('Model inputs'!B2254="",0,1)),IF(IF('Model inputs'!B2255="",0,1)="",0,IF('Model inputs'!B2255="",0,1)),IF(IF('Model inputs'!B2256="",0,1)="",0,IF('Model inputs'!B2256="",0,1)),IF(IF('Model inputs'!B2257="",0,1)="",0,IF('Model inputs'!B2257="",0,1)),IF(IF('Model inputs'!B2258="",0,1)="",0,IF('Model inputs'!B2258="",0,1)),IF(IF('Model inputs'!B2259="",0,1)="",0,IF('Model inputs'!B2259="",0,1)),IF(IF('Model inputs'!B2260="",0,1)="",0,IF('Model inputs'!B2260="",0,1)),IF(IF('Model inputs'!B2261="",0,1)="",0,IF('Model inputs'!B2261="",0,1)),IF(IF('Model inputs'!B2262="",0,1)="",0,IF('Model inputs'!B2262="",0,1)),IF(IF('Model inputs'!B2263="",0,1)="",0,IF('Model inputs'!B2263="",0,1)),IF(IF('Model inputs'!B2264="",0,1)="",0,IF('Model inputs'!B2264="",0,1)),IF(IF('Model inputs'!B2265="",0,1)="",0,IF('Model inputs'!B2265="",0,1)),IF(IF('Model inputs'!B2266="",0,1)="",0,IF('Model inputs'!B2266="",0,1)),IF(IF('Model inputs'!B2267="",0,1)="",0,IF('Model inputs'!B2267="",0,1)),IF(IF('Model inputs'!B2268="",0,1)="",0,IF('Model inputs'!B2268="",0,1)),IF(IF('Model inputs'!B2269="",0,1)="",0,IF('Model inputs'!B2269="",0,1)),IF(IF('Model inputs'!B2270="",0,1)="",0,IF('Model inputs'!B2270="",0,1)),IF(IF('Model inputs'!B2271="",0,1)="",0,IF('Model inputs'!B2271="",0,1)))</f>
      </c>
    </row>
    <row r="2273">
      <c r="A2273" t="inlineStr" s="25">
        <is>
          <t xml:space="preserve">Calculation</t>
        </is>
      </c>
      <c r="B2273">
        <f>IF(IF(DATE(2026,10,1)=EDATE(DATE(2026,12,1),-'Model inputs'!AM13*1)="",FALSE,DATE(2026,10,1)=EDATE(DATE(2026,12,1),-'Model inputs'!AM13*1)),IF('Model inputs'!C85="","",'Model inputs'!C85),"")</f>
      </c>
    </row>
    <row r="2274">
      <c r="A2274" t="inlineStr" s="25">
        <is>
          <t xml:space="preserve">Calculation</t>
        </is>
      </c>
      <c r="B2274">
        <f>IF(IF(DATE(2026,11,1)=EDATE(DATE(2026,12,1),-'Model inputs'!AM13*1)="",FALSE,DATE(2026,11,1)=EDATE(DATE(2026,12,1),-'Model inputs'!AM13*1)),IF('Model inputs'!D85="","",'Model inputs'!D85),"")</f>
      </c>
    </row>
    <row r="2275">
      <c r="A2275" t="inlineStr" s="25">
        <is>
          <t xml:space="preserve">Calculation</t>
        </is>
      </c>
      <c r="B2275">
        <f>IF(IF(DATE(2026,12,1)=EDATE(DATE(2026,12,1),-'Model inputs'!AM13*1)="",FALSE,DATE(2026,12,1)=EDATE(DATE(2026,12,1),-'Model inputs'!AM13*1)),IF('Model inputs'!E85="","",'Model inputs'!E85),"")</f>
      </c>
    </row>
    <row r="2276">
      <c r="A2276" t="inlineStr" s="25">
        <is>
          <t xml:space="preserve">Calculation</t>
        </is>
      </c>
      <c r="B2276">
        <f>IF(IF(DATE(2027,1,1)=EDATE(DATE(2026,12,1),-'Model inputs'!AM13*1)="",FALSE,DATE(2027,1,1)=EDATE(DATE(2026,12,1),-'Model inputs'!AM13*1)),IF('Model inputs'!F85="","",'Model inputs'!F85),"")</f>
      </c>
    </row>
    <row r="2277">
      <c r="A2277" t="inlineStr" s="25">
        <is>
          <t xml:space="preserve">Calculation</t>
        </is>
      </c>
      <c r="B2277">
        <f>IF(IF(DATE(2027,2,1)=EDATE(DATE(2026,12,1),-'Model inputs'!AM13*1)="",FALSE,DATE(2027,2,1)=EDATE(DATE(2026,12,1),-'Model inputs'!AM13*1)),IF('Model inputs'!G85="","",'Model inputs'!G85),"")</f>
      </c>
    </row>
    <row r="2278">
      <c r="A2278" t="inlineStr" s="25">
        <is>
          <t xml:space="preserve">Calculation</t>
        </is>
      </c>
      <c r="B2278">
        <f>IF(IF(DATE(2027,3,1)=EDATE(DATE(2026,12,1),-'Model inputs'!AM13*1)="",FALSE,DATE(2027,3,1)=EDATE(DATE(2026,12,1),-'Model inputs'!AM13*1)),IF('Model inputs'!H85="","",'Model inputs'!H85),"")</f>
      </c>
    </row>
    <row r="2279">
      <c r="A2279" t="inlineStr" s="25">
        <is>
          <t xml:space="preserve">Calculation</t>
        </is>
      </c>
      <c r="B2279">
        <f>IF(IF(DATE(2027,4,1)=EDATE(DATE(2026,12,1),-'Model inputs'!AM13*1)="",FALSE,DATE(2027,4,1)=EDATE(DATE(2026,12,1),-'Model inputs'!AM13*1)),IF('Model inputs'!I85="","",'Model inputs'!I85),"")</f>
      </c>
    </row>
    <row r="2280">
      <c r="A2280" t="inlineStr" s="25">
        <is>
          <t xml:space="preserve">Calculation</t>
        </is>
      </c>
      <c r="B2280">
        <f>IF(IF(DATE(2027,5,1)=EDATE(DATE(2026,12,1),-'Model inputs'!AM13*1)="",FALSE,DATE(2027,5,1)=EDATE(DATE(2026,12,1),-'Model inputs'!AM13*1)),IF('Model inputs'!J85="","",'Model inputs'!J85),"")</f>
      </c>
    </row>
    <row r="2281">
      <c r="A2281" t="inlineStr" s="25">
        <is>
          <t xml:space="preserve">Calculation</t>
        </is>
      </c>
      <c r="B2281">
        <f>IF(IF(DATE(2027,6,1)=EDATE(DATE(2026,12,1),-'Model inputs'!AM13*1)="",FALSE,DATE(2027,6,1)=EDATE(DATE(2026,12,1),-'Model inputs'!AM13*1)),IF('Model inputs'!K85="","",'Model inputs'!K85),"")</f>
      </c>
    </row>
    <row r="2282">
      <c r="A2282" t="inlineStr" s="25">
        <is>
          <t xml:space="preserve">Calculation</t>
        </is>
      </c>
      <c r="B2282">
        <f>IF(IF(DATE(2027,7,1)=EDATE(DATE(2026,12,1),-'Model inputs'!AM13*1)="",FALSE,DATE(2027,7,1)=EDATE(DATE(2026,12,1),-'Model inputs'!AM13*1)),IF('Model inputs'!L85="","",'Model inputs'!L85),"")</f>
      </c>
    </row>
    <row r="2283">
      <c r="A2283" t="inlineStr" s="25">
        <is>
          <t xml:space="preserve">Calculation</t>
        </is>
      </c>
      <c r="B2283">
        <f>IF(IF(DATE(2027,8,1)=EDATE(DATE(2026,12,1),-'Model inputs'!AM13*1)="",FALSE,DATE(2027,8,1)=EDATE(DATE(2026,12,1),-'Model inputs'!AM13*1)),IF('Model inputs'!M85="","",'Model inputs'!M85),"")</f>
      </c>
    </row>
    <row r="2284">
      <c r="A2284" t="inlineStr" s="25">
        <is>
          <t xml:space="preserve">Calculation</t>
        </is>
      </c>
      <c r="B2284">
        <f>IF(IF(DATE(2027,9,1)=EDATE(DATE(2026,12,1),-'Model inputs'!AM13*1)="",FALSE,DATE(2027,9,1)=EDATE(DATE(2026,12,1),-'Model inputs'!AM13*1)),IF('Model inputs'!N85="","",'Model inputs'!N85),"")</f>
      </c>
    </row>
    <row r="2285">
      <c r="A2285" t="inlineStr" s="25">
        <is>
          <t xml:space="preserve">Calculation</t>
        </is>
      </c>
      <c r="B2285">
        <f>IF(IF(DATE(2027,10,1)=EDATE(DATE(2026,12,1),-'Model inputs'!AM13*1)="",FALSE,DATE(2027,10,1)=EDATE(DATE(2026,12,1),-'Model inputs'!AM13*1)),IF('Model inputs'!O85="","",'Model inputs'!O85),"")</f>
      </c>
    </row>
    <row r="2286">
      <c r="A2286" t="inlineStr" s="25">
        <is>
          <t xml:space="preserve">Calculation</t>
        </is>
      </c>
      <c r="B2286">
        <f>IF(IF(DATE(2027,11,1)=EDATE(DATE(2026,12,1),-'Model inputs'!AM13*1)="",FALSE,DATE(2027,11,1)=EDATE(DATE(2026,12,1),-'Model inputs'!AM13*1)),IF('Model inputs'!P85="","",'Model inputs'!P85),"")</f>
      </c>
    </row>
    <row r="2287">
      <c r="A2287" t="inlineStr" s="25">
        <is>
          <t xml:space="preserve">Calculation</t>
        </is>
      </c>
      <c r="B2287">
        <f>IF(IF(DATE(2027,12,1)=EDATE(DATE(2026,12,1),-'Model inputs'!AM13*1)="",FALSE,DATE(2027,12,1)=EDATE(DATE(2026,12,1),-'Model inputs'!AM13*1)),IF('Model inputs'!Q85="","",'Model inputs'!Q85),"")</f>
      </c>
    </row>
    <row r="2288">
      <c r="A2288" t="inlineStr" s="25">
        <is>
          <t xml:space="preserve">Calculation</t>
        </is>
      </c>
      <c r="B2288">
        <f>IF(IF(DATE(2028,1,1)=EDATE(DATE(2026,12,1),-'Model inputs'!AM13*1)="",FALSE,DATE(2028,1,1)=EDATE(DATE(2026,12,1),-'Model inputs'!AM13*1)),IF('Model inputs'!R85="","",'Model inputs'!R85),"")</f>
      </c>
    </row>
    <row r="2289">
      <c r="A2289" t="inlineStr" s="25">
        <is>
          <t xml:space="preserve">Calculation</t>
        </is>
      </c>
      <c r="B2289">
        <f>IF(IF(DATE(2028,2,1)=EDATE(DATE(2026,12,1),-'Model inputs'!AM13*1)="",FALSE,DATE(2028,2,1)=EDATE(DATE(2026,12,1),-'Model inputs'!AM13*1)),IF('Model inputs'!S85="","",'Model inputs'!S85),"")</f>
      </c>
    </row>
    <row r="2290">
      <c r="A2290" t="inlineStr" s="25">
        <is>
          <t xml:space="preserve">Calculation</t>
        </is>
      </c>
      <c r="B2290">
        <f>IF(IF(DATE(2028,3,1)=EDATE(DATE(2026,12,1),-'Model inputs'!AM13*1)="",FALSE,DATE(2028,3,1)=EDATE(DATE(2026,12,1),-'Model inputs'!AM13*1)),IF('Model inputs'!T85="","",'Model inputs'!T85),"")</f>
      </c>
    </row>
    <row r="2291">
      <c r="A2291" t="inlineStr" s="25">
        <is>
          <t xml:space="preserve">Calculation</t>
        </is>
      </c>
      <c r="B2291">
        <f>IF(IF(DATE(2028,4,1)=EDATE(DATE(2026,12,1),-'Model inputs'!AM13*1)="",FALSE,DATE(2028,4,1)=EDATE(DATE(2026,12,1),-'Model inputs'!AM13*1)),IF('Model inputs'!U85="","",'Model inputs'!U85),"")</f>
      </c>
    </row>
    <row r="2292">
      <c r="A2292" t="inlineStr" s="25">
        <is>
          <t xml:space="preserve">Calculation</t>
        </is>
      </c>
      <c r="B2292">
        <f>IF(IF(DATE(2028,5,1)=EDATE(DATE(2026,12,1),-'Model inputs'!AM13*1)="",FALSE,DATE(2028,5,1)=EDATE(DATE(2026,12,1),-'Model inputs'!AM13*1)),IF('Model inputs'!V85="","",'Model inputs'!V85),"")</f>
      </c>
    </row>
    <row r="2293">
      <c r="A2293" t="inlineStr" s="25">
        <is>
          <t xml:space="preserve">Calculation</t>
        </is>
      </c>
      <c r="B2293">
        <f>IF(IF(DATE(2028,6,1)=EDATE(DATE(2026,12,1),-'Model inputs'!AM13*1)="",FALSE,DATE(2028,6,1)=EDATE(DATE(2026,12,1),-'Model inputs'!AM13*1)),IF('Model inputs'!W85="","",'Model inputs'!W85),"")</f>
      </c>
    </row>
    <row r="2294">
      <c r="A2294" t="inlineStr" s="25">
        <is>
          <t xml:space="preserve">Calculation</t>
        </is>
      </c>
      <c r="B2294">
        <f>IF(IF(DATE(2028,7,1)=EDATE(DATE(2026,12,1),-'Model inputs'!AM13*1)="",FALSE,DATE(2028,7,1)=EDATE(DATE(2026,12,1),-'Model inputs'!AM13*1)),IF('Model inputs'!X85="","",'Model inputs'!X85),"")</f>
      </c>
    </row>
    <row r="2295">
      <c r="A2295" t="inlineStr" s="25">
        <is>
          <t xml:space="preserve">Calculation</t>
        </is>
      </c>
      <c r="B2295">
        <f>IF(IF(DATE(2028,8,1)=EDATE(DATE(2026,12,1),-'Model inputs'!AM13*1)="",FALSE,DATE(2028,8,1)=EDATE(DATE(2026,12,1),-'Model inputs'!AM13*1)),IF('Model inputs'!Y85="","",'Model inputs'!Y85),"")</f>
      </c>
    </row>
    <row r="2296">
      <c r="A2296" t="inlineStr" s="25">
        <is>
          <t xml:space="preserve">Calculation</t>
        </is>
      </c>
      <c r="B2296">
        <f>IF(IF(DATE(2028,9,1)=EDATE(DATE(2026,12,1),-'Model inputs'!AM13*1)="",FALSE,DATE(2028,9,1)=EDATE(DATE(2026,12,1),-'Model inputs'!AM13*1)),IF('Model inputs'!Z85="","",'Model inputs'!Z85),"")</f>
      </c>
    </row>
    <row r="2297">
      <c r="A2297" t="inlineStr" s="25">
        <is>
          <t xml:space="preserve">Calculation</t>
        </is>
      </c>
      <c r="B2297">
        <f>IF(IF(DATE(2028,10,1)=EDATE(DATE(2026,12,1),-'Model inputs'!AM13*1)="",FALSE,DATE(2028,10,1)=EDATE(DATE(2026,12,1),-'Model inputs'!AM13*1)),IF('Model inputs'!AA85="","",'Model inputs'!AA85),"")</f>
      </c>
    </row>
    <row r="2298">
      <c r="A2298" t="inlineStr" s="25">
        <is>
          <t xml:space="preserve">Calculation</t>
        </is>
      </c>
      <c r="B2298">
        <f>IF(IF(DATE(2028,11,1)=EDATE(DATE(2026,12,1),-'Model inputs'!AM13*1)="",FALSE,DATE(2028,11,1)=EDATE(DATE(2026,12,1),-'Model inputs'!AM13*1)),IF('Model inputs'!AB85="","",'Model inputs'!AB85),"")</f>
      </c>
    </row>
    <row r="2299">
      <c r="A2299" t="inlineStr" s="25">
        <is>
          <t xml:space="preserve">Calculation</t>
        </is>
      </c>
      <c r="B2299">
        <f>IF(IF(DATE(2028,12,1)=EDATE(DATE(2026,12,1),-'Model inputs'!AM13*1)="",FALSE,DATE(2028,12,1)=EDATE(DATE(2026,12,1),-'Model inputs'!AM13*1)),IF('Model inputs'!AC85="","",'Model inputs'!AC85),"")</f>
      </c>
    </row>
    <row r="2300">
      <c r="A2300" t="inlineStr" s="25">
        <is>
          <t xml:space="preserve">Calculation</t>
        </is>
      </c>
      <c r="B2300">
        <f>IF(IF(DATE(2029,1,1)=EDATE(DATE(2026,12,1),-'Model inputs'!AM13*1)="",FALSE,DATE(2029,1,1)=EDATE(DATE(2026,12,1),-'Model inputs'!AM13*1)),IF('Model inputs'!AD85="","",'Model inputs'!AD85),"")</f>
      </c>
    </row>
    <row r="2301">
      <c r="A2301" t="inlineStr" s="25">
        <is>
          <t xml:space="preserve">Calculation</t>
        </is>
      </c>
      <c r="B2301">
        <f>IF(IF(DATE(2029,2,1)=EDATE(DATE(2026,12,1),-'Model inputs'!AM13*1)="",FALSE,DATE(2029,2,1)=EDATE(DATE(2026,12,1),-'Model inputs'!AM13*1)),IF('Model inputs'!AE85="","",'Model inputs'!AE85),"")</f>
      </c>
    </row>
    <row r="2302">
      <c r="A2302" t="inlineStr" s="25">
        <is>
          <t xml:space="preserve">Calculation</t>
        </is>
      </c>
      <c r="B2302">
        <f>IF(IF(DATE(2029,3,1)=EDATE(DATE(2026,12,1),-'Model inputs'!AM13*1)="",FALSE,DATE(2029,3,1)=EDATE(DATE(2026,12,1),-'Model inputs'!AM13*1)),IF('Model inputs'!AF85="","",'Model inputs'!AF85),"")</f>
      </c>
    </row>
    <row r="2303">
      <c r="A2303" t="inlineStr" s="25">
        <is>
          <t xml:space="preserve">Calculation</t>
        </is>
      </c>
      <c r="B2303">
        <f>IF(IF(DATE(2029,4,1)=EDATE(DATE(2026,12,1),-'Model inputs'!AM13*1)="",FALSE,DATE(2029,4,1)=EDATE(DATE(2026,12,1),-'Model inputs'!AM13*1)),IF('Model inputs'!AG85="","",'Model inputs'!AG85),"")</f>
      </c>
    </row>
    <row r="2304">
      <c r="A2304" t="inlineStr" s="25">
        <is>
          <t xml:space="preserve">Calculation</t>
        </is>
      </c>
      <c r="B2304">
        <f>IF(IF(DATE(2029,5,1)=EDATE(DATE(2026,12,1),-'Model inputs'!AM13*1)="",FALSE,DATE(2029,5,1)=EDATE(DATE(2026,12,1),-'Model inputs'!AM13*1)),IF('Model inputs'!AH85="","",'Model inputs'!AH85),"")</f>
      </c>
    </row>
    <row r="2305">
      <c r="A2305" t="inlineStr" s="25">
        <is>
          <t xml:space="preserve">Calculation</t>
        </is>
      </c>
      <c r="B2305">
        <f>IF(IF(DATE(2029,6,1)=EDATE(DATE(2026,12,1),-'Model inputs'!AM13*1)="",FALSE,DATE(2029,6,1)=EDATE(DATE(2026,12,1),-'Model inputs'!AM13*1)),IF('Model inputs'!AI85="","",'Model inputs'!AI85),"")</f>
      </c>
    </row>
    <row r="2306">
      <c r="A2306" t="inlineStr" s="25">
        <is>
          <t xml:space="preserve">Calculation</t>
        </is>
      </c>
      <c r="B2306">
        <f>IF(IF(DATE(2029,7,1)=EDATE(DATE(2026,12,1),-'Model inputs'!AM13*1)="",FALSE,DATE(2029,7,1)=EDATE(DATE(2026,12,1),-'Model inputs'!AM13*1)),IF('Model inputs'!AJ85="","",'Model inputs'!AJ85),"")</f>
      </c>
    </row>
    <row r="2307">
      <c r="A2307" t="inlineStr" s="25">
        <is>
          <t xml:space="preserve">Calculation</t>
        </is>
      </c>
      <c r="B2307">
        <f>IF(IF(DATE(2029,8,1)=EDATE(DATE(2026,12,1),-'Model inputs'!AM13*1)="",FALSE,DATE(2029,8,1)=EDATE(DATE(2026,12,1),-'Model inputs'!AM13*1)),IF('Model inputs'!AK85="","",'Model inputs'!AK85),"")</f>
      </c>
    </row>
    <row r="2308">
      <c r="A2308" t="inlineStr" s="25">
        <is>
          <t xml:space="preserve">Calculation</t>
        </is>
      </c>
      <c r="B2308">
        <f>IF(IF(DATE(2029,9,1)=EDATE(DATE(2026,12,1),-'Model inputs'!AM13*1)="",FALSE,DATE(2029,9,1)=EDATE(DATE(2026,12,1),-'Model inputs'!AM13*1)),IF('Model inputs'!AL85="","",'Model inputs'!AL85),"")</f>
      </c>
    </row>
    <row r="2309">
      <c r="A2309" t="inlineStr" s="25">
        <is>
          <t xml:space="preserve">Calculation</t>
        </is>
      </c>
      <c r="B2309">
        <f>SUM(IF(IF('Model inputs'!B907="",0,1)="",0,IF('Model inputs'!B907="",0,1)),IF(IF('Model inputs'!B2273="",0,1)="",0,IF('Model inputs'!B2273="",0,1)),IF(IF('Model inputs'!B2274="",0,1)="",0,IF('Model inputs'!B2274="",0,1)),IF(IF('Model inputs'!B2275="",0,1)="",0,IF('Model inputs'!B2275="",0,1)),IF(IF('Model inputs'!B2276="",0,1)="",0,IF('Model inputs'!B2276="",0,1)),IF(IF('Model inputs'!B2277="",0,1)="",0,IF('Model inputs'!B2277="",0,1)),IF(IF('Model inputs'!B2278="",0,1)="",0,IF('Model inputs'!B2278="",0,1)),IF(IF('Model inputs'!B2279="",0,1)="",0,IF('Model inputs'!B2279="",0,1)),IF(IF('Model inputs'!B2280="",0,1)="",0,IF('Model inputs'!B2280="",0,1)),IF(IF('Model inputs'!B2281="",0,1)="",0,IF('Model inputs'!B2281="",0,1)),IF(IF('Model inputs'!B2282="",0,1)="",0,IF('Model inputs'!B2282="",0,1)),IF(IF('Model inputs'!B2283="",0,1)="",0,IF('Model inputs'!B2283="",0,1)),IF(IF('Model inputs'!B2284="",0,1)="",0,IF('Model inputs'!B2284="",0,1)),IF(IF('Model inputs'!B2285="",0,1)="",0,IF('Model inputs'!B2285="",0,1)),IF(IF('Model inputs'!B2286="",0,1)="",0,IF('Model inputs'!B2286="",0,1)),IF(IF('Model inputs'!B2287="",0,1)="",0,IF('Model inputs'!B2287="",0,1)),IF(IF('Model inputs'!B2288="",0,1)="",0,IF('Model inputs'!B2288="",0,1)),IF(IF('Model inputs'!B2289="",0,1)="",0,IF('Model inputs'!B2289="",0,1)),IF(IF('Model inputs'!B2290="",0,1)="",0,IF('Model inputs'!B2290="",0,1)),IF(IF('Model inputs'!B2291="",0,1)="",0,IF('Model inputs'!B2291="",0,1)),IF(IF('Model inputs'!B2292="",0,1)="",0,IF('Model inputs'!B2292="",0,1)),IF(IF('Model inputs'!B2293="",0,1)="",0,IF('Model inputs'!B2293="",0,1)),IF(IF('Model inputs'!B2294="",0,1)="",0,IF('Model inputs'!B2294="",0,1)),IF(IF('Model inputs'!B2295="",0,1)="",0,IF('Model inputs'!B2295="",0,1)),IF(IF('Model inputs'!B2296="",0,1)="",0,IF('Model inputs'!B2296="",0,1)),IF(IF('Model inputs'!B2297="",0,1)="",0,IF('Model inputs'!B2297="",0,1)),IF(IF('Model inputs'!B2298="",0,1)="",0,IF('Model inputs'!B2298="",0,1)),IF(IF('Model inputs'!B2299="",0,1)="",0,IF('Model inputs'!B2299="",0,1)),IF(IF('Model inputs'!B2300="",0,1)="",0,IF('Model inputs'!B2300="",0,1)),IF(IF('Model inputs'!B2301="",0,1)="",0,IF('Model inputs'!B2301="",0,1)),IF(IF('Model inputs'!B2302="",0,1)="",0,IF('Model inputs'!B2302="",0,1)),IF(IF('Model inputs'!B2303="",0,1)="",0,IF('Model inputs'!B2303="",0,1)),IF(IF('Model inputs'!B2304="",0,1)="",0,IF('Model inputs'!B2304="",0,1)),IF(IF('Model inputs'!B2305="",0,1)="",0,IF('Model inputs'!B2305="",0,1)),IF(IF('Model inputs'!B2306="",0,1)="",0,IF('Model inputs'!B2306="",0,1)),IF(IF('Model inputs'!B2307="",0,1)="",0,IF('Model inputs'!B2307="",0,1)),IF(IF('Model inputs'!B2308="",0,1)="",0,IF('Model inputs'!B2308="",0,1)))</f>
      </c>
    </row>
    <row r="2310">
      <c r="A2310" t="inlineStr" s="25">
        <is>
          <t xml:space="preserve">Calculation</t>
        </is>
      </c>
      <c r="B2310">
        <f>IF(IF(DATE(2026,10,1)=EDATE(DATE(2027,1,1),-'Model inputs'!AM13*1)="",FALSE,DATE(2026,10,1)=EDATE(DATE(2027,1,1),-'Model inputs'!AM13*1)),IF('Model inputs'!C85="","",'Model inputs'!C85),"")</f>
      </c>
    </row>
    <row r="2311">
      <c r="A2311" t="inlineStr" s="25">
        <is>
          <t xml:space="preserve">Calculation</t>
        </is>
      </c>
      <c r="B2311">
        <f>IF(IF(DATE(2026,11,1)=EDATE(DATE(2027,1,1),-'Model inputs'!AM13*1)="",FALSE,DATE(2026,11,1)=EDATE(DATE(2027,1,1),-'Model inputs'!AM13*1)),IF('Model inputs'!D85="","",'Model inputs'!D85),"")</f>
      </c>
    </row>
    <row r="2312">
      <c r="A2312" t="inlineStr" s="25">
        <is>
          <t xml:space="preserve">Calculation</t>
        </is>
      </c>
      <c r="B2312">
        <f>IF(IF(DATE(2026,12,1)=EDATE(DATE(2027,1,1),-'Model inputs'!AM13*1)="",FALSE,DATE(2026,12,1)=EDATE(DATE(2027,1,1),-'Model inputs'!AM13*1)),IF('Model inputs'!E85="","",'Model inputs'!E85),"")</f>
      </c>
    </row>
    <row r="2313">
      <c r="A2313" t="inlineStr" s="25">
        <is>
          <t xml:space="preserve">Calculation</t>
        </is>
      </c>
      <c r="B2313">
        <f>IF(IF(DATE(2027,1,1)=EDATE(DATE(2027,1,1),-'Model inputs'!AM13*1)="",FALSE,DATE(2027,1,1)=EDATE(DATE(2027,1,1),-'Model inputs'!AM13*1)),IF('Model inputs'!F85="","",'Model inputs'!F85),"")</f>
      </c>
    </row>
    <row r="2314">
      <c r="A2314" t="inlineStr" s="25">
        <is>
          <t xml:space="preserve">Calculation</t>
        </is>
      </c>
      <c r="B2314">
        <f>IF(IF(DATE(2027,2,1)=EDATE(DATE(2027,1,1),-'Model inputs'!AM13*1)="",FALSE,DATE(2027,2,1)=EDATE(DATE(2027,1,1),-'Model inputs'!AM13*1)),IF('Model inputs'!G85="","",'Model inputs'!G85),"")</f>
      </c>
    </row>
    <row r="2315">
      <c r="A2315" t="inlineStr" s="25">
        <is>
          <t xml:space="preserve">Calculation</t>
        </is>
      </c>
      <c r="B2315">
        <f>IF(IF(DATE(2027,3,1)=EDATE(DATE(2027,1,1),-'Model inputs'!AM13*1)="",FALSE,DATE(2027,3,1)=EDATE(DATE(2027,1,1),-'Model inputs'!AM13*1)),IF('Model inputs'!H85="","",'Model inputs'!H85),"")</f>
      </c>
    </row>
    <row r="2316">
      <c r="A2316" t="inlineStr" s="25">
        <is>
          <t xml:space="preserve">Calculation</t>
        </is>
      </c>
      <c r="B2316">
        <f>IF(IF(DATE(2027,4,1)=EDATE(DATE(2027,1,1),-'Model inputs'!AM13*1)="",FALSE,DATE(2027,4,1)=EDATE(DATE(2027,1,1),-'Model inputs'!AM13*1)),IF('Model inputs'!I85="","",'Model inputs'!I85),"")</f>
      </c>
    </row>
    <row r="2317">
      <c r="A2317" t="inlineStr" s="25">
        <is>
          <t xml:space="preserve">Calculation</t>
        </is>
      </c>
      <c r="B2317">
        <f>IF(IF(DATE(2027,5,1)=EDATE(DATE(2027,1,1),-'Model inputs'!AM13*1)="",FALSE,DATE(2027,5,1)=EDATE(DATE(2027,1,1),-'Model inputs'!AM13*1)),IF('Model inputs'!J85="","",'Model inputs'!J85),"")</f>
      </c>
    </row>
    <row r="2318">
      <c r="A2318" t="inlineStr" s="25">
        <is>
          <t xml:space="preserve">Calculation</t>
        </is>
      </c>
      <c r="B2318">
        <f>IF(IF(DATE(2027,6,1)=EDATE(DATE(2027,1,1),-'Model inputs'!AM13*1)="",FALSE,DATE(2027,6,1)=EDATE(DATE(2027,1,1),-'Model inputs'!AM13*1)),IF('Model inputs'!K85="","",'Model inputs'!K85),"")</f>
      </c>
    </row>
    <row r="2319">
      <c r="A2319" t="inlineStr" s="25">
        <is>
          <t xml:space="preserve">Calculation</t>
        </is>
      </c>
      <c r="B2319">
        <f>IF(IF(DATE(2027,7,1)=EDATE(DATE(2027,1,1),-'Model inputs'!AM13*1)="",FALSE,DATE(2027,7,1)=EDATE(DATE(2027,1,1),-'Model inputs'!AM13*1)),IF('Model inputs'!L85="","",'Model inputs'!L85),"")</f>
      </c>
    </row>
    <row r="2320">
      <c r="A2320" t="inlineStr" s="25">
        <is>
          <t xml:space="preserve">Calculation</t>
        </is>
      </c>
      <c r="B2320">
        <f>IF(IF(DATE(2027,8,1)=EDATE(DATE(2027,1,1),-'Model inputs'!AM13*1)="",FALSE,DATE(2027,8,1)=EDATE(DATE(2027,1,1),-'Model inputs'!AM13*1)),IF('Model inputs'!M85="","",'Model inputs'!M85),"")</f>
      </c>
    </row>
    <row r="2321">
      <c r="A2321" t="inlineStr" s="25">
        <is>
          <t xml:space="preserve">Calculation</t>
        </is>
      </c>
      <c r="B2321">
        <f>IF(IF(DATE(2027,9,1)=EDATE(DATE(2027,1,1),-'Model inputs'!AM13*1)="",FALSE,DATE(2027,9,1)=EDATE(DATE(2027,1,1),-'Model inputs'!AM13*1)),IF('Model inputs'!N85="","",'Model inputs'!N85),"")</f>
      </c>
    </row>
    <row r="2322">
      <c r="A2322" t="inlineStr" s="25">
        <is>
          <t xml:space="preserve">Calculation</t>
        </is>
      </c>
      <c r="B2322">
        <f>IF(IF(DATE(2027,10,1)=EDATE(DATE(2027,1,1),-'Model inputs'!AM13*1)="",FALSE,DATE(2027,10,1)=EDATE(DATE(2027,1,1),-'Model inputs'!AM13*1)),IF('Model inputs'!O85="","",'Model inputs'!O85),"")</f>
      </c>
    </row>
    <row r="2323">
      <c r="A2323" t="inlineStr" s="25">
        <is>
          <t xml:space="preserve">Calculation</t>
        </is>
      </c>
      <c r="B2323">
        <f>IF(IF(DATE(2027,11,1)=EDATE(DATE(2027,1,1),-'Model inputs'!AM13*1)="",FALSE,DATE(2027,11,1)=EDATE(DATE(2027,1,1),-'Model inputs'!AM13*1)),IF('Model inputs'!P85="","",'Model inputs'!P85),"")</f>
      </c>
    </row>
    <row r="2324">
      <c r="A2324" t="inlineStr" s="25">
        <is>
          <t xml:space="preserve">Calculation</t>
        </is>
      </c>
      <c r="B2324">
        <f>IF(IF(DATE(2027,12,1)=EDATE(DATE(2027,1,1),-'Model inputs'!AM13*1)="",FALSE,DATE(2027,12,1)=EDATE(DATE(2027,1,1),-'Model inputs'!AM13*1)),IF('Model inputs'!Q85="","",'Model inputs'!Q85),"")</f>
      </c>
    </row>
    <row r="2325">
      <c r="A2325" t="inlineStr" s="25">
        <is>
          <t xml:space="preserve">Calculation</t>
        </is>
      </c>
      <c r="B2325">
        <f>IF(IF(DATE(2028,1,1)=EDATE(DATE(2027,1,1),-'Model inputs'!AM13*1)="",FALSE,DATE(2028,1,1)=EDATE(DATE(2027,1,1),-'Model inputs'!AM13*1)),IF('Model inputs'!R85="","",'Model inputs'!R85),"")</f>
      </c>
    </row>
    <row r="2326">
      <c r="A2326" t="inlineStr" s="25">
        <is>
          <t xml:space="preserve">Calculation</t>
        </is>
      </c>
      <c r="B2326">
        <f>IF(IF(DATE(2028,2,1)=EDATE(DATE(2027,1,1),-'Model inputs'!AM13*1)="",FALSE,DATE(2028,2,1)=EDATE(DATE(2027,1,1),-'Model inputs'!AM13*1)),IF('Model inputs'!S85="","",'Model inputs'!S85),"")</f>
      </c>
    </row>
    <row r="2327">
      <c r="A2327" t="inlineStr" s="25">
        <is>
          <t xml:space="preserve">Calculation</t>
        </is>
      </c>
      <c r="B2327">
        <f>IF(IF(DATE(2028,3,1)=EDATE(DATE(2027,1,1),-'Model inputs'!AM13*1)="",FALSE,DATE(2028,3,1)=EDATE(DATE(2027,1,1),-'Model inputs'!AM13*1)),IF('Model inputs'!T85="","",'Model inputs'!T85),"")</f>
      </c>
    </row>
    <row r="2328">
      <c r="A2328" t="inlineStr" s="25">
        <is>
          <t xml:space="preserve">Calculation</t>
        </is>
      </c>
      <c r="B2328">
        <f>IF(IF(DATE(2028,4,1)=EDATE(DATE(2027,1,1),-'Model inputs'!AM13*1)="",FALSE,DATE(2028,4,1)=EDATE(DATE(2027,1,1),-'Model inputs'!AM13*1)),IF('Model inputs'!U85="","",'Model inputs'!U85),"")</f>
      </c>
    </row>
    <row r="2329">
      <c r="A2329" t="inlineStr" s="25">
        <is>
          <t xml:space="preserve">Calculation</t>
        </is>
      </c>
      <c r="B2329">
        <f>IF(IF(DATE(2028,5,1)=EDATE(DATE(2027,1,1),-'Model inputs'!AM13*1)="",FALSE,DATE(2028,5,1)=EDATE(DATE(2027,1,1),-'Model inputs'!AM13*1)),IF('Model inputs'!V85="","",'Model inputs'!V85),"")</f>
      </c>
    </row>
    <row r="2330">
      <c r="A2330" t="inlineStr" s="25">
        <is>
          <t xml:space="preserve">Calculation</t>
        </is>
      </c>
      <c r="B2330">
        <f>IF(IF(DATE(2028,6,1)=EDATE(DATE(2027,1,1),-'Model inputs'!AM13*1)="",FALSE,DATE(2028,6,1)=EDATE(DATE(2027,1,1),-'Model inputs'!AM13*1)),IF('Model inputs'!W85="","",'Model inputs'!W85),"")</f>
      </c>
    </row>
    <row r="2331">
      <c r="A2331" t="inlineStr" s="25">
        <is>
          <t xml:space="preserve">Calculation</t>
        </is>
      </c>
      <c r="B2331">
        <f>IF(IF(DATE(2028,7,1)=EDATE(DATE(2027,1,1),-'Model inputs'!AM13*1)="",FALSE,DATE(2028,7,1)=EDATE(DATE(2027,1,1),-'Model inputs'!AM13*1)),IF('Model inputs'!X85="","",'Model inputs'!X85),"")</f>
      </c>
    </row>
    <row r="2332">
      <c r="A2332" t="inlineStr" s="25">
        <is>
          <t xml:space="preserve">Calculation</t>
        </is>
      </c>
      <c r="B2332">
        <f>IF(IF(DATE(2028,8,1)=EDATE(DATE(2027,1,1),-'Model inputs'!AM13*1)="",FALSE,DATE(2028,8,1)=EDATE(DATE(2027,1,1),-'Model inputs'!AM13*1)),IF('Model inputs'!Y85="","",'Model inputs'!Y85),"")</f>
      </c>
    </row>
    <row r="2333">
      <c r="A2333" t="inlineStr" s="25">
        <is>
          <t xml:space="preserve">Calculation</t>
        </is>
      </c>
      <c r="B2333">
        <f>IF(IF(DATE(2028,9,1)=EDATE(DATE(2027,1,1),-'Model inputs'!AM13*1)="",FALSE,DATE(2028,9,1)=EDATE(DATE(2027,1,1),-'Model inputs'!AM13*1)),IF('Model inputs'!Z85="","",'Model inputs'!Z85),"")</f>
      </c>
    </row>
    <row r="2334">
      <c r="A2334" t="inlineStr" s="25">
        <is>
          <t xml:space="preserve">Calculation</t>
        </is>
      </c>
      <c r="B2334">
        <f>IF(IF(DATE(2028,10,1)=EDATE(DATE(2027,1,1),-'Model inputs'!AM13*1)="",FALSE,DATE(2028,10,1)=EDATE(DATE(2027,1,1),-'Model inputs'!AM13*1)),IF('Model inputs'!AA85="","",'Model inputs'!AA85),"")</f>
      </c>
    </row>
    <row r="2335">
      <c r="A2335" t="inlineStr" s="25">
        <is>
          <t xml:space="preserve">Calculation</t>
        </is>
      </c>
      <c r="B2335">
        <f>IF(IF(DATE(2028,11,1)=EDATE(DATE(2027,1,1),-'Model inputs'!AM13*1)="",FALSE,DATE(2028,11,1)=EDATE(DATE(2027,1,1),-'Model inputs'!AM13*1)),IF('Model inputs'!AB85="","",'Model inputs'!AB85),"")</f>
      </c>
    </row>
    <row r="2336">
      <c r="A2336" t="inlineStr" s="25">
        <is>
          <t xml:space="preserve">Calculation</t>
        </is>
      </c>
      <c r="B2336">
        <f>IF(IF(DATE(2028,12,1)=EDATE(DATE(2027,1,1),-'Model inputs'!AM13*1)="",FALSE,DATE(2028,12,1)=EDATE(DATE(2027,1,1),-'Model inputs'!AM13*1)),IF('Model inputs'!AC85="","",'Model inputs'!AC85),"")</f>
      </c>
    </row>
    <row r="2337">
      <c r="A2337" t="inlineStr" s="25">
        <is>
          <t xml:space="preserve">Calculation</t>
        </is>
      </c>
      <c r="B2337">
        <f>IF(IF(DATE(2029,1,1)=EDATE(DATE(2027,1,1),-'Model inputs'!AM13*1)="",FALSE,DATE(2029,1,1)=EDATE(DATE(2027,1,1),-'Model inputs'!AM13*1)),IF('Model inputs'!AD85="","",'Model inputs'!AD85),"")</f>
      </c>
    </row>
    <row r="2338">
      <c r="A2338" t="inlineStr" s="25">
        <is>
          <t xml:space="preserve">Calculation</t>
        </is>
      </c>
      <c r="B2338">
        <f>IF(IF(DATE(2029,2,1)=EDATE(DATE(2027,1,1),-'Model inputs'!AM13*1)="",FALSE,DATE(2029,2,1)=EDATE(DATE(2027,1,1),-'Model inputs'!AM13*1)),IF('Model inputs'!AE85="","",'Model inputs'!AE85),"")</f>
      </c>
    </row>
    <row r="2339">
      <c r="A2339" t="inlineStr" s="25">
        <is>
          <t xml:space="preserve">Calculation</t>
        </is>
      </c>
      <c r="B2339">
        <f>IF(IF(DATE(2029,3,1)=EDATE(DATE(2027,1,1),-'Model inputs'!AM13*1)="",FALSE,DATE(2029,3,1)=EDATE(DATE(2027,1,1),-'Model inputs'!AM13*1)),IF('Model inputs'!AF85="","",'Model inputs'!AF85),"")</f>
      </c>
    </row>
    <row r="2340">
      <c r="A2340" t="inlineStr" s="25">
        <is>
          <t xml:space="preserve">Calculation</t>
        </is>
      </c>
      <c r="B2340">
        <f>IF(IF(DATE(2029,4,1)=EDATE(DATE(2027,1,1),-'Model inputs'!AM13*1)="",FALSE,DATE(2029,4,1)=EDATE(DATE(2027,1,1),-'Model inputs'!AM13*1)),IF('Model inputs'!AG85="","",'Model inputs'!AG85),"")</f>
      </c>
    </row>
    <row r="2341">
      <c r="A2341" t="inlineStr" s="25">
        <is>
          <t xml:space="preserve">Calculation</t>
        </is>
      </c>
      <c r="B2341">
        <f>IF(IF(DATE(2029,5,1)=EDATE(DATE(2027,1,1),-'Model inputs'!AM13*1)="",FALSE,DATE(2029,5,1)=EDATE(DATE(2027,1,1),-'Model inputs'!AM13*1)),IF('Model inputs'!AH85="","",'Model inputs'!AH85),"")</f>
      </c>
    </row>
    <row r="2342">
      <c r="A2342" t="inlineStr" s="25">
        <is>
          <t xml:space="preserve">Calculation</t>
        </is>
      </c>
      <c r="B2342">
        <f>IF(IF(DATE(2029,6,1)=EDATE(DATE(2027,1,1),-'Model inputs'!AM13*1)="",FALSE,DATE(2029,6,1)=EDATE(DATE(2027,1,1),-'Model inputs'!AM13*1)),IF('Model inputs'!AI85="","",'Model inputs'!AI85),"")</f>
      </c>
    </row>
    <row r="2343">
      <c r="A2343" t="inlineStr" s="25">
        <is>
          <t xml:space="preserve">Calculation</t>
        </is>
      </c>
      <c r="B2343">
        <f>IF(IF(DATE(2029,7,1)=EDATE(DATE(2027,1,1),-'Model inputs'!AM13*1)="",FALSE,DATE(2029,7,1)=EDATE(DATE(2027,1,1),-'Model inputs'!AM13*1)),IF('Model inputs'!AJ85="","",'Model inputs'!AJ85),"")</f>
      </c>
    </row>
    <row r="2344">
      <c r="A2344" t="inlineStr" s="25">
        <is>
          <t xml:space="preserve">Calculation</t>
        </is>
      </c>
      <c r="B2344">
        <f>IF(IF(DATE(2029,8,1)=EDATE(DATE(2027,1,1),-'Model inputs'!AM13*1)="",FALSE,DATE(2029,8,1)=EDATE(DATE(2027,1,1),-'Model inputs'!AM13*1)),IF('Model inputs'!AK85="","",'Model inputs'!AK85),"")</f>
      </c>
    </row>
    <row r="2345">
      <c r="A2345" t="inlineStr" s="25">
        <is>
          <t xml:space="preserve">Calculation</t>
        </is>
      </c>
      <c r="B2345">
        <f>IF(IF(DATE(2029,9,1)=EDATE(DATE(2027,1,1),-'Model inputs'!AM13*1)="",FALSE,DATE(2029,9,1)=EDATE(DATE(2027,1,1),-'Model inputs'!AM13*1)),IF('Model inputs'!AL85="","",'Model inputs'!AL85),"")</f>
      </c>
    </row>
    <row r="2346">
      <c r="A2346" t="inlineStr" s="25">
        <is>
          <t xml:space="preserve">Calculation</t>
        </is>
      </c>
      <c r="B2346">
        <f>SUM(IF(IF('Model inputs'!B945="",0,1)="",0,IF('Model inputs'!B945="",0,1)),IF(IF('Model inputs'!B2310="",0,1)="",0,IF('Model inputs'!B2310="",0,1)),IF(IF('Model inputs'!B2311="",0,1)="",0,IF('Model inputs'!B2311="",0,1)),IF(IF('Model inputs'!B2312="",0,1)="",0,IF('Model inputs'!B2312="",0,1)),IF(IF('Model inputs'!B2313="",0,1)="",0,IF('Model inputs'!B2313="",0,1)),IF(IF('Model inputs'!B2314="",0,1)="",0,IF('Model inputs'!B2314="",0,1)),IF(IF('Model inputs'!B2315="",0,1)="",0,IF('Model inputs'!B2315="",0,1)),IF(IF('Model inputs'!B2316="",0,1)="",0,IF('Model inputs'!B2316="",0,1)),IF(IF('Model inputs'!B2317="",0,1)="",0,IF('Model inputs'!B2317="",0,1)),IF(IF('Model inputs'!B2318="",0,1)="",0,IF('Model inputs'!B2318="",0,1)),IF(IF('Model inputs'!B2319="",0,1)="",0,IF('Model inputs'!B2319="",0,1)),IF(IF('Model inputs'!B2320="",0,1)="",0,IF('Model inputs'!B2320="",0,1)),IF(IF('Model inputs'!B2321="",0,1)="",0,IF('Model inputs'!B2321="",0,1)),IF(IF('Model inputs'!B2322="",0,1)="",0,IF('Model inputs'!B2322="",0,1)),IF(IF('Model inputs'!B2323="",0,1)="",0,IF('Model inputs'!B2323="",0,1)),IF(IF('Model inputs'!B2324="",0,1)="",0,IF('Model inputs'!B2324="",0,1)),IF(IF('Model inputs'!B2325="",0,1)="",0,IF('Model inputs'!B2325="",0,1)),IF(IF('Model inputs'!B2326="",0,1)="",0,IF('Model inputs'!B2326="",0,1)),IF(IF('Model inputs'!B2327="",0,1)="",0,IF('Model inputs'!B2327="",0,1)),IF(IF('Model inputs'!B2328="",0,1)="",0,IF('Model inputs'!B2328="",0,1)),IF(IF('Model inputs'!B2329="",0,1)="",0,IF('Model inputs'!B2329="",0,1)),IF(IF('Model inputs'!B2330="",0,1)="",0,IF('Model inputs'!B2330="",0,1)),IF(IF('Model inputs'!B2331="",0,1)="",0,IF('Model inputs'!B2331="",0,1)),IF(IF('Model inputs'!B2332="",0,1)="",0,IF('Model inputs'!B2332="",0,1)),IF(IF('Model inputs'!B2333="",0,1)="",0,IF('Model inputs'!B2333="",0,1)),IF(IF('Model inputs'!B2334="",0,1)="",0,IF('Model inputs'!B2334="",0,1)),IF(IF('Model inputs'!B2335="",0,1)="",0,IF('Model inputs'!B2335="",0,1)),IF(IF('Model inputs'!B2336="",0,1)="",0,IF('Model inputs'!B2336="",0,1)),IF(IF('Model inputs'!B2337="",0,1)="",0,IF('Model inputs'!B2337="",0,1)),IF(IF('Model inputs'!B2338="",0,1)="",0,IF('Model inputs'!B2338="",0,1)),IF(IF('Model inputs'!B2339="",0,1)="",0,IF('Model inputs'!B2339="",0,1)),IF(IF('Model inputs'!B2340="",0,1)="",0,IF('Model inputs'!B2340="",0,1)),IF(IF('Model inputs'!B2341="",0,1)="",0,IF('Model inputs'!B2341="",0,1)),IF(IF('Model inputs'!B2342="",0,1)="",0,IF('Model inputs'!B2342="",0,1)),IF(IF('Model inputs'!B2343="",0,1)="",0,IF('Model inputs'!B2343="",0,1)),IF(IF('Model inputs'!B2344="",0,1)="",0,IF('Model inputs'!B2344="",0,1)),IF(IF('Model inputs'!B2345="",0,1)="",0,IF('Model inputs'!B2345="",0,1)))</f>
      </c>
    </row>
    <row r="2347">
      <c r="A2347" t="inlineStr" s="25">
        <is>
          <t xml:space="preserve">Calculation</t>
        </is>
      </c>
      <c r="B2347">
        <f>IF(IF(DATE(2026,10,1)=EDATE(DATE(2027,2,1),-'Model inputs'!AM13*1)="",FALSE,DATE(2026,10,1)=EDATE(DATE(2027,2,1),-'Model inputs'!AM13*1)),IF('Model inputs'!C85="","",'Model inputs'!C85),"")</f>
      </c>
    </row>
    <row r="2348">
      <c r="A2348" t="inlineStr" s="25">
        <is>
          <t xml:space="preserve">Calculation</t>
        </is>
      </c>
      <c r="B2348">
        <f>IF(IF(DATE(2026,11,1)=EDATE(DATE(2027,2,1),-'Model inputs'!AM13*1)="",FALSE,DATE(2026,11,1)=EDATE(DATE(2027,2,1),-'Model inputs'!AM13*1)),IF('Model inputs'!D85="","",'Model inputs'!D85),"")</f>
      </c>
    </row>
    <row r="2349">
      <c r="A2349" t="inlineStr" s="25">
        <is>
          <t xml:space="preserve">Calculation</t>
        </is>
      </c>
      <c r="B2349">
        <f>IF(IF(DATE(2026,12,1)=EDATE(DATE(2027,2,1),-'Model inputs'!AM13*1)="",FALSE,DATE(2026,12,1)=EDATE(DATE(2027,2,1),-'Model inputs'!AM13*1)),IF('Model inputs'!E85="","",'Model inputs'!E85),"")</f>
      </c>
    </row>
    <row r="2350">
      <c r="A2350" t="inlineStr" s="25">
        <is>
          <t xml:space="preserve">Calculation</t>
        </is>
      </c>
      <c r="B2350">
        <f>IF(IF(DATE(2027,1,1)=EDATE(DATE(2027,2,1),-'Model inputs'!AM13*1)="",FALSE,DATE(2027,1,1)=EDATE(DATE(2027,2,1),-'Model inputs'!AM13*1)),IF('Model inputs'!F85="","",'Model inputs'!F85),"")</f>
      </c>
    </row>
    <row r="2351">
      <c r="A2351" t="inlineStr" s="25">
        <is>
          <t xml:space="preserve">Calculation</t>
        </is>
      </c>
      <c r="B2351">
        <f>IF(IF(DATE(2027,2,1)=EDATE(DATE(2027,2,1),-'Model inputs'!AM13*1)="",FALSE,DATE(2027,2,1)=EDATE(DATE(2027,2,1),-'Model inputs'!AM13*1)),IF('Model inputs'!G85="","",'Model inputs'!G85),"")</f>
      </c>
    </row>
    <row r="2352">
      <c r="A2352" t="inlineStr" s="25">
        <is>
          <t xml:space="preserve">Calculation</t>
        </is>
      </c>
      <c r="B2352">
        <f>IF(IF(DATE(2027,3,1)=EDATE(DATE(2027,2,1),-'Model inputs'!AM13*1)="",FALSE,DATE(2027,3,1)=EDATE(DATE(2027,2,1),-'Model inputs'!AM13*1)),IF('Model inputs'!H85="","",'Model inputs'!H85),"")</f>
      </c>
    </row>
    <row r="2353">
      <c r="A2353" t="inlineStr" s="25">
        <is>
          <t xml:space="preserve">Calculation</t>
        </is>
      </c>
      <c r="B2353">
        <f>IF(IF(DATE(2027,4,1)=EDATE(DATE(2027,2,1),-'Model inputs'!AM13*1)="",FALSE,DATE(2027,4,1)=EDATE(DATE(2027,2,1),-'Model inputs'!AM13*1)),IF('Model inputs'!I85="","",'Model inputs'!I85),"")</f>
      </c>
    </row>
    <row r="2354">
      <c r="A2354" t="inlineStr" s="25">
        <is>
          <t xml:space="preserve">Calculation</t>
        </is>
      </c>
      <c r="B2354">
        <f>IF(IF(DATE(2027,5,1)=EDATE(DATE(2027,2,1),-'Model inputs'!AM13*1)="",FALSE,DATE(2027,5,1)=EDATE(DATE(2027,2,1),-'Model inputs'!AM13*1)),IF('Model inputs'!J85="","",'Model inputs'!J85),"")</f>
      </c>
    </row>
    <row r="2355">
      <c r="A2355" t="inlineStr" s="25">
        <is>
          <t xml:space="preserve">Calculation</t>
        </is>
      </c>
      <c r="B2355">
        <f>IF(IF(DATE(2027,6,1)=EDATE(DATE(2027,2,1),-'Model inputs'!AM13*1)="",FALSE,DATE(2027,6,1)=EDATE(DATE(2027,2,1),-'Model inputs'!AM13*1)),IF('Model inputs'!K85="","",'Model inputs'!K85),"")</f>
      </c>
    </row>
    <row r="2356">
      <c r="A2356" t="inlineStr" s="25">
        <is>
          <t xml:space="preserve">Calculation</t>
        </is>
      </c>
      <c r="B2356">
        <f>IF(IF(DATE(2027,7,1)=EDATE(DATE(2027,2,1),-'Model inputs'!AM13*1)="",FALSE,DATE(2027,7,1)=EDATE(DATE(2027,2,1),-'Model inputs'!AM13*1)),IF('Model inputs'!L85="","",'Model inputs'!L85),"")</f>
      </c>
    </row>
    <row r="2357">
      <c r="A2357" t="inlineStr" s="25">
        <is>
          <t xml:space="preserve">Calculation</t>
        </is>
      </c>
      <c r="B2357">
        <f>IF(IF(DATE(2027,8,1)=EDATE(DATE(2027,2,1),-'Model inputs'!AM13*1)="",FALSE,DATE(2027,8,1)=EDATE(DATE(2027,2,1),-'Model inputs'!AM13*1)),IF('Model inputs'!M85="","",'Model inputs'!M85),"")</f>
      </c>
    </row>
    <row r="2358">
      <c r="A2358" t="inlineStr" s="25">
        <is>
          <t xml:space="preserve">Calculation</t>
        </is>
      </c>
      <c r="B2358">
        <f>IF(IF(DATE(2027,9,1)=EDATE(DATE(2027,2,1),-'Model inputs'!AM13*1)="",FALSE,DATE(2027,9,1)=EDATE(DATE(2027,2,1),-'Model inputs'!AM13*1)),IF('Model inputs'!N85="","",'Model inputs'!N85),"")</f>
      </c>
    </row>
    <row r="2359">
      <c r="A2359" t="inlineStr" s="25">
        <is>
          <t xml:space="preserve">Calculation</t>
        </is>
      </c>
      <c r="B2359">
        <f>IF(IF(DATE(2027,10,1)=EDATE(DATE(2027,2,1),-'Model inputs'!AM13*1)="",FALSE,DATE(2027,10,1)=EDATE(DATE(2027,2,1),-'Model inputs'!AM13*1)),IF('Model inputs'!O85="","",'Model inputs'!O85),"")</f>
      </c>
    </row>
    <row r="2360">
      <c r="A2360" t="inlineStr" s="25">
        <is>
          <t xml:space="preserve">Calculation</t>
        </is>
      </c>
      <c r="B2360">
        <f>IF(IF(DATE(2027,11,1)=EDATE(DATE(2027,2,1),-'Model inputs'!AM13*1)="",FALSE,DATE(2027,11,1)=EDATE(DATE(2027,2,1),-'Model inputs'!AM13*1)),IF('Model inputs'!P85="","",'Model inputs'!P85),"")</f>
      </c>
    </row>
    <row r="2361">
      <c r="A2361" t="inlineStr" s="25">
        <is>
          <t xml:space="preserve">Calculation</t>
        </is>
      </c>
      <c r="B2361">
        <f>IF(IF(DATE(2027,12,1)=EDATE(DATE(2027,2,1),-'Model inputs'!AM13*1)="",FALSE,DATE(2027,12,1)=EDATE(DATE(2027,2,1),-'Model inputs'!AM13*1)),IF('Model inputs'!Q85="","",'Model inputs'!Q85),"")</f>
      </c>
    </row>
    <row r="2362">
      <c r="A2362" t="inlineStr" s="25">
        <is>
          <t xml:space="preserve">Calculation</t>
        </is>
      </c>
      <c r="B2362">
        <f>IF(IF(DATE(2028,1,1)=EDATE(DATE(2027,2,1),-'Model inputs'!AM13*1)="",FALSE,DATE(2028,1,1)=EDATE(DATE(2027,2,1),-'Model inputs'!AM13*1)),IF('Model inputs'!R85="","",'Model inputs'!R85),"")</f>
      </c>
    </row>
    <row r="2363">
      <c r="A2363" t="inlineStr" s="25">
        <is>
          <t xml:space="preserve">Calculation</t>
        </is>
      </c>
      <c r="B2363">
        <f>IF(IF(DATE(2028,2,1)=EDATE(DATE(2027,2,1),-'Model inputs'!AM13*1)="",FALSE,DATE(2028,2,1)=EDATE(DATE(2027,2,1),-'Model inputs'!AM13*1)),IF('Model inputs'!S85="","",'Model inputs'!S85),"")</f>
      </c>
    </row>
    <row r="2364">
      <c r="A2364" t="inlineStr" s="25">
        <is>
          <t xml:space="preserve">Calculation</t>
        </is>
      </c>
      <c r="B2364">
        <f>IF(IF(DATE(2028,3,1)=EDATE(DATE(2027,2,1),-'Model inputs'!AM13*1)="",FALSE,DATE(2028,3,1)=EDATE(DATE(2027,2,1),-'Model inputs'!AM13*1)),IF('Model inputs'!T85="","",'Model inputs'!T85),"")</f>
      </c>
    </row>
    <row r="2365">
      <c r="A2365" t="inlineStr" s="25">
        <is>
          <t xml:space="preserve">Calculation</t>
        </is>
      </c>
      <c r="B2365">
        <f>IF(IF(DATE(2028,4,1)=EDATE(DATE(2027,2,1),-'Model inputs'!AM13*1)="",FALSE,DATE(2028,4,1)=EDATE(DATE(2027,2,1),-'Model inputs'!AM13*1)),IF('Model inputs'!U85="","",'Model inputs'!U85),"")</f>
      </c>
    </row>
    <row r="2366">
      <c r="A2366" t="inlineStr" s="25">
        <is>
          <t xml:space="preserve">Calculation</t>
        </is>
      </c>
      <c r="B2366">
        <f>IF(IF(DATE(2028,5,1)=EDATE(DATE(2027,2,1),-'Model inputs'!AM13*1)="",FALSE,DATE(2028,5,1)=EDATE(DATE(2027,2,1),-'Model inputs'!AM13*1)),IF('Model inputs'!V85="","",'Model inputs'!V85),"")</f>
      </c>
    </row>
    <row r="2367">
      <c r="A2367" t="inlineStr" s="25">
        <is>
          <t xml:space="preserve">Calculation</t>
        </is>
      </c>
      <c r="B2367">
        <f>IF(IF(DATE(2028,6,1)=EDATE(DATE(2027,2,1),-'Model inputs'!AM13*1)="",FALSE,DATE(2028,6,1)=EDATE(DATE(2027,2,1),-'Model inputs'!AM13*1)),IF('Model inputs'!W85="","",'Model inputs'!W85),"")</f>
      </c>
    </row>
    <row r="2368">
      <c r="A2368" t="inlineStr" s="25">
        <is>
          <t xml:space="preserve">Calculation</t>
        </is>
      </c>
      <c r="B2368">
        <f>IF(IF(DATE(2028,7,1)=EDATE(DATE(2027,2,1),-'Model inputs'!AM13*1)="",FALSE,DATE(2028,7,1)=EDATE(DATE(2027,2,1),-'Model inputs'!AM13*1)),IF('Model inputs'!X85="","",'Model inputs'!X85),"")</f>
      </c>
    </row>
    <row r="2369">
      <c r="A2369" t="inlineStr" s="25">
        <is>
          <t xml:space="preserve">Calculation</t>
        </is>
      </c>
      <c r="B2369">
        <f>IF(IF(DATE(2028,8,1)=EDATE(DATE(2027,2,1),-'Model inputs'!AM13*1)="",FALSE,DATE(2028,8,1)=EDATE(DATE(2027,2,1),-'Model inputs'!AM13*1)),IF('Model inputs'!Y85="","",'Model inputs'!Y85),"")</f>
      </c>
    </row>
    <row r="2370">
      <c r="A2370" t="inlineStr" s="25">
        <is>
          <t xml:space="preserve">Calculation</t>
        </is>
      </c>
      <c r="B2370">
        <f>IF(IF(DATE(2028,9,1)=EDATE(DATE(2027,2,1),-'Model inputs'!AM13*1)="",FALSE,DATE(2028,9,1)=EDATE(DATE(2027,2,1),-'Model inputs'!AM13*1)),IF('Model inputs'!Z85="","",'Model inputs'!Z85),"")</f>
      </c>
    </row>
    <row r="2371">
      <c r="A2371" t="inlineStr" s="25">
        <is>
          <t xml:space="preserve">Calculation</t>
        </is>
      </c>
      <c r="B2371">
        <f>IF(IF(DATE(2028,10,1)=EDATE(DATE(2027,2,1),-'Model inputs'!AM13*1)="",FALSE,DATE(2028,10,1)=EDATE(DATE(2027,2,1),-'Model inputs'!AM13*1)),IF('Model inputs'!AA85="","",'Model inputs'!AA85),"")</f>
      </c>
    </row>
    <row r="2372">
      <c r="A2372" t="inlineStr" s="25">
        <is>
          <t xml:space="preserve">Calculation</t>
        </is>
      </c>
      <c r="B2372">
        <f>IF(IF(DATE(2028,11,1)=EDATE(DATE(2027,2,1),-'Model inputs'!AM13*1)="",FALSE,DATE(2028,11,1)=EDATE(DATE(2027,2,1),-'Model inputs'!AM13*1)),IF('Model inputs'!AB85="","",'Model inputs'!AB85),"")</f>
      </c>
    </row>
    <row r="2373">
      <c r="A2373" t="inlineStr" s="25">
        <is>
          <t xml:space="preserve">Calculation</t>
        </is>
      </c>
      <c r="B2373">
        <f>IF(IF(DATE(2028,12,1)=EDATE(DATE(2027,2,1),-'Model inputs'!AM13*1)="",FALSE,DATE(2028,12,1)=EDATE(DATE(2027,2,1),-'Model inputs'!AM13*1)),IF('Model inputs'!AC85="","",'Model inputs'!AC85),"")</f>
      </c>
    </row>
    <row r="2374">
      <c r="A2374" t="inlineStr" s="25">
        <is>
          <t xml:space="preserve">Calculation</t>
        </is>
      </c>
      <c r="B2374">
        <f>IF(IF(DATE(2029,1,1)=EDATE(DATE(2027,2,1),-'Model inputs'!AM13*1)="",FALSE,DATE(2029,1,1)=EDATE(DATE(2027,2,1),-'Model inputs'!AM13*1)),IF('Model inputs'!AD85="","",'Model inputs'!AD85),"")</f>
      </c>
    </row>
    <row r="2375">
      <c r="A2375" t="inlineStr" s="25">
        <is>
          <t xml:space="preserve">Calculation</t>
        </is>
      </c>
      <c r="B2375">
        <f>IF(IF(DATE(2029,2,1)=EDATE(DATE(2027,2,1),-'Model inputs'!AM13*1)="",FALSE,DATE(2029,2,1)=EDATE(DATE(2027,2,1),-'Model inputs'!AM13*1)),IF('Model inputs'!AE85="","",'Model inputs'!AE85),"")</f>
      </c>
    </row>
    <row r="2376">
      <c r="A2376" t="inlineStr" s="25">
        <is>
          <t xml:space="preserve">Calculation</t>
        </is>
      </c>
      <c r="B2376">
        <f>IF(IF(DATE(2029,3,1)=EDATE(DATE(2027,2,1),-'Model inputs'!AM13*1)="",FALSE,DATE(2029,3,1)=EDATE(DATE(2027,2,1),-'Model inputs'!AM13*1)),IF('Model inputs'!AF85="","",'Model inputs'!AF85),"")</f>
      </c>
    </row>
    <row r="2377">
      <c r="A2377" t="inlineStr" s="25">
        <is>
          <t xml:space="preserve">Calculation</t>
        </is>
      </c>
      <c r="B2377">
        <f>IF(IF(DATE(2029,4,1)=EDATE(DATE(2027,2,1),-'Model inputs'!AM13*1)="",FALSE,DATE(2029,4,1)=EDATE(DATE(2027,2,1),-'Model inputs'!AM13*1)),IF('Model inputs'!AG85="","",'Model inputs'!AG85),"")</f>
      </c>
    </row>
    <row r="2378">
      <c r="A2378" t="inlineStr" s="25">
        <is>
          <t xml:space="preserve">Calculation</t>
        </is>
      </c>
      <c r="B2378">
        <f>IF(IF(DATE(2029,5,1)=EDATE(DATE(2027,2,1),-'Model inputs'!AM13*1)="",FALSE,DATE(2029,5,1)=EDATE(DATE(2027,2,1),-'Model inputs'!AM13*1)),IF('Model inputs'!AH85="","",'Model inputs'!AH85),"")</f>
      </c>
    </row>
    <row r="2379">
      <c r="A2379" t="inlineStr" s="25">
        <is>
          <t xml:space="preserve">Calculation</t>
        </is>
      </c>
      <c r="B2379">
        <f>IF(IF(DATE(2029,6,1)=EDATE(DATE(2027,2,1),-'Model inputs'!AM13*1)="",FALSE,DATE(2029,6,1)=EDATE(DATE(2027,2,1),-'Model inputs'!AM13*1)),IF('Model inputs'!AI85="","",'Model inputs'!AI85),"")</f>
      </c>
    </row>
    <row r="2380">
      <c r="A2380" t="inlineStr" s="25">
        <is>
          <t xml:space="preserve">Calculation</t>
        </is>
      </c>
      <c r="B2380">
        <f>IF(IF(DATE(2029,7,1)=EDATE(DATE(2027,2,1),-'Model inputs'!AM13*1)="",FALSE,DATE(2029,7,1)=EDATE(DATE(2027,2,1),-'Model inputs'!AM13*1)),IF('Model inputs'!AJ85="","",'Model inputs'!AJ85),"")</f>
      </c>
    </row>
    <row r="2381">
      <c r="A2381" t="inlineStr" s="25">
        <is>
          <t xml:space="preserve">Calculation</t>
        </is>
      </c>
      <c r="B2381">
        <f>IF(IF(DATE(2029,8,1)=EDATE(DATE(2027,2,1),-'Model inputs'!AM13*1)="",FALSE,DATE(2029,8,1)=EDATE(DATE(2027,2,1),-'Model inputs'!AM13*1)),IF('Model inputs'!AK85="","",'Model inputs'!AK85),"")</f>
      </c>
    </row>
    <row r="2382">
      <c r="A2382" t="inlineStr" s="25">
        <is>
          <t xml:space="preserve">Calculation</t>
        </is>
      </c>
      <c r="B2382">
        <f>IF(IF(DATE(2029,9,1)=EDATE(DATE(2027,2,1),-'Model inputs'!AM13*1)="",FALSE,DATE(2029,9,1)=EDATE(DATE(2027,2,1),-'Model inputs'!AM13*1)),IF('Model inputs'!AL85="","",'Model inputs'!AL85),"")</f>
      </c>
    </row>
    <row r="2383">
      <c r="A2383" t="inlineStr" s="25">
        <is>
          <t xml:space="preserve">Calculation</t>
        </is>
      </c>
      <c r="B2383">
        <f>SUM(IF(IF('Model inputs'!B983="",0,1)="",0,IF('Model inputs'!B983="",0,1)),IF(IF('Model inputs'!B2347="",0,1)="",0,IF('Model inputs'!B2347="",0,1)),IF(IF('Model inputs'!B2348="",0,1)="",0,IF('Model inputs'!B2348="",0,1)),IF(IF('Model inputs'!B2349="",0,1)="",0,IF('Model inputs'!B2349="",0,1)),IF(IF('Model inputs'!B2350="",0,1)="",0,IF('Model inputs'!B2350="",0,1)),IF(IF('Model inputs'!B2351="",0,1)="",0,IF('Model inputs'!B2351="",0,1)),IF(IF('Model inputs'!B2352="",0,1)="",0,IF('Model inputs'!B2352="",0,1)),IF(IF('Model inputs'!B2353="",0,1)="",0,IF('Model inputs'!B2353="",0,1)),IF(IF('Model inputs'!B2354="",0,1)="",0,IF('Model inputs'!B2354="",0,1)),IF(IF('Model inputs'!B2355="",0,1)="",0,IF('Model inputs'!B2355="",0,1)),IF(IF('Model inputs'!B2356="",0,1)="",0,IF('Model inputs'!B2356="",0,1)),IF(IF('Model inputs'!B2357="",0,1)="",0,IF('Model inputs'!B2357="",0,1)),IF(IF('Model inputs'!B2358="",0,1)="",0,IF('Model inputs'!B2358="",0,1)),IF(IF('Model inputs'!B2359="",0,1)="",0,IF('Model inputs'!B2359="",0,1)),IF(IF('Model inputs'!B2360="",0,1)="",0,IF('Model inputs'!B2360="",0,1)),IF(IF('Model inputs'!B2361="",0,1)="",0,IF('Model inputs'!B2361="",0,1)),IF(IF('Model inputs'!B2362="",0,1)="",0,IF('Model inputs'!B2362="",0,1)),IF(IF('Model inputs'!B2363="",0,1)="",0,IF('Model inputs'!B2363="",0,1)),IF(IF('Model inputs'!B2364="",0,1)="",0,IF('Model inputs'!B2364="",0,1)),IF(IF('Model inputs'!B2365="",0,1)="",0,IF('Model inputs'!B2365="",0,1)),IF(IF('Model inputs'!B2366="",0,1)="",0,IF('Model inputs'!B2366="",0,1)),IF(IF('Model inputs'!B2367="",0,1)="",0,IF('Model inputs'!B2367="",0,1)),IF(IF('Model inputs'!B2368="",0,1)="",0,IF('Model inputs'!B2368="",0,1)),IF(IF('Model inputs'!B2369="",0,1)="",0,IF('Model inputs'!B2369="",0,1)),IF(IF('Model inputs'!B2370="",0,1)="",0,IF('Model inputs'!B2370="",0,1)),IF(IF('Model inputs'!B2371="",0,1)="",0,IF('Model inputs'!B2371="",0,1)),IF(IF('Model inputs'!B2372="",0,1)="",0,IF('Model inputs'!B2372="",0,1)),IF(IF('Model inputs'!B2373="",0,1)="",0,IF('Model inputs'!B2373="",0,1)),IF(IF('Model inputs'!B2374="",0,1)="",0,IF('Model inputs'!B2374="",0,1)),IF(IF('Model inputs'!B2375="",0,1)="",0,IF('Model inputs'!B2375="",0,1)),IF(IF('Model inputs'!B2376="",0,1)="",0,IF('Model inputs'!B2376="",0,1)),IF(IF('Model inputs'!B2377="",0,1)="",0,IF('Model inputs'!B2377="",0,1)),IF(IF('Model inputs'!B2378="",0,1)="",0,IF('Model inputs'!B2378="",0,1)),IF(IF('Model inputs'!B2379="",0,1)="",0,IF('Model inputs'!B2379="",0,1)),IF(IF('Model inputs'!B2380="",0,1)="",0,IF('Model inputs'!B2380="",0,1)),IF(IF('Model inputs'!B2381="",0,1)="",0,IF('Model inputs'!B2381="",0,1)),IF(IF('Model inputs'!B2382="",0,1)="",0,IF('Model inputs'!B2382="",0,1)))</f>
      </c>
    </row>
    <row r="2384">
      <c r="A2384" t="inlineStr" s="25">
        <is>
          <t xml:space="preserve">Calculation</t>
        </is>
      </c>
      <c r="B2384">
        <f>IF(IF(DATE(2026,10,1)=EDATE(DATE(2027,3,1),-'Model inputs'!AM13*1)="",FALSE,DATE(2026,10,1)=EDATE(DATE(2027,3,1),-'Model inputs'!AM13*1)),IF('Model inputs'!C85="","",'Model inputs'!C85),"")</f>
      </c>
    </row>
    <row r="2385">
      <c r="A2385" t="inlineStr" s="25">
        <is>
          <t xml:space="preserve">Calculation</t>
        </is>
      </c>
      <c r="B2385">
        <f>IF(IF(DATE(2026,11,1)=EDATE(DATE(2027,3,1),-'Model inputs'!AM13*1)="",FALSE,DATE(2026,11,1)=EDATE(DATE(2027,3,1),-'Model inputs'!AM13*1)),IF('Model inputs'!D85="","",'Model inputs'!D85),"")</f>
      </c>
    </row>
    <row r="2386">
      <c r="A2386" t="inlineStr" s="25">
        <is>
          <t xml:space="preserve">Calculation</t>
        </is>
      </c>
      <c r="B2386">
        <f>IF(IF(DATE(2026,12,1)=EDATE(DATE(2027,3,1),-'Model inputs'!AM13*1)="",FALSE,DATE(2026,12,1)=EDATE(DATE(2027,3,1),-'Model inputs'!AM13*1)),IF('Model inputs'!E85="","",'Model inputs'!E85),"")</f>
      </c>
    </row>
    <row r="2387">
      <c r="A2387" t="inlineStr" s="25">
        <is>
          <t xml:space="preserve">Calculation</t>
        </is>
      </c>
      <c r="B2387">
        <f>IF(IF(DATE(2027,1,1)=EDATE(DATE(2027,3,1),-'Model inputs'!AM13*1)="",FALSE,DATE(2027,1,1)=EDATE(DATE(2027,3,1),-'Model inputs'!AM13*1)),IF('Model inputs'!F85="","",'Model inputs'!F85),"")</f>
      </c>
    </row>
    <row r="2388">
      <c r="A2388" t="inlineStr" s="25">
        <is>
          <t xml:space="preserve">Calculation</t>
        </is>
      </c>
      <c r="B2388">
        <f>IF(IF(DATE(2027,2,1)=EDATE(DATE(2027,3,1),-'Model inputs'!AM13*1)="",FALSE,DATE(2027,2,1)=EDATE(DATE(2027,3,1),-'Model inputs'!AM13*1)),IF('Model inputs'!G85="","",'Model inputs'!G85),"")</f>
      </c>
    </row>
    <row r="2389">
      <c r="A2389" t="inlineStr" s="25">
        <is>
          <t xml:space="preserve">Calculation</t>
        </is>
      </c>
      <c r="B2389">
        <f>IF(IF(DATE(2027,3,1)=EDATE(DATE(2027,3,1),-'Model inputs'!AM13*1)="",FALSE,DATE(2027,3,1)=EDATE(DATE(2027,3,1),-'Model inputs'!AM13*1)),IF('Model inputs'!H85="","",'Model inputs'!H85),"")</f>
      </c>
    </row>
    <row r="2390">
      <c r="A2390" t="inlineStr" s="25">
        <is>
          <t xml:space="preserve">Calculation</t>
        </is>
      </c>
      <c r="B2390">
        <f>IF(IF(DATE(2027,4,1)=EDATE(DATE(2027,3,1),-'Model inputs'!AM13*1)="",FALSE,DATE(2027,4,1)=EDATE(DATE(2027,3,1),-'Model inputs'!AM13*1)),IF('Model inputs'!I85="","",'Model inputs'!I85),"")</f>
      </c>
    </row>
    <row r="2391">
      <c r="A2391" t="inlineStr" s="25">
        <is>
          <t xml:space="preserve">Calculation</t>
        </is>
      </c>
      <c r="B2391">
        <f>IF(IF(DATE(2027,5,1)=EDATE(DATE(2027,3,1),-'Model inputs'!AM13*1)="",FALSE,DATE(2027,5,1)=EDATE(DATE(2027,3,1),-'Model inputs'!AM13*1)),IF('Model inputs'!J85="","",'Model inputs'!J85),"")</f>
      </c>
    </row>
    <row r="2392">
      <c r="A2392" t="inlineStr" s="25">
        <is>
          <t xml:space="preserve">Calculation</t>
        </is>
      </c>
      <c r="B2392">
        <f>IF(IF(DATE(2027,6,1)=EDATE(DATE(2027,3,1),-'Model inputs'!AM13*1)="",FALSE,DATE(2027,6,1)=EDATE(DATE(2027,3,1),-'Model inputs'!AM13*1)),IF('Model inputs'!K85="","",'Model inputs'!K85),"")</f>
      </c>
    </row>
    <row r="2393">
      <c r="A2393" t="inlineStr" s="25">
        <is>
          <t xml:space="preserve">Calculation</t>
        </is>
      </c>
      <c r="B2393">
        <f>IF(IF(DATE(2027,7,1)=EDATE(DATE(2027,3,1),-'Model inputs'!AM13*1)="",FALSE,DATE(2027,7,1)=EDATE(DATE(2027,3,1),-'Model inputs'!AM13*1)),IF('Model inputs'!L85="","",'Model inputs'!L85),"")</f>
      </c>
    </row>
    <row r="2394">
      <c r="A2394" t="inlineStr" s="25">
        <is>
          <t xml:space="preserve">Calculation</t>
        </is>
      </c>
      <c r="B2394">
        <f>IF(IF(DATE(2027,8,1)=EDATE(DATE(2027,3,1),-'Model inputs'!AM13*1)="",FALSE,DATE(2027,8,1)=EDATE(DATE(2027,3,1),-'Model inputs'!AM13*1)),IF('Model inputs'!M85="","",'Model inputs'!M85),"")</f>
      </c>
    </row>
    <row r="2395">
      <c r="A2395" t="inlineStr" s="25">
        <is>
          <t xml:space="preserve">Calculation</t>
        </is>
      </c>
      <c r="B2395">
        <f>IF(IF(DATE(2027,9,1)=EDATE(DATE(2027,3,1),-'Model inputs'!AM13*1)="",FALSE,DATE(2027,9,1)=EDATE(DATE(2027,3,1),-'Model inputs'!AM13*1)),IF('Model inputs'!N85="","",'Model inputs'!N85),"")</f>
      </c>
    </row>
    <row r="2396">
      <c r="A2396" t="inlineStr" s="25">
        <is>
          <t xml:space="preserve">Calculation</t>
        </is>
      </c>
      <c r="B2396">
        <f>IF(IF(DATE(2027,10,1)=EDATE(DATE(2027,3,1),-'Model inputs'!AM13*1)="",FALSE,DATE(2027,10,1)=EDATE(DATE(2027,3,1),-'Model inputs'!AM13*1)),IF('Model inputs'!O85="","",'Model inputs'!O85),"")</f>
      </c>
    </row>
    <row r="2397">
      <c r="A2397" t="inlineStr" s="25">
        <is>
          <t xml:space="preserve">Calculation</t>
        </is>
      </c>
      <c r="B2397">
        <f>IF(IF(DATE(2027,11,1)=EDATE(DATE(2027,3,1),-'Model inputs'!AM13*1)="",FALSE,DATE(2027,11,1)=EDATE(DATE(2027,3,1),-'Model inputs'!AM13*1)),IF('Model inputs'!P85="","",'Model inputs'!P85),"")</f>
      </c>
    </row>
    <row r="2398">
      <c r="A2398" t="inlineStr" s="25">
        <is>
          <t xml:space="preserve">Calculation</t>
        </is>
      </c>
      <c r="B2398">
        <f>IF(IF(DATE(2027,12,1)=EDATE(DATE(2027,3,1),-'Model inputs'!AM13*1)="",FALSE,DATE(2027,12,1)=EDATE(DATE(2027,3,1),-'Model inputs'!AM13*1)),IF('Model inputs'!Q85="","",'Model inputs'!Q85),"")</f>
      </c>
    </row>
    <row r="2399">
      <c r="A2399" t="inlineStr" s="25">
        <is>
          <t xml:space="preserve">Calculation</t>
        </is>
      </c>
      <c r="B2399">
        <f>IF(IF(DATE(2028,1,1)=EDATE(DATE(2027,3,1),-'Model inputs'!AM13*1)="",FALSE,DATE(2028,1,1)=EDATE(DATE(2027,3,1),-'Model inputs'!AM13*1)),IF('Model inputs'!R85="","",'Model inputs'!R85),"")</f>
      </c>
    </row>
    <row r="2400">
      <c r="A2400" t="inlineStr" s="25">
        <is>
          <t xml:space="preserve">Calculation</t>
        </is>
      </c>
      <c r="B2400">
        <f>IF(IF(DATE(2028,2,1)=EDATE(DATE(2027,3,1),-'Model inputs'!AM13*1)="",FALSE,DATE(2028,2,1)=EDATE(DATE(2027,3,1),-'Model inputs'!AM13*1)),IF('Model inputs'!S85="","",'Model inputs'!S85),"")</f>
      </c>
    </row>
    <row r="2401">
      <c r="A2401" t="inlineStr" s="25">
        <is>
          <t xml:space="preserve">Calculation</t>
        </is>
      </c>
      <c r="B2401">
        <f>IF(IF(DATE(2028,3,1)=EDATE(DATE(2027,3,1),-'Model inputs'!AM13*1)="",FALSE,DATE(2028,3,1)=EDATE(DATE(2027,3,1),-'Model inputs'!AM13*1)),IF('Model inputs'!T85="","",'Model inputs'!T85),"")</f>
      </c>
    </row>
    <row r="2402">
      <c r="A2402" t="inlineStr" s="25">
        <is>
          <t xml:space="preserve">Calculation</t>
        </is>
      </c>
      <c r="B2402">
        <f>IF(IF(DATE(2028,4,1)=EDATE(DATE(2027,3,1),-'Model inputs'!AM13*1)="",FALSE,DATE(2028,4,1)=EDATE(DATE(2027,3,1),-'Model inputs'!AM13*1)),IF('Model inputs'!U85="","",'Model inputs'!U85),"")</f>
      </c>
    </row>
    <row r="2403">
      <c r="A2403" t="inlineStr" s="25">
        <is>
          <t xml:space="preserve">Calculation</t>
        </is>
      </c>
      <c r="B2403">
        <f>IF(IF(DATE(2028,5,1)=EDATE(DATE(2027,3,1),-'Model inputs'!AM13*1)="",FALSE,DATE(2028,5,1)=EDATE(DATE(2027,3,1),-'Model inputs'!AM13*1)),IF('Model inputs'!V85="","",'Model inputs'!V85),"")</f>
      </c>
    </row>
    <row r="2404">
      <c r="A2404" t="inlineStr" s="25">
        <is>
          <t xml:space="preserve">Calculation</t>
        </is>
      </c>
      <c r="B2404">
        <f>IF(IF(DATE(2028,6,1)=EDATE(DATE(2027,3,1),-'Model inputs'!AM13*1)="",FALSE,DATE(2028,6,1)=EDATE(DATE(2027,3,1),-'Model inputs'!AM13*1)),IF('Model inputs'!W85="","",'Model inputs'!W85),"")</f>
      </c>
    </row>
    <row r="2405">
      <c r="A2405" t="inlineStr" s="25">
        <is>
          <t xml:space="preserve">Calculation</t>
        </is>
      </c>
      <c r="B2405">
        <f>IF(IF(DATE(2028,7,1)=EDATE(DATE(2027,3,1),-'Model inputs'!AM13*1)="",FALSE,DATE(2028,7,1)=EDATE(DATE(2027,3,1),-'Model inputs'!AM13*1)),IF('Model inputs'!X85="","",'Model inputs'!X85),"")</f>
      </c>
    </row>
    <row r="2406">
      <c r="A2406" t="inlineStr" s="25">
        <is>
          <t xml:space="preserve">Calculation</t>
        </is>
      </c>
      <c r="B2406">
        <f>IF(IF(DATE(2028,8,1)=EDATE(DATE(2027,3,1),-'Model inputs'!AM13*1)="",FALSE,DATE(2028,8,1)=EDATE(DATE(2027,3,1),-'Model inputs'!AM13*1)),IF('Model inputs'!Y85="","",'Model inputs'!Y85),"")</f>
      </c>
    </row>
    <row r="2407">
      <c r="A2407" t="inlineStr" s="25">
        <is>
          <t xml:space="preserve">Calculation</t>
        </is>
      </c>
      <c r="B2407">
        <f>IF(IF(DATE(2028,9,1)=EDATE(DATE(2027,3,1),-'Model inputs'!AM13*1)="",FALSE,DATE(2028,9,1)=EDATE(DATE(2027,3,1),-'Model inputs'!AM13*1)),IF('Model inputs'!Z85="","",'Model inputs'!Z85),"")</f>
      </c>
    </row>
    <row r="2408">
      <c r="A2408" t="inlineStr" s="25">
        <is>
          <t xml:space="preserve">Calculation</t>
        </is>
      </c>
      <c r="B2408">
        <f>IF(IF(DATE(2028,10,1)=EDATE(DATE(2027,3,1),-'Model inputs'!AM13*1)="",FALSE,DATE(2028,10,1)=EDATE(DATE(2027,3,1),-'Model inputs'!AM13*1)),IF('Model inputs'!AA85="","",'Model inputs'!AA85),"")</f>
      </c>
    </row>
    <row r="2409">
      <c r="A2409" t="inlineStr" s="25">
        <is>
          <t xml:space="preserve">Calculation</t>
        </is>
      </c>
      <c r="B2409">
        <f>IF(IF(DATE(2028,11,1)=EDATE(DATE(2027,3,1),-'Model inputs'!AM13*1)="",FALSE,DATE(2028,11,1)=EDATE(DATE(2027,3,1),-'Model inputs'!AM13*1)),IF('Model inputs'!AB85="","",'Model inputs'!AB85),"")</f>
      </c>
    </row>
    <row r="2410">
      <c r="A2410" t="inlineStr" s="25">
        <is>
          <t xml:space="preserve">Calculation</t>
        </is>
      </c>
      <c r="B2410">
        <f>IF(IF(DATE(2028,12,1)=EDATE(DATE(2027,3,1),-'Model inputs'!AM13*1)="",FALSE,DATE(2028,12,1)=EDATE(DATE(2027,3,1),-'Model inputs'!AM13*1)),IF('Model inputs'!AC85="","",'Model inputs'!AC85),"")</f>
      </c>
    </row>
    <row r="2411">
      <c r="A2411" t="inlineStr" s="25">
        <is>
          <t xml:space="preserve">Calculation</t>
        </is>
      </c>
      <c r="B2411">
        <f>IF(IF(DATE(2029,1,1)=EDATE(DATE(2027,3,1),-'Model inputs'!AM13*1)="",FALSE,DATE(2029,1,1)=EDATE(DATE(2027,3,1),-'Model inputs'!AM13*1)),IF('Model inputs'!AD85="","",'Model inputs'!AD85),"")</f>
      </c>
    </row>
    <row r="2412">
      <c r="A2412" t="inlineStr" s="25">
        <is>
          <t xml:space="preserve">Calculation</t>
        </is>
      </c>
      <c r="B2412">
        <f>IF(IF(DATE(2029,2,1)=EDATE(DATE(2027,3,1),-'Model inputs'!AM13*1)="",FALSE,DATE(2029,2,1)=EDATE(DATE(2027,3,1),-'Model inputs'!AM13*1)),IF('Model inputs'!AE85="","",'Model inputs'!AE85),"")</f>
      </c>
    </row>
    <row r="2413">
      <c r="A2413" t="inlineStr" s="25">
        <is>
          <t xml:space="preserve">Calculation</t>
        </is>
      </c>
      <c r="B2413">
        <f>IF(IF(DATE(2029,3,1)=EDATE(DATE(2027,3,1),-'Model inputs'!AM13*1)="",FALSE,DATE(2029,3,1)=EDATE(DATE(2027,3,1),-'Model inputs'!AM13*1)),IF('Model inputs'!AF85="","",'Model inputs'!AF85),"")</f>
      </c>
    </row>
    <row r="2414">
      <c r="A2414" t="inlineStr" s="25">
        <is>
          <t xml:space="preserve">Calculation</t>
        </is>
      </c>
      <c r="B2414">
        <f>IF(IF(DATE(2029,4,1)=EDATE(DATE(2027,3,1),-'Model inputs'!AM13*1)="",FALSE,DATE(2029,4,1)=EDATE(DATE(2027,3,1),-'Model inputs'!AM13*1)),IF('Model inputs'!AG85="","",'Model inputs'!AG85),"")</f>
      </c>
    </row>
    <row r="2415">
      <c r="A2415" t="inlineStr" s="25">
        <is>
          <t xml:space="preserve">Calculation</t>
        </is>
      </c>
      <c r="B2415">
        <f>IF(IF(DATE(2029,5,1)=EDATE(DATE(2027,3,1),-'Model inputs'!AM13*1)="",FALSE,DATE(2029,5,1)=EDATE(DATE(2027,3,1),-'Model inputs'!AM13*1)),IF('Model inputs'!AH85="","",'Model inputs'!AH85),"")</f>
      </c>
    </row>
    <row r="2416">
      <c r="A2416" t="inlineStr" s="25">
        <is>
          <t xml:space="preserve">Calculation</t>
        </is>
      </c>
      <c r="B2416">
        <f>IF(IF(DATE(2029,6,1)=EDATE(DATE(2027,3,1),-'Model inputs'!AM13*1)="",FALSE,DATE(2029,6,1)=EDATE(DATE(2027,3,1),-'Model inputs'!AM13*1)),IF('Model inputs'!AI85="","",'Model inputs'!AI85),"")</f>
      </c>
    </row>
    <row r="2417">
      <c r="A2417" t="inlineStr" s="25">
        <is>
          <t xml:space="preserve">Calculation</t>
        </is>
      </c>
      <c r="B2417">
        <f>IF(IF(DATE(2029,7,1)=EDATE(DATE(2027,3,1),-'Model inputs'!AM13*1)="",FALSE,DATE(2029,7,1)=EDATE(DATE(2027,3,1),-'Model inputs'!AM13*1)),IF('Model inputs'!AJ85="","",'Model inputs'!AJ85),"")</f>
      </c>
    </row>
    <row r="2418">
      <c r="A2418" t="inlineStr" s="25">
        <is>
          <t xml:space="preserve">Calculation</t>
        </is>
      </c>
      <c r="B2418">
        <f>IF(IF(DATE(2029,8,1)=EDATE(DATE(2027,3,1),-'Model inputs'!AM13*1)="",FALSE,DATE(2029,8,1)=EDATE(DATE(2027,3,1),-'Model inputs'!AM13*1)),IF('Model inputs'!AK85="","",'Model inputs'!AK85),"")</f>
      </c>
    </row>
    <row r="2419">
      <c r="A2419" t="inlineStr" s="25">
        <is>
          <t xml:space="preserve">Calculation</t>
        </is>
      </c>
      <c r="B2419">
        <f>IF(IF(DATE(2029,9,1)=EDATE(DATE(2027,3,1),-'Model inputs'!AM13*1)="",FALSE,DATE(2029,9,1)=EDATE(DATE(2027,3,1),-'Model inputs'!AM13*1)),IF('Model inputs'!AL85="","",'Model inputs'!AL85),"")</f>
      </c>
    </row>
    <row r="2420">
      <c r="A2420" t="inlineStr" s="25">
        <is>
          <t xml:space="preserve">Calculation</t>
        </is>
      </c>
      <c r="B2420">
        <f>SUM(IF(IF('Model inputs'!B1021="",0,1)="",0,IF('Model inputs'!B1021="",0,1)),IF(IF('Model inputs'!B2384="",0,1)="",0,IF('Model inputs'!B2384="",0,1)),IF(IF('Model inputs'!B2385="",0,1)="",0,IF('Model inputs'!B2385="",0,1)),IF(IF('Model inputs'!B2386="",0,1)="",0,IF('Model inputs'!B2386="",0,1)),IF(IF('Model inputs'!B2387="",0,1)="",0,IF('Model inputs'!B2387="",0,1)),IF(IF('Model inputs'!B2388="",0,1)="",0,IF('Model inputs'!B2388="",0,1)),IF(IF('Model inputs'!B2389="",0,1)="",0,IF('Model inputs'!B2389="",0,1)),IF(IF('Model inputs'!B2390="",0,1)="",0,IF('Model inputs'!B2390="",0,1)),IF(IF('Model inputs'!B2391="",0,1)="",0,IF('Model inputs'!B2391="",0,1)),IF(IF('Model inputs'!B2392="",0,1)="",0,IF('Model inputs'!B2392="",0,1)),IF(IF('Model inputs'!B2393="",0,1)="",0,IF('Model inputs'!B2393="",0,1)),IF(IF('Model inputs'!B2394="",0,1)="",0,IF('Model inputs'!B2394="",0,1)),IF(IF('Model inputs'!B2395="",0,1)="",0,IF('Model inputs'!B2395="",0,1)),IF(IF('Model inputs'!B2396="",0,1)="",0,IF('Model inputs'!B2396="",0,1)),IF(IF('Model inputs'!B2397="",0,1)="",0,IF('Model inputs'!B2397="",0,1)),IF(IF('Model inputs'!B2398="",0,1)="",0,IF('Model inputs'!B2398="",0,1)),IF(IF('Model inputs'!B2399="",0,1)="",0,IF('Model inputs'!B2399="",0,1)),IF(IF('Model inputs'!B2400="",0,1)="",0,IF('Model inputs'!B2400="",0,1)),IF(IF('Model inputs'!B2401="",0,1)="",0,IF('Model inputs'!B2401="",0,1)),IF(IF('Model inputs'!B2402="",0,1)="",0,IF('Model inputs'!B2402="",0,1)),IF(IF('Model inputs'!B2403="",0,1)="",0,IF('Model inputs'!B2403="",0,1)),IF(IF('Model inputs'!B2404="",0,1)="",0,IF('Model inputs'!B2404="",0,1)),IF(IF('Model inputs'!B2405="",0,1)="",0,IF('Model inputs'!B2405="",0,1)),IF(IF('Model inputs'!B2406="",0,1)="",0,IF('Model inputs'!B2406="",0,1)),IF(IF('Model inputs'!B2407="",0,1)="",0,IF('Model inputs'!B2407="",0,1)),IF(IF('Model inputs'!B2408="",0,1)="",0,IF('Model inputs'!B2408="",0,1)),IF(IF('Model inputs'!B2409="",0,1)="",0,IF('Model inputs'!B2409="",0,1)),IF(IF('Model inputs'!B2410="",0,1)="",0,IF('Model inputs'!B2410="",0,1)),IF(IF('Model inputs'!B2411="",0,1)="",0,IF('Model inputs'!B2411="",0,1)),IF(IF('Model inputs'!B2412="",0,1)="",0,IF('Model inputs'!B2412="",0,1)),IF(IF('Model inputs'!B2413="",0,1)="",0,IF('Model inputs'!B2413="",0,1)),IF(IF('Model inputs'!B2414="",0,1)="",0,IF('Model inputs'!B2414="",0,1)),IF(IF('Model inputs'!B2415="",0,1)="",0,IF('Model inputs'!B2415="",0,1)),IF(IF('Model inputs'!B2416="",0,1)="",0,IF('Model inputs'!B2416="",0,1)),IF(IF('Model inputs'!B2417="",0,1)="",0,IF('Model inputs'!B2417="",0,1)),IF(IF('Model inputs'!B2418="",0,1)="",0,IF('Model inputs'!B2418="",0,1)),IF(IF('Model inputs'!B2419="",0,1)="",0,IF('Model inputs'!B2419="",0,1)))</f>
      </c>
    </row>
    <row r="2421">
      <c r="A2421" t="inlineStr" s="25">
        <is>
          <t xml:space="preserve">Calculation</t>
        </is>
      </c>
      <c r="B2421">
        <f>IF(IF(DATE(2026,10,1)=EDATE(DATE(2027,4,1),-'Model inputs'!AM13*1)="",FALSE,DATE(2026,10,1)=EDATE(DATE(2027,4,1),-'Model inputs'!AM13*1)),IF('Model inputs'!C85="","",'Model inputs'!C85),"")</f>
      </c>
    </row>
    <row r="2422">
      <c r="A2422" t="inlineStr" s="25">
        <is>
          <t xml:space="preserve">Calculation</t>
        </is>
      </c>
      <c r="B2422">
        <f>IF(IF(DATE(2026,11,1)=EDATE(DATE(2027,4,1),-'Model inputs'!AM13*1)="",FALSE,DATE(2026,11,1)=EDATE(DATE(2027,4,1),-'Model inputs'!AM13*1)),IF('Model inputs'!D85="","",'Model inputs'!D85),"")</f>
      </c>
    </row>
    <row r="2423">
      <c r="A2423" t="inlineStr" s="25">
        <is>
          <t xml:space="preserve">Calculation</t>
        </is>
      </c>
      <c r="B2423">
        <f>IF(IF(DATE(2026,12,1)=EDATE(DATE(2027,4,1),-'Model inputs'!AM13*1)="",FALSE,DATE(2026,12,1)=EDATE(DATE(2027,4,1),-'Model inputs'!AM13*1)),IF('Model inputs'!E85="","",'Model inputs'!E85),"")</f>
      </c>
    </row>
    <row r="2424">
      <c r="A2424" t="inlineStr" s="25">
        <is>
          <t xml:space="preserve">Calculation</t>
        </is>
      </c>
      <c r="B2424">
        <f>IF(IF(DATE(2027,1,1)=EDATE(DATE(2027,4,1),-'Model inputs'!AM13*1)="",FALSE,DATE(2027,1,1)=EDATE(DATE(2027,4,1),-'Model inputs'!AM13*1)),IF('Model inputs'!F85="","",'Model inputs'!F85),"")</f>
      </c>
    </row>
    <row r="2425">
      <c r="A2425" t="inlineStr" s="25">
        <is>
          <t xml:space="preserve">Calculation</t>
        </is>
      </c>
      <c r="B2425">
        <f>IF(IF(DATE(2027,2,1)=EDATE(DATE(2027,4,1),-'Model inputs'!AM13*1)="",FALSE,DATE(2027,2,1)=EDATE(DATE(2027,4,1),-'Model inputs'!AM13*1)),IF('Model inputs'!G85="","",'Model inputs'!G85),"")</f>
      </c>
    </row>
    <row r="2426">
      <c r="A2426" t="inlineStr" s="25">
        <is>
          <t xml:space="preserve">Calculation</t>
        </is>
      </c>
      <c r="B2426">
        <f>IF(IF(DATE(2027,3,1)=EDATE(DATE(2027,4,1),-'Model inputs'!AM13*1)="",FALSE,DATE(2027,3,1)=EDATE(DATE(2027,4,1),-'Model inputs'!AM13*1)),IF('Model inputs'!H85="","",'Model inputs'!H85),"")</f>
      </c>
    </row>
    <row r="2427">
      <c r="A2427" t="inlineStr" s="25">
        <is>
          <t xml:space="preserve">Calculation</t>
        </is>
      </c>
      <c r="B2427">
        <f>IF(IF(DATE(2027,4,1)=EDATE(DATE(2027,4,1),-'Model inputs'!AM13*1)="",FALSE,DATE(2027,4,1)=EDATE(DATE(2027,4,1),-'Model inputs'!AM13*1)),IF('Model inputs'!I85="","",'Model inputs'!I85),"")</f>
      </c>
    </row>
    <row r="2428">
      <c r="A2428" t="inlineStr" s="25">
        <is>
          <t xml:space="preserve">Calculation</t>
        </is>
      </c>
      <c r="B2428">
        <f>IF(IF(DATE(2027,5,1)=EDATE(DATE(2027,4,1),-'Model inputs'!AM13*1)="",FALSE,DATE(2027,5,1)=EDATE(DATE(2027,4,1),-'Model inputs'!AM13*1)),IF('Model inputs'!J85="","",'Model inputs'!J85),"")</f>
      </c>
    </row>
    <row r="2429">
      <c r="A2429" t="inlineStr" s="25">
        <is>
          <t xml:space="preserve">Calculation</t>
        </is>
      </c>
      <c r="B2429">
        <f>IF(IF(DATE(2027,6,1)=EDATE(DATE(2027,4,1),-'Model inputs'!AM13*1)="",FALSE,DATE(2027,6,1)=EDATE(DATE(2027,4,1),-'Model inputs'!AM13*1)),IF('Model inputs'!K85="","",'Model inputs'!K85),"")</f>
      </c>
    </row>
    <row r="2430">
      <c r="A2430" t="inlineStr" s="25">
        <is>
          <t xml:space="preserve">Calculation</t>
        </is>
      </c>
      <c r="B2430">
        <f>IF(IF(DATE(2027,7,1)=EDATE(DATE(2027,4,1),-'Model inputs'!AM13*1)="",FALSE,DATE(2027,7,1)=EDATE(DATE(2027,4,1),-'Model inputs'!AM13*1)),IF('Model inputs'!L85="","",'Model inputs'!L85),"")</f>
      </c>
    </row>
    <row r="2431">
      <c r="A2431" t="inlineStr" s="25">
        <is>
          <t xml:space="preserve">Calculation</t>
        </is>
      </c>
      <c r="B2431">
        <f>IF(IF(DATE(2027,8,1)=EDATE(DATE(2027,4,1),-'Model inputs'!AM13*1)="",FALSE,DATE(2027,8,1)=EDATE(DATE(2027,4,1),-'Model inputs'!AM13*1)),IF('Model inputs'!M85="","",'Model inputs'!M85),"")</f>
      </c>
    </row>
    <row r="2432">
      <c r="A2432" t="inlineStr" s="25">
        <is>
          <t xml:space="preserve">Calculation</t>
        </is>
      </c>
      <c r="B2432">
        <f>IF(IF(DATE(2027,9,1)=EDATE(DATE(2027,4,1),-'Model inputs'!AM13*1)="",FALSE,DATE(2027,9,1)=EDATE(DATE(2027,4,1),-'Model inputs'!AM13*1)),IF('Model inputs'!N85="","",'Model inputs'!N85),"")</f>
      </c>
    </row>
    <row r="2433">
      <c r="A2433" t="inlineStr" s="25">
        <is>
          <t xml:space="preserve">Calculation</t>
        </is>
      </c>
      <c r="B2433">
        <f>IF(IF(DATE(2027,10,1)=EDATE(DATE(2027,4,1),-'Model inputs'!AM13*1)="",FALSE,DATE(2027,10,1)=EDATE(DATE(2027,4,1),-'Model inputs'!AM13*1)),IF('Model inputs'!O85="","",'Model inputs'!O85),"")</f>
      </c>
    </row>
    <row r="2434">
      <c r="A2434" t="inlineStr" s="25">
        <is>
          <t xml:space="preserve">Calculation</t>
        </is>
      </c>
      <c r="B2434">
        <f>IF(IF(DATE(2027,11,1)=EDATE(DATE(2027,4,1),-'Model inputs'!AM13*1)="",FALSE,DATE(2027,11,1)=EDATE(DATE(2027,4,1),-'Model inputs'!AM13*1)),IF('Model inputs'!P85="","",'Model inputs'!P85),"")</f>
      </c>
    </row>
    <row r="2435">
      <c r="A2435" t="inlineStr" s="25">
        <is>
          <t xml:space="preserve">Calculation</t>
        </is>
      </c>
      <c r="B2435">
        <f>IF(IF(DATE(2027,12,1)=EDATE(DATE(2027,4,1),-'Model inputs'!AM13*1)="",FALSE,DATE(2027,12,1)=EDATE(DATE(2027,4,1),-'Model inputs'!AM13*1)),IF('Model inputs'!Q85="","",'Model inputs'!Q85),"")</f>
      </c>
    </row>
    <row r="2436">
      <c r="A2436" t="inlineStr" s="25">
        <is>
          <t xml:space="preserve">Calculation</t>
        </is>
      </c>
      <c r="B2436">
        <f>IF(IF(DATE(2028,1,1)=EDATE(DATE(2027,4,1),-'Model inputs'!AM13*1)="",FALSE,DATE(2028,1,1)=EDATE(DATE(2027,4,1),-'Model inputs'!AM13*1)),IF('Model inputs'!R85="","",'Model inputs'!R85),"")</f>
      </c>
    </row>
    <row r="2437">
      <c r="A2437" t="inlineStr" s="25">
        <is>
          <t xml:space="preserve">Calculation</t>
        </is>
      </c>
      <c r="B2437">
        <f>IF(IF(DATE(2028,2,1)=EDATE(DATE(2027,4,1),-'Model inputs'!AM13*1)="",FALSE,DATE(2028,2,1)=EDATE(DATE(2027,4,1),-'Model inputs'!AM13*1)),IF('Model inputs'!S85="","",'Model inputs'!S85),"")</f>
      </c>
    </row>
    <row r="2438">
      <c r="A2438" t="inlineStr" s="25">
        <is>
          <t xml:space="preserve">Calculation</t>
        </is>
      </c>
      <c r="B2438">
        <f>IF(IF(DATE(2028,3,1)=EDATE(DATE(2027,4,1),-'Model inputs'!AM13*1)="",FALSE,DATE(2028,3,1)=EDATE(DATE(2027,4,1),-'Model inputs'!AM13*1)),IF('Model inputs'!T85="","",'Model inputs'!T85),"")</f>
      </c>
    </row>
    <row r="2439">
      <c r="A2439" t="inlineStr" s="25">
        <is>
          <t xml:space="preserve">Calculation</t>
        </is>
      </c>
      <c r="B2439">
        <f>IF(IF(DATE(2028,4,1)=EDATE(DATE(2027,4,1),-'Model inputs'!AM13*1)="",FALSE,DATE(2028,4,1)=EDATE(DATE(2027,4,1),-'Model inputs'!AM13*1)),IF('Model inputs'!U85="","",'Model inputs'!U85),"")</f>
      </c>
    </row>
    <row r="2440">
      <c r="A2440" t="inlineStr" s="25">
        <is>
          <t xml:space="preserve">Calculation</t>
        </is>
      </c>
      <c r="B2440">
        <f>IF(IF(DATE(2028,5,1)=EDATE(DATE(2027,4,1),-'Model inputs'!AM13*1)="",FALSE,DATE(2028,5,1)=EDATE(DATE(2027,4,1),-'Model inputs'!AM13*1)),IF('Model inputs'!V85="","",'Model inputs'!V85),"")</f>
      </c>
    </row>
    <row r="2441">
      <c r="A2441" t="inlineStr" s="25">
        <is>
          <t xml:space="preserve">Calculation</t>
        </is>
      </c>
      <c r="B2441">
        <f>IF(IF(DATE(2028,6,1)=EDATE(DATE(2027,4,1),-'Model inputs'!AM13*1)="",FALSE,DATE(2028,6,1)=EDATE(DATE(2027,4,1),-'Model inputs'!AM13*1)),IF('Model inputs'!W85="","",'Model inputs'!W85),"")</f>
      </c>
    </row>
    <row r="2442">
      <c r="A2442" t="inlineStr" s="25">
        <is>
          <t xml:space="preserve">Calculation</t>
        </is>
      </c>
      <c r="B2442">
        <f>IF(IF(DATE(2028,7,1)=EDATE(DATE(2027,4,1),-'Model inputs'!AM13*1)="",FALSE,DATE(2028,7,1)=EDATE(DATE(2027,4,1),-'Model inputs'!AM13*1)),IF('Model inputs'!X85="","",'Model inputs'!X85),"")</f>
      </c>
    </row>
    <row r="2443">
      <c r="A2443" t="inlineStr" s="25">
        <is>
          <t xml:space="preserve">Calculation</t>
        </is>
      </c>
      <c r="B2443">
        <f>IF(IF(DATE(2028,8,1)=EDATE(DATE(2027,4,1),-'Model inputs'!AM13*1)="",FALSE,DATE(2028,8,1)=EDATE(DATE(2027,4,1),-'Model inputs'!AM13*1)),IF('Model inputs'!Y85="","",'Model inputs'!Y85),"")</f>
      </c>
    </row>
    <row r="2444">
      <c r="A2444" t="inlineStr" s="25">
        <is>
          <t xml:space="preserve">Calculation</t>
        </is>
      </c>
      <c r="B2444">
        <f>IF(IF(DATE(2028,9,1)=EDATE(DATE(2027,4,1),-'Model inputs'!AM13*1)="",FALSE,DATE(2028,9,1)=EDATE(DATE(2027,4,1),-'Model inputs'!AM13*1)),IF('Model inputs'!Z85="","",'Model inputs'!Z85),"")</f>
      </c>
    </row>
    <row r="2445">
      <c r="A2445" t="inlineStr" s="25">
        <is>
          <t xml:space="preserve">Calculation</t>
        </is>
      </c>
      <c r="B2445">
        <f>IF(IF(DATE(2028,10,1)=EDATE(DATE(2027,4,1),-'Model inputs'!AM13*1)="",FALSE,DATE(2028,10,1)=EDATE(DATE(2027,4,1),-'Model inputs'!AM13*1)),IF('Model inputs'!AA85="","",'Model inputs'!AA85),"")</f>
      </c>
    </row>
    <row r="2446">
      <c r="A2446" t="inlineStr" s="25">
        <is>
          <t xml:space="preserve">Calculation</t>
        </is>
      </c>
      <c r="B2446">
        <f>IF(IF(DATE(2028,11,1)=EDATE(DATE(2027,4,1),-'Model inputs'!AM13*1)="",FALSE,DATE(2028,11,1)=EDATE(DATE(2027,4,1),-'Model inputs'!AM13*1)),IF('Model inputs'!AB85="","",'Model inputs'!AB85),"")</f>
      </c>
    </row>
    <row r="2447">
      <c r="A2447" t="inlineStr" s="25">
        <is>
          <t xml:space="preserve">Calculation</t>
        </is>
      </c>
      <c r="B2447">
        <f>IF(IF(DATE(2028,12,1)=EDATE(DATE(2027,4,1),-'Model inputs'!AM13*1)="",FALSE,DATE(2028,12,1)=EDATE(DATE(2027,4,1),-'Model inputs'!AM13*1)),IF('Model inputs'!AC85="","",'Model inputs'!AC85),"")</f>
      </c>
    </row>
    <row r="2448">
      <c r="A2448" t="inlineStr" s="25">
        <is>
          <t xml:space="preserve">Calculation</t>
        </is>
      </c>
      <c r="B2448">
        <f>IF(IF(DATE(2029,1,1)=EDATE(DATE(2027,4,1),-'Model inputs'!AM13*1)="",FALSE,DATE(2029,1,1)=EDATE(DATE(2027,4,1),-'Model inputs'!AM13*1)),IF('Model inputs'!AD85="","",'Model inputs'!AD85),"")</f>
      </c>
    </row>
    <row r="2449">
      <c r="A2449" t="inlineStr" s="25">
        <is>
          <t xml:space="preserve">Calculation</t>
        </is>
      </c>
      <c r="B2449">
        <f>IF(IF(DATE(2029,2,1)=EDATE(DATE(2027,4,1),-'Model inputs'!AM13*1)="",FALSE,DATE(2029,2,1)=EDATE(DATE(2027,4,1),-'Model inputs'!AM13*1)),IF('Model inputs'!AE85="","",'Model inputs'!AE85),"")</f>
      </c>
    </row>
    <row r="2450">
      <c r="A2450" t="inlineStr" s="25">
        <is>
          <t xml:space="preserve">Calculation</t>
        </is>
      </c>
      <c r="B2450">
        <f>IF(IF(DATE(2029,3,1)=EDATE(DATE(2027,4,1),-'Model inputs'!AM13*1)="",FALSE,DATE(2029,3,1)=EDATE(DATE(2027,4,1),-'Model inputs'!AM13*1)),IF('Model inputs'!AF85="","",'Model inputs'!AF85),"")</f>
      </c>
    </row>
    <row r="2451">
      <c r="A2451" t="inlineStr" s="25">
        <is>
          <t xml:space="preserve">Calculation</t>
        </is>
      </c>
      <c r="B2451">
        <f>IF(IF(DATE(2029,4,1)=EDATE(DATE(2027,4,1),-'Model inputs'!AM13*1)="",FALSE,DATE(2029,4,1)=EDATE(DATE(2027,4,1),-'Model inputs'!AM13*1)),IF('Model inputs'!AG85="","",'Model inputs'!AG85),"")</f>
      </c>
    </row>
    <row r="2452">
      <c r="A2452" t="inlineStr" s="25">
        <is>
          <t xml:space="preserve">Calculation</t>
        </is>
      </c>
      <c r="B2452">
        <f>IF(IF(DATE(2029,5,1)=EDATE(DATE(2027,4,1),-'Model inputs'!AM13*1)="",FALSE,DATE(2029,5,1)=EDATE(DATE(2027,4,1),-'Model inputs'!AM13*1)),IF('Model inputs'!AH85="","",'Model inputs'!AH85),"")</f>
      </c>
    </row>
    <row r="2453">
      <c r="A2453" t="inlineStr" s="25">
        <is>
          <t xml:space="preserve">Calculation</t>
        </is>
      </c>
      <c r="B2453">
        <f>IF(IF(DATE(2029,6,1)=EDATE(DATE(2027,4,1),-'Model inputs'!AM13*1)="",FALSE,DATE(2029,6,1)=EDATE(DATE(2027,4,1),-'Model inputs'!AM13*1)),IF('Model inputs'!AI85="","",'Model inputs'!AI85),"")</f>
      </c>
    </row>
    <row r="2454">
      <c r="A2454" t="inlineStr" s="25">
        <is>
          <t xml:space="preserve">Calculation</t>
        </is>
      </c>
      <c r="B2454">
        <f>IF(IF(DATE(2029,7,1)=EDATE(DATE(2027,4,1),-'Model inputs'!AM13*1)="",FALSE,DATE(2029,7,1)=EDATE(DATE(2027,4,1),-'Model inputs'!AM13*1)),IF('Model inputs'!AJ85="","",'Model inputs'!AJ85),"")</f>
      </c>
    </row>
    <row r="2455">
      <c r="A2455" t="inlineStr" s="25">
        <is>
          <t xml:space="preserve">Calculation</t>
        </is>
      </c>
      <c r="B2455">
        <f>IF(IF(DATE(2029,8,1)=EDATE(DATE(2027,4,1),-'Model inputs'!AM13*1)="",FALSE,DATE(2029,8,1)=EDATE(DATE(2027,4,1),-'Model inputs'!AM13*1)),IF('Model inputs'!AK85="","",'Model inputs'!AK85),"")</f>
      </c>
    </row>
    <row r="2456">
      <c r="A2456" t="inlineStr" s="25">
        <is>
          <t xml:space="preserve">Calculation</t>
        </is>
      </c>
      <c r="B2456">
        <f>IF(IF(DATE(2029,9,1)=EDATE(DATE(2027,4,1),-'Model inputs'!AM13*1)="",FALSE,DATE(2029,9,1)=EDATE(DATE(2027,4,1),-'Model inputs'!AM13*1)),IF('Model inputs'!AL85="","",'Model inputs'!AL85),"")</f>
      </c>
    </row>
    <row r="2457">
      <c r="A2457" t="inlineStr" s="25">
        <is>
          <t xml:space="preserve">Calculation</t>
        </is>
      </c>
      <c r="B2457">
        <f>SUM(IF(IF('Model inputs'!B1059="",0,1)="",0,IF('Model inputs'!B1059="",0,1)),IF(IF('Model inputs'!B2421="",0,1)="",0,IF('Model inputs'!B2421="",0,1)),IF(IF('Model inputs'!B2422="",0,1)="",0,IF('Model inputs'!B2422="",0,1)),IF(IF('Model inputs'!B2423="",0,1)="",0,IF('Model inputs'!B2423="",0,1)),IF(IF('Model inputs'!B2424="",0,1)="",0,IF('Model inputs'!B2424="",0,1)),IF(IF('Model inputs'!B2425="",0,1)="",0,IF('Model inputs'!B2425="",0,1)),IF(IF('Model inputs'!B2426="",0,1)="",0,IF('Model inputs'!B2426="",0,1)),IF(IF('Model inputs'!B2427="",0,1)="",0,IF('Model inputs'!B2427="",0,1)),IF(IF('Model inputs'!B2428="",0,1)="",0,IF('Model inputs'!B2428="",0,1)),IF(IF('Model inputs'!B2429="",0,1)="",0,IF('Model inputs'!B2429="",0,1)),IF(IF('Model inputs'!B2430="",0,1)="",0,IF('Model inputs'!B2430="",0,1)),IF(IF('Model inputs'!B2431="",0,1)="",0,IF('Model inputs'!B2431="",0,1)),IF(IF('Model inputs'!B2432="",0,1)="",0,IF('Model inputs'!B2432="",0,1)),IF(IF('Model inputs'!B2433="",0,1)="",0,IF('Model inputs'!B2433="",0,1)),IF(IF('Model inputs'!B2434="",0,1)="",0,IF('Model inputs'!B2434="",0,1)),IF(IF('Model inputs'!B2435="",0,1)="",0,IF('Model inputs'!B2435="",0,1)),IF(IF('Model inputs'!B2436="",0,1)="",0,IF('Model inputs'!B2436="",0,1)),IF(IF('Model inputs'!B2437="",0,1)="",0,IF('Model inputs'!B2437="",0,1)),IF(IF('Model inputs'!B2438="",0,1)="",0,IF('Model inputs'!B2438="",0,1)),IF(IF('Model inputs'!B2439="",0,1)="",0,IF('Model inputs'!B2439="",0,1)),IF(IF('Model inputs'!B2440="",0,1)="",0,IF('Model inputs'!B2440="",0,1)),IF(IF('Model inputs'!B2441="",0,1)="",0,IF('Model inputs'!B2441="",0,1)),IF(IF('Model inputs'!B2442="",0,1)="",0,IF('Model inputs'!B2442="",0,1)),IF(IF('Model inputs'!B2443="",0,1)="",0,IF('Model inputs'!B2443="",0,1)),IF(IF('Model inputs'!B2444="",0,1)="",0,IF('Model inputs'!B2444="",0,1)),IF(IF('Model inputs'!B2445="",0,1)="",0,IF('Model inputs'!B2445="",0,1)),IF(IF('Model inputs'!B2446="",0,1)="",0,IF('Model inputs'!B2446="",0,1)),IF(IF('Model inputs'!B2447="",0,1)="",0,IF('Model inputs'!B2447="",0,1)),IF(IF('Model inputs'!B2448="",0,1)="",0,IF('Model inputs'!B2448="",0,1)),IF(IF('Model inputs'!B2449="",0,1)="",0,IF('Model inputs'!B2449="",0,1)),IF(IF('Model inputs'!B2450="",0,1)="",0,IF('Model inputs'!B2450="",0,1)),IF(IF('Model inputs'!B2451="",0,1)="",0,IF('Model inputs'!B2451="",0,1)),IF(IF('Model inputs'!B2452="",0,1)="",0,IF('Model inputs'!B2452="",0,1)),IF(IF('Model inputs'!B2453="",0,1)="",0,IF('Model inputs'!B2453="",0,1)),IF(IF('Model inputs'!B2454="",0,1)="",0,IF('Model inputs'!B2454="",0,1)),IF(IF('Model inputs'!B2455="",0,1)="",0,IF('Model inputs'!B2455="",0,1)),IF(IF('Model inputs'!B2456="",0,1)="",0,IF('Model inputs'!B2456="",0,1)))</f>
      </c>
    </row>
    <row r="2458">
      <c r="A2458" t="inlineStr" s="25">
        <is>
          <t xml:space="preserve">Calculation</t>
        </is>
      </c>
      <c r="B2458">
        <f>IF(IF(DATE(2026,10,1)=EDATE(DATE(2027,5,1),-'Model inputs'!AM13*1)="",FALSE,DATE(2026,10,1)=EDATE(DATE(2027,5,1),-'Model inputs'!AM13*1)),IF('Model inputs'!C85="","",'Model inputs'!C85),"")</f>
      </c>
    </row>
    <row r="2459">
      <c r="A2459" t="inlineStr" s="25">
        <is>
          <t xml:space="preserve">Calculation</t>
        </is>
      </c>
      <c r="B2459">
        <f>IF(IF(DATE(2026,11,1)=EDATE(DATE(2027,5,1),-'Model inputs'!AM13*1)="",FALSE,DATE(2026,11,1)=EDATE(DATE(2027,5,1),-'Model inputs'!AM13*1)),IF('Model inputs'!D85="","",'Model inputs'!D85),"")</f>
      </c>
    </row>
    <row r="2460">
      <c r="A2460" t="inlineStr" s="25">
        <is>
          <t xml:space="preserve">Calculation</t>
        </is>
      </c>
      <c r="B2460">
        <f>IF(IF(DATE(2026,12,1)=EDATE(DATE(2027,5,1),-'Model inputs'!AM13*1)="",FALSE,DATE(2026,12,1)=EDATE(DATE(2027,5,1),-'Model inputs'!AM13*1)),IF('Model inputs'!E85="","",'Model inputs'!E85),"")</f>
      </c>
    </row>
    <row r="2461">
      <c r="A2461" t="inlineStr" s="25">
        <is>
          <t xml:space="preserve">Calculation</t>
        </is>
      </c>
      <c r="B2461">
        <f>IF(IF(DATE(2027,1,1)=EDATE(DATE(2027,5,1),-'Model inputs'!AM13*1)="",FALSE,DATE(2027,1,1)=EDATE(DATE(2027,5,1),-'Model inputs'!AM13*1)),IF('Model inputs'!F85="","",'Model inputs'!F85),"")</f>
      </c>
    </row>
    <row r="2462">
      <c r="A2462" t="inlineStr" s="25">
        <is>
          <t xml:space="preserve">Calculation</t>
        </is>
      </c>
      <c r="B2462">
        <f>IF(IF(DATE(2027,2,1)=EDATE(DATE(2027,5,1),-'Model inputs'!AM13*1)="",FALSE,DATE(2027,2,1)=EDATE(DATE(2027,5,1),-'Model inputs'!AM13*1)),IF('Model inputs'!G85="","",'Model inputs'!G85),"")</f>
      </c>
    </row>
    <row r="2463">
      <c r="A2463" t="inlineStr" s="25">
        <is>
          <t xml:space="preserve">Calculation</t>
        </is>
      </c>
      <c r="B2463">
        <f>IF(IF(DATE(2027,3,1)=EDATE(DATE(2027,5,1),-'Model inputs'!AM13*1)="",FALSE,DATE(2027,3,1)=EDATE(DATE(2027,5,1),-'Model inputs'!AM13*1)),IF('Model inputs'!H85="","",'Model inputs'!H85),"")</f>
      </c>
    </row>
    <row r="2464">
      <c r="A2464" t="inlineStr" s="25">
        <is>
          <t xml:space="preserve">Calculation</t>
        </is>
      </c>
      <c r="B2464">
        <f>IF(IF(DATE(2027,4,1)=EDATE(DATE(2027,5,1),-'Model inputs'!AM13*1)="",FALSE,DATE(2027,4,1)=EDATE(DATE(2027,5,1),-'Model inputs'!AM13*1)),IF('Model inputs'!I85="","",'Model inputs'!I85),"")</f>
      </c>
    </row>
    <row r="2465">
      <c r="A2465" t="inlineStr" s="25">
        <is>
          <t xml:space="preserve">Calculation</t>
        </is>
      </c>
      <c r="B2465">
        <f>IF(IF(DATE(2027,5,1)=EDATE(DATE(2027,5,1),-'Model inputs'!AM13*1)="",FALSE,DATE(2027,5,1)=EDATE(DATE(2027,5,1),-'Model inputs'!AM13*1)),IF('Model inputs'!J85="","",'Model inputs'!J85),"")</f>
      </c>
    </row>
    <row r="2466">
      <c r="A2466" t="inlineStr" s="25">
        <is>
          <t xml:space="preserve">Calculation</t>
        </is>
      </c>
      <c r="B2466">
        <f>IF(IF(DATE(2027,6,1)=EDATE(DATE(2027,5,1),-'Model inputs'!AM13*1)="",FALSE,DATE(2027,6,1)=EDATE(DATE(2027,5,1),-'Model inputs'!AM13*1)),IF('Model inputs'!K85="","",'Model inputs'!K85),"")</f>
      </c>
    </row>
    <row r="2467">
      <c r="A2467" t="inlineStr" s="25">
        <is>
          <t xml:space="preserve">Calculation</t>
        </is>
      </c>
      <c r="B2467">
        <f>IF(IF(DATE(2027,7,1)=EDATE(DATE(2027,5,1),-'Model inputs'!AM13*1)="",FALSE,DATE(2027,7,1)=EDATE(DATE(2027,5,1),-'Model inputs'!AM13*1)),IF('Model inputs'!L85="","",'Model inputs'!L85),"")</f>
      </c>
    </row>
    <row r="2468">
      <c r="A2468" t="inlineStr" s="25">
        <is>
          <t xml:space="preserve">Calculation</t>
        </is>
      </c>
      <c r="B2468">
        <f>IF(IF(DATE(2027,8,1)=EDATE(DATE(2027,5,1),-'Model inputs'!AM13*1)="",FALSE,DATE(2027,8,1)=EDATE(DATE(2027,5,1),-'Model inputs'!AM13*1)),IF('Model inputs'!M85="","",'Model inputs'!M85),"")</f>
      </c>
    </row>
    <row r="2469">
      <c r="A2469" t="inlineStr" s="25">
        <is>
          <t xml:space="preserve">Calculation</t>
        </is>
      </c>
      <c r="B2469">
        <f>IF(IF(DATE(2027,9,1)=EDATE(DATE(2027,5,1),-'Model inputs'!AM13*1)="",FALSE,DATE(2027,9,1)=EDATE(DATE(2027,5,1),-'Model inputs'!AM13*1)),IF('Model inputs'!N85="","",'Model inputs'!N85),"")</f>
      </c>
    </row>
    <row r="2470">
      <c r="A2470" t="inlineStr" s="25">
        <is>
          <t xml:space="preserve">Calculation</t>
        </is>
      </c>
      <c r="B2470">
        <f>IF(IF(DATE(2027,10,1)=EDATE(DATE(2027,5,1),-'Model inputs'!AM13*1)="",FALSE,DATE(2027,10,1)=EDATE(DATE(2027,5,1),-'Model inputs'!AM13*1)),IF('Model inputs'!O85="","",'Model inputs'!O85),"")</f>
      </c>
    </row>
    <row r="2471">
      <c r="A2471" t="inlineStr" s="25">
        <is>
          <t xml:space="preserve">Calculation</t>
        </is>
      </c>
      <c r="B2471">
        <f>IF(IF(DATE(2027,11,1)=EDATE(DATE(2027,5,1),-'Model inputs'!AM13*1)="",FALSE,DATE(2027,11,1)=EDATE(DATE(2027,5,1),-'Model inputs'!AM13*1)),IF('Model inputs'!P85="","",'Model inputs'!P85),"")</f>
      </c>
    </row>
    <row r="2472">
      <c r="A2472" t="inlineStr" s="25">
        <is>
          <t xml:space="preserve">Calculation</t>
        </is>
      </c>
      <c r="B2472">
        <f>IF(IF(DATE(2027,12,1)=EDATE(DATE(2027,5,1),-'Model inputs'!AM13*1)="",FALSE,DATE(2027,12,1)=EDATE(DATE(2027,5,1),-'Model inputs'!AM13*1)),IF('Model inputs'!Q85="","",'Model inputs'!Q85),"")</f>
      </c>
    </row>
    <row r="2473">
      <c r="A2473" t="inlineStr" s="25">
        <is>
          <t xml:space="preserve">Calculation</t>
        </is>
      </c>
      <c r="B2473">
        <f>IF(IF(DATE(2028,1,1)=EDATE(DATE(2027,5,1),-'Model inputs'!AM13*1)="",FALSE,DATE(2028,1,1)=EDATE(DATE(2027,5,1),-'Model inputs'!AM13*1)),IF('Model inputs'!R85="","",'Model inputs'!R85),"")</f>
      </c>
    </row>
    <row r="2474">
      <c r="A2474" t="inlineStr" s="25">
        <is>
          <t xml:space="preserve">Calculation</t>
        </is>
      </c>
      <c r="B2474">
        <f>IF(IF(DATE(2028,2,1)=EDATE(DATE(2027,5,1),-'Model inputs'!AM13*1)="",FALSE,DATE(2028,2,1)=EDATE(DATE(2027,5,1),-'Model inputs'!AM13*1)),IF('Model inputs'!S85="","",'Model inputs'!S85),"")</f>
      </c>
    </row>
    <row r="2475">
      <c r="A2475" t="inlineStr" s="25">
        <is>
          <t xml:space="preserve">Calculation</t>
        </is>
      </c>
      <c r="B2475">
        <f>IF(IF(DATE(2028,3,1)=EDATE(DATE(2027,5,1),-'Model inputs'!AM13*1)="",FALSE,DATE(2028,3,1)=EDATE(DATE(2027,5,1),-'Model inputs'!AM13*1)),IF('Model inputs'!T85="","",'Model inputs'!T85),"")</f>
      </c>
    </row>
    <row r="2476">
      <c r="A2476" t="inlineStr" s="25">
        <is>
          <t xml:space="preserve">Calculation</t>
        </is>
      </c>
      <c r="B2476">
        <f>IF(IF(DATE(2028,4,1)=EDATE(DATE(2027,5,1),-'Model inputs'!AM13*1)="",FALSE,DATE(2028,4,1)=EDATE(DATE(2027,5,1),-'Model inputs'!AM13*1)),IF('Model inputs'!U85="","",'Model inputs'!U85),"")</f>
      </c>
    </row>
    <row r="2477">
      <c r="A2477" t="inlineStr" s="25">
        <is>
          <t xml:space="preserve">Calculation</t>
        </is>
      </c>
      <c r="B2477">
        <f>IF(IF(DATE(2028,5,1)=EDATE(DATE(2027,5,1),-'Model inputs'!AM13*1)="",FALSE,DATE(2028,5,1)=EDATE(DATE(2027,5,1),-'Model inputs'!AM13*1)),IF('Model inputs'!V85="","",'Model inputs'!V85),"")</f>
      </c>
    </row>
    <row r="2478">
      <c r="A2478" t="inlineStr" s="25">
        <is>
          <t xml:space="preserve">Calculation</t>
        </is>
      </c>
      <c r="B2478">
        <f>IF(IF(DATE(2028,6,1)=EDATE(DATE(2027,5,1),-'Model inputs'!AM13*1)="",FALSE,DATE(2028,6,1)=EDATE(DATE(2027,5,1),-'Model inputs'!AM13*1)),IF('Model inputs'!W85="","",'Model inputs'!W85),"")</f>
      </c>
    </row>
    <row r="2479">
      <c r="A2479" t="inlineStr" s="25">
        <is>
          <t xml:space="preserve">Calculation</t>
        </is>
      </c>
      <c r="B2479">
        <f>IF(IF(DATE(2028,7,1)=EDATE(DATE(2027,5,1),-'Model inputs'!AM13*1)="",FALSE,DATE(2028,7,1)=EDATE(DATE(2027,5,1),-'Model inputs'!AM13*1)),IF('Model inputs'!X85="","",'Model inputs'!X85),"")</f>
      </c>
    </row>
    <row r="2480">
      <c r="A2480" t="inlineStr" s="25">
        <is>
          <t xml:space="preserve">Calculation</t>
        </is>
      </c>
      <c r="B2480">
        <f>IF(IF(DATE(2028,8,1)=EDATE(DATE(2027,5,1),-'Model inputs'!AM13*1)="",FALSE,DATE(2028,8,1)=EDATE(DATE(2027,5,1),-'Model inputs'!AM13*1)),IF('Model inputs'!Y85="","",'Model inputs'!Y85),"")</f>
      </c>
    </row>
    <row r="2481">
      <c r="A2481" t="inlineStr" s="25">
        <is>
          <t xml:space="preserve">Calculation</t>
        </is>
      </c>
      <c r="B2481">
        <f>IF(IF(DATE(2028,9,1)=EDATE(DATE(2027,5,1),-'Model inputs'!AM13*1)="",FALSE,DATE(2028,9,1)=EDATE(DATE(2027,5,1),-'Model inputs'!AM13*1)),IF('Model inputs'!Z85="","",'Model inputs'!Z85),"")</f>
      </c>
    </row>
    <row r="2482">
      <c r="A2482" t="inlineStr" s="25">
        <is>
          <t xml:space="preserve">Calculation</t>
        </is>
      </c>
      <c r="B2482">
        <f>IF(IF(DATE(2028,10,1)=EDATE(DATE(2027,5,1),-'Model inputs'!AM13*1)="",FALSE,DATE(2028,10,1)=EDATE(DATE(2027,5,1),-'Model inputs'!AM13*1)),IF('Model inputs'!AA85="","",'Model inputs'!AA85),"")</f>
      </c>
    </row>
    <row r="2483">
      <c r="A2483" t="inlineStr" s="25">
        <is>
          <t xml:space="preserve">Calculation</t>
        </is>
      </c>
      <c r="B2483">
        <f>IF(IF(DATE(2028,11,1)=EDATE(DATE(2027,5,1),-'Model inputs'!AM13*1)="",FALSE,DATE(2028,11,1)=EDATE(DATE(2027,5,1),-'Model inputs'!AM13*1)),IF('Model inputs'!AB85="","",'Model inputs'!AB85),"")</f>
      </c>
    </row>
    <row r="2484">
      <c r="A2484" t="inlineStr" s="25">
        <is>
          <t xml:space="preserve">Calculation</t>
        </is>
      </c>
      <c r="B2484">
        <f>IF(IF(DATE(2028,12,1)=EDATE(DATE(2027,5,1),-'Model inputs'!AM13*1)="",FALSE,DATE(2028,12,1)=EDATE(DATE(2027,5,1),-'Model inputs'!AM13*1)),IF('Model inputs'!AC85="","",'Model inputs'!AC85),"")</f>
      </c>
    </row>
    <row r="2485">
      <c r="A2485" t="inlineStr" s="25">
        <is>
          <t xml:space="preserve">Calculation</t>
        </is>
      </c>
      <c r="B2485">
        <f>IF(IF(DATE(2029,1,1)=EDATE(DATE(2027,5,1),-'Model inputs'!AM13*1)="",FALSE,DATE(2029,1,1)=EDATE(DATE(2027,5,1),-'Model inputs'!AM13*1)),IF('Model inputs'!AD85="","",'Model inputs'!AD85),"")</f>
      </c>
    </row>
    <row r="2486">
      <c r="A2486" t="inlineStr" s="25">
        <is>
          <t xml:space="preserve">Calculation</t>
        </is>
      </c>
      <c r="B2486">
        <f>IF(IF(DATE(2029,2,1)=EDATE(DATE(2027,5,1),-'Model inputs'!AM13*1)="",FALSE,DATE(2029,2,1)=EDATE(DATE(2027,5,1),-'Model inputs'!AM13*1)),IF('Model inputs'!AE85="","",'Model inputs'!AE85),"")</f>
      </c>
    </row>
    <row r="2487">
      <c r="A2487" t="inlineStr" s="25">
        <is>
          <t xml:space="preserve">Calculation</t>
        </is>
      </c>
      <c r="B2487">
        <f>IF(IF(DATE(2029,3,1)=EDATE(DATE(2027,5,1),-'Model inputs'!AM13*1)="",FALSE,DATE(2029,3,1)=EDATE(DATE(2027,5,1),-'Model inputs'!AM13*1)),IF('Model inputs'!AF85="","",'Model inputs'!AF85),"")</f>
      </c>
    </row>
    <row r="2488">
      <c r="A2488" t="inlineStr" s="25">
        <is>
          <t xml:space="preserve">Calculation</t>
        </is>
      </c>
      <c r="B2488">
        <f>IF(IF(DATE(2029,4,1)=EDATE(DATE(2027,5,1),-'Model inputs'!AM13*1)="",FALSE,DATE(2029,4,1)=EDATE(DATE(2027,5,1),-'Model inputs'!AM13*1)),IF('Model inputs'!AG85="","",'Model inputs'!AG85),"")</f>
      </c>
    </row>
    <row r="2489">
      <c r="A2489" t="inlineStr" s="25">
        <is>
          <t xml:space="preserve">Calculation</t>
        </is>
      </c>
      <c r="B2489">
        <f>IF(IF(DATE(2029,5,1)=EDATE(DATE(2027,5,1),-'Model inputs'!AM13*1)="",FALSE,DATE(2029,5,1)=EDATE(DATE(2027,5,1),-'Model inputs'!AM13*1)),IF('Model inputs'!AH85="","",'Model inputs'!AH85),"")</f>
      </c>
    </row>
    <row r="2490">
      <c r="A2490" t="inlineStr" s="25">
        <is>
          <t xml:space="preserve">Calculation</t>
        </is>
      </c>
      <c r="B2490">
        <f>IF(IF(DATE(2029,6,1)=EDATE(DATE(2027,5,1),-'Model inputs'!AM13*1)="",FALSE,DATE(2029,6,1)=EDATE(DATE(2027,5,1),-'Model inputs'!AM13*1)),IF('Model inputs'!AI85="","",'Model inputs'!AI85),"")</f>
      </c>
    </row>
    <row r="2491">
      <c r="A2491" t="inlineStr" s="25">
        <is>
          <t xml:space="preserve">Calculation</t>
        </is>
      </c>
      <c r="B2491">
        <f>IF(IF(DATE(2029,7,1)=EDATE(DATE(2027,5,1),-'Model inputs'!AM13*1)="",FALSE,DATE(2029,7,1)=EDATE(DATE(2027,5,1),-'Model inputs'!AM13*1)),IF('Model inputs'!AJ85="","",'Model inputs'!AJ85),"")</f>
      </c>
    </row>
    <row r="2492">
      <c r="A2492" t="inlineStr" s="25">
        <is>
          <t xml:space="preserve">Calculation</t>
        </is>
      </c>
      <c r="B2492">
        <f>IF(IF(DATE(2029,8,1)=EDATE(DATE(2027,5,1),-'Model inputs'!AM13*1)="",FALSE,DATE(2029,8,1)=EDATE(DATE(2027,5,1),-'Model inputs'!AM13*1)),IF('Model inputs'!AK85="","",'Model inputs'!AK85),"")</f>
      </c>
    </row>
    <row r="2493">
      <c r="A2493" t="inlineStr" s="25">
        <is>
          <t xml:space="preserve">Calculation</t>
        </is>
      </c>
      <c r="B2493">
        <f>IF(IF(DATE(2029,9,1)=EDATE(DATE(2027,5,1),-'Model inputs'!AM13*1)="",FALSE,DATE(2029,9,1)=EDATE(DATE(2027,5,1),-'Model inputs'!AM13*1)),IF('Model inputs'!AL85="","",'Model inputs'!AL85),"")</f>
      </c>
    </row>
    <row r="2494">
      <c r="A2494" t="inlineStr" s="25">
        <is>
          <t xml:space="preserve">Calculation</t>
        </is>
      </c>
      <c r="B2494">
        <f>SUM(IF(IF('Model inputs'!B1097="",0,1)="",0,IF('Model inputs'!B1097="",0,1)),IF(IF('Model inputs'!B2458="",0,1)="",0,IF('Model inputs'!B2458="",0,1)),IF(IF('Model inputs'!B2459="",0,1)="",0,IF('Model inputs'!B2459="",0,1)),IF(IF('Model inputs'!B2460="",0,1)="",0,IF('Model inputs'!B2460="",0,1)),IF(IF('Model inputs'!B2461="",0,1)="",0,IF('Model inputs'!B2461="",0,1)),IF(IF('Model inputs'!B2462="",0,1)="",0,IF('Model inputs'!B2462="",0,1)),IF(IF('Model inputs'!B2463="",0,1)="",0,IF('Model inputs'!B2463="",0,1)),IF(IF('Model inputs'!B2464="",0,1)="",0,IF('Model inputs'!B2464="",0,1)),IF(IF('Model inputs'!B2465="",0,1)="",0,IF('Model inputs'!B2465="",0,1)),IF(IF('Model inputs'!B2466="",0,1)="",0,IF('Model inputs'!B2466="",0,1)),IF(IF('Model inputs'!B2467="",0,1)="",0,IF('Model inputs'!B2467="",0,1)),IF(IF('Model inputs'!B2468="",0,1)="",0,IF('Model inputs'!B2468="",0,1)),IF(IF('Model inputs'!B2469="",0,1)="",0,IF('Model inputs'!B2469="",0,1)),IF(IF('Model inputs'!B2470="",0,1)="",0,IF('Model inputs'!B2470="",0,1)),IF(IF('Model inputs'!B2471="",0,1)="",0,IF('Model inputs'!B2471="",0,1)),IF(IF('Model inputs'!B2472="",0,1)="",0,IF('Model inputs'!B2472="",0,1)),IF(IF('Model inputs'!B2473="",0,1)="",0,IF('Model inputs'!B2473="",0,1)),IF(IF('Model inputs'!B2474="",0,1)="",0,IF('Model inputs'!B2474="",0,1)),IF(IF('Model inputs'!B2475="",0,1)="",0,IF('Model inputs'!B2475="",0,1)),IF(IF('Model inputs'!B2476="",0,1)="",0,IF('Model inputs'!B2476="",0,1)),IF(IF('Model inputs'!B2477="",0,1)="",0,IF('Model inputs'!B2477="",0,1)),IF(IF('Model inputs'!B2478="",0,1)="",0,IF('Model inputs'!B2478="",0,1)),IF(IF('Model inputs'!B2479="",0,1)="",0,IF('Model inputs'!B2479="",0,1)),IF(IF('Model inputs'!B2480="",0,1)="",0,IF('Model inputs'!B2480="",0,1)),IF(IF('Model inputs'!B2481="",0,1)="",0,IF('Model inputs'!B2481="",0,1)),IF(IF('Model inputs'!B2482="",0,1)="",0,IF('Model inputs'!B2482="",0,1)),IF(IF('Model inputs'!B2483="",0,1)="",0,IF('Model inputs'!B2483="",0,1)),IF(IF('Model inputs'!B2484="",0,1)="",0,IF('Model inputs'!B2484="",0,1)),IF(IF('Model inputs'!B2485="",0,1)="",0,IF('Model inputs'!B2485="",0,1)),IF(IF('Model inputs'!B2486="",0,1)="",0,IF('Model inputs'!B2486="",0,1)),IF(IF('Model inputs'!B2487="",0,1)="",0,IF('Model inputs'!B2487="",0,1)),IF(IF('Model inputs'!B2488="",0,1)="",0,IF('Model inputs'!B2488="",0,1)),IF(IF('Model inputs'!B2489="",0,1)="",0,IF('Model inputs'!B2489="",0,1)),IF(IF('Model inputs'!B2490="",0,1)="",0,IF('Model inputs'!B2490="",0,1)),IF(IF('Model inputs'!B2491="",0,1)="",0,IF('Model inputs'!B2491="",0,1)),IF(IF('Model inputs'!B2492="",0,1)="",0,IF('Model inputs'!B2492="",0,1)),IF(IF('Model inputs'!B2493="",0,1)="",0,IF('Model inputs'!B2493="",0,1)))</f>
      </c>
    </row>
    <row r="2495">
      <c r="A2495" t="inlineStr" s="25">
        <is>
          <t xml:space="preserve">Calculation</t>
        </is>
      </c>
      <c r="B2495">
        <f>IF(IF(DATE(2026,10,1)=EDATE(DATE(2027,6,1),-'Model inputs'!AM13*1)="",FALSE,DATE(2026,10,1)=EDATE(DATE(2027,6,1),-'Model inputs'!AM13*1)),IF('Model inputs'!C85="","",'Model inputs'!C85),"")</f>
      </c>
    </row>
    <row r="2496">
      <c r="A2496" t="inlineStr" s="25">
        <is>
          <t xml:space="preserve">Calculation</t>
        </is>
      </c>
      <c r="B2496">
        <f>IF(IF(DATE(2026,11,1)=EDATE(DATE(2027,6,1),-'Model inputs'!AM13*1)="",FALSE,DATE(2026,11,1)=EDATE(DATE(2027,6,1),-'Model inputs'!AM13*1)),IF('Model inputs'!D85="","",'Model inputs'!D85),"")</f>
      </c>
    </row>
    <row r="2497">
      <c r="A2497" t="inlineStr" s="25">
        <is>
          <t xml:space="preserve">Calculation</t>
        </is>
      </c>
      <c r="B2497">
        <f>IF(IF(DATE(2026,12,1)=EDATE(DATE(2027,6,1),-'Model inputs'!AM13*1)="",FALSE,DATE(2026,12,1)=EDATE(DATE(2027,6,1),-'Model inputs'!AM13*1)),IF('Model inputs'!E85="","",'Model inputs'!E85),"")</f>
      </c>
    </row>
    <row r="2498">
      <c r="A2498" t="inlineStr" s="25">
        <is>
          <t xml:space="preserve">Calculation</t>
        </is>
      </c>
      <c r="B2498">
        <f>IF(IF(DATE(2027,1,1)=EDATE(DATE(2027,6,1),-'Model inputs'!AM13*1)="",FALSE,DATE(2027,1,1)=EDATE(DATE(2027,6,1),-'Model inputs'!AM13*1)),IF('Model inputs'!F85="","",'Model inputs'!F85),"")</f>
      </c>
    </row>
    <row r="2499">
      <c r="A2499" t="inlineStr" s="25">
        <is>
          <t xml:space="preserve">Calculation</t>
        </is>
      </c>
      <c r="B2499">
        <f>IF(IF(DATE(2027,2,1)=EDATE(DATE(2027,6,1),-'Model inputs'!AM13*1)="",FALSE,DATE(2027,2,1)=EDATE(DATE(2027,6,1),-'Model inputs'!AM13*1)),IF('Model inputs'!G85="","",'Model inputs'!G85),"")</f>
      </c>
    </row>
    <row r="2500">
      <c r="A2500" t="inlineStr" s="25">
        <is>
          <t xml:space="preserve">Calculation</t>
        </is>
      </c>
      <c r="B2500">
        <f>IF(IF(DATE(2027,3,1)=EDATE(DATE(2027,6,1),-'Model inputs'!AM13*1)="",FALSE,DATE(2027,3,1)=EDATE(DATE(2027,6,1),-'Model inputs'!AM13*1)),IF('Model inputs'!H85="","",'Model inputs'!H85),"")</f>
      </c>
    </row>
    <row r="2501">
      <c r="A2501" t="inlineStr" s="25">
        <is>
          <t xml:space="preserve">Calculation</t>
        </is>
      </c>
      <c r="B2501">
        <f>IF(IF(DATE(2027,4,1)=EDATE(DATE(2027,6,1),-'Model inputs'!AM13*1)="",FALSE,DATE(2027,4,1)=EDATE(DATE(2027,6,1),-'Model inputs'!AM13*1)),IF('Model inputs'!I85="","",'Model inputs'!I85),"")</f>
      </c>
    </row>
    <row r="2502">
      <c r="A2502" t="inlineStr" s="25">
        <is>
          <t xml:space="preserve">Calculation</t>
        </is>
      </c>
      <c r="B2502">
        <f>IF(IF(DATE(2027,5,1)=EDATE(DATE(2027,6,1),-'Model inputs'!AM13*1)="",FALSE,DATE(2027,5,1)=EDATE(DATE(2027,6,1),-'Model inputs'!AM13*1)),IF('Model inputs'!J85="","",'Model inputs'!J85),"")</f>
      </c>
    </row>
    <row r="2503">
      <c r="A2503" t="inlineStr" s="25">
        <is>
          <t xml:space="preserve">Calculation</t>
        </is>
      </c>
      <c r="B2503">
        <f>IF(IF(DATE(2027,6,1)=EDATE(DATE(2027,6,1),-'Model inputs'!AM13*1)="",FALSE,DATE(2027,6,1)=EDATE(DATE(2027,6,1),-'Model inputs'!AM13*1)),IF('Model inputs'!K85="","",'Model inputs'!K85),"")</f>
      </c>
    </row>
    <row r="2504">
      <c r="A2504" t="inlineStr" s="25">
        <is>
          <t xml:space="preserve">Calculation</t>
        </is>
      </c>
      <c r="B2504">
        <f>IF(IF(DATE(2027,7,1)=EDATE(DATE(2027,6,1),-'Model inputs'!AM13*1)="",FALSE,DATE(2027,7,1)=EDATE(DATE(2027,6,1),-'Model inputs'!AM13*1)),IF('Model inputs'!L85="","",'Model inputs'!L85),"")</f>
      </c>
    </row>
    <row r="2505">
      <c r="A2505" t="inlineStr" s="25">
        <is>
          <t xml:space="preserve">Calculation</t>
        </is>
      </c>
      <c r="B2505">
        <f>IF(IF(DATE(2027,8,1)=EDATE(DATE(2027,6,1),-'Model inputs'!AM13*1)="",FALSE,DATE(2027,8,1)=EDATE(DATE(2027,6,1),-'Model inputs'!AM13*1)),IF('Model inputs'!M85="","",'Model inputs'!M85),"")</f>
      </c>
    </row>
    <row r="2506">
      <c r="A2506" t="inlineStr" s="25">
        <is>
          <t xml:space="preserve">Calculation</t>
        </is>
      </c>
      <c r="B2506">
        <f>IF(IF(DATE(2027,9,1)=EDATE(DATE(2027,6,1),-'Model inputs'!AM13*1)="",FALSE,DATE(2027,9,1)=EDATE(DATE(2027,6,1),-'Model inputs'!AM13*1)),IF('Model inputs'!N85="","",'Model inputs'!N85),"")</f>
      </c>
    </row>
    <row r="2507">
      <c r="A2507" t="inlineStr" s="25">
        <is>
          <t xml:space="preserve">Calculation</t>
        </is>
      </c>
      <c r="B2507">
        <f>IF(IF(DATE(2027,10,1)=EDATE(DATE(2027,6,1),-'Model inputs'!AM13*1)="",FALSE,DATE(2027,10,1)=EDATE(DATE(2027,6,1),-'Model inputs'!AM13*1)),IF('Model inputs'!O85="","",'Model inputs'!O85),"")</f>
      </c>
    </row>
    <row r="2508">
      <c r="A2508" t="inlineStr" s="25">
        <is>
          <t xml:space="preserve">Calculation</t>
        </is>
      </c>
      <c r="B2508">
        <f>IF(IF(DATE(2027,11,1)=EDATE(DATE(2027,6,1),-'Model inputs'!AM13*1)="",FALSE,DATE(2027,11,1)=EDATE(DATE(2027,6,1),-'Model inputs'!AM13*1)),IF('Model inputs'!P85="","",'Model inputs'!P85),"")</f>
      </c>
    </row>
    <row r="2509">
      <c r="A2509" t="inlineStr" s="25">
        <is>
          <t xml:space="preserve">Calculation</t>
        </is>
      </c>
      <c r="B2509">
        <f>IF(IF(DATE(2027,12,1)=EDATE(DATE(2027,6,1),-'Model inputs'!AM13*1)="",FALSE,DATE(2027,12,1)=EDATE(DATE(2027,6,1),-'Model inputs'!AM13*1)),IF('Model inputs'!Q85="","",'Model inputs'!Q85),"")</f>
      </c>
    </row>
    <row r="2510">
      <c r="A2510" t="inlineStr" s="25">
        <is>
          <t xml:space="preserve">Calculation</t>
        </is>
      </c>
      <c r="B2510">
        <f>IF(IF(DATE(2028,1,1)=EDATE(DATE(2027,6,1),-'Model inputs'!AM13*1)="",FALSE,DATE(2028,1,1)=EDATE(DATE(2027,6,1),-'Model inputs'!AM13*1)),IF('Model inputs'!R85="","",'Model inputs'!R85),"")</f>
      </c>
    </row>
    <row r="2511">
      <c r="A2511" t="inlineStr" s="25">
        <is>
          <t xml:space="preserve">Calculation</t>
        </is>
      </c>
      <c r="B2511">
        <f>IF(IF(DATE(2028,2,1)=EDATE(DATE(2027,6,1),-'Model inputs'!AM13*1)="",FALSE,DATE(2028,2,1)=EDATE(DATE(2027,6,1),-'Model inputs'!AM13*1)),IF('Model inputs'!S85="","",'Model inputs'!S85),"")</f>
      </c>
    </row>
    <row r="2512">
      <c r="A2512" t="inlineStr" s="25">
        <is>
          <t xml:space="preserve">Calculation</t>
        </is>
      </c>
      <c r="B2512">
        <f>IF(IF(DATE(2028,3,1)=EDATE(DATE(2027,6,1),-'Model inputs'!AM13*1)="",FALSE,DATE(2028,3,1)=EDATE(DATE(2027,6,1),-'Model inputs'!AM13*1)),IF('Model inputs'!T85="","",'Model inputs'!T85),"")</f>
      </c>
    </row>
    <row r="2513">
      <c r="A2513" t="inlineStr" s="25">
        <is>
          <t xml:space="preserve">Calculation</t>
        </is>
      </c>
      <c r="B2513">
        <f>IF(IF(DATE(2028,4,1)=EDATE(DATE(2027,6,1),-'Model inputs'!AM13*1)="",FALSE,DATE(2028,4,1)=EDATE(DATE(2027,6,1),-'Model inputs'!AM13*1)),IF('Model inputs'!U85="","",'Model inputs'!U85),"")</f>
      </c>
    </row>
    <row r="2514">
      <c r="A2514" t="inlineStr" s="25">
        <is>
          <t xml:space="preserve">Calculation</t>
        </is>
      </c>
      <c r="B2514">
        <f>IF(IF(DATE(2028,5,1)=EDATE(DATE(2027,6,1),-'Model inputs'!AM13*1)="",FALSE,DATE(2028,5,1)=EDATE(DATE(2027,6,1),-'Model inputs'!AM13*1)),IF('Model inputs'!V85="","",'Model inputs'!V85),"")</f>
      </c>
    </row>
    <row r="2515">
      <c r="A2515" t="inlineStr" s="25">
        <is>
          <t xml:space="preserve">Calculation</t>
        </is>
      </c>
      <c r="B2515">
        <f>IF(IF(DATE(2028,6,1)=EDATE(DATE(2027,6,1),-'Model inputs'!AM13*1)="",FALSE,DATE(2028,6,1)=EDATE(DATE(2027,6,1),-'Model inputs'!AM13*1)),IF('Model inputs'!W85="","",'Model inputs'!W85),"")</f>
      </c>
    </row>
    <row r="2516">
      <c r="A2516" t="inlineStr" s="25">
        <is>
          <t xml:space="preserve">Calculation</t>
        </is>
      </c>
      <c r="B2516">
        <f>IF(IF(DATE(2028,7,1)=EDATE(DATE(2027,6,1),-'Model inputs'!AM13*1)="",FALSE,DATE(2028,7,1)=EDATE(DATE(2027,6,1),-'Model inputs'!AM13*1)),IF('Model inputs'!X85="","",'Model inputs'!X85),"")</f>
      </c>
    </row>
    <row r="2517">
      <c r="A2517" t="inlineStr" s="25">
        <is>
          <t xml:space="preserve">Calculation</t>
        </is>
      </c>
      <c r="B2517">
        <f>IF(IF(DATE(2028,8,1)=EDATE(DATE(2027,6,1),-'Model inputs'!AM13*1)="",FALSE,DATE(2028,8,1)=EDATE(DATE(2027,6,1),-'Model inputs'!AM13*1)),IF('Model inputs'!Y85="","",'Model inputs'!Y85),"")</f>
      </c>
    </row>
    <row r="2518">
      <c r="A2518" t="inlineStr" s="25">
        <is>
          <t xml:space="preserve">Calculation</t>
        </is>
      </c>
      <c r="B2518">
        <f>IF(IF(DATE(2028,9,1)=EDATE(DATE(2027,6,1),-'Model inputs'!AM13*1)="",FALSE,DATE(2028,9,1)=EDATE(DATE(2027,6,1),-'Model inputs'!AM13*1)),IF('Model inputs'!Z85="","",'Model inputs'!Z85),"")</f>
      </c>
    </row>
    <row r="2519">
      <c r="A2519" t="inlineStr" s="25">
        <is>
          <t xml:space="preserve">Calculation</t>
        </is>
      </c>
      <c r="B2519">
        <f>IF(IF(DATE(2028,10,1)=EDATE(DATE(2027,6,1),-'Model inputs'!AM13*1)="",FALSE,DATE(2028,10,1)=EDATE(DATE(2027,6,1),-'Model inputs'!AM13*1)),IF('Model inputs'!AA85="","",'Model inputs'!AA85),"")</f>
      </c>
    </row>
    <row r="2520">
      <c r="A2520" t="inlineStr" s="25">
        <is>
          <t xml:space="preserve">Calculation</t>
        </is>
      </c>
      <c r="B2520">
        <f>IF(IF(DATE(2028,11,1)=EDATE(DATE(2027,6,1),-'Model inputs'!AM13*1)="",FALSE,DATE(2028,11,1)=EDATE(DATE(2027,6,1),-'Model inputs'!AM13*1)),IF('Model inputs'!AB85="","",'Model inputs'!AB85),"")</f>
      </c>
    </row>
    <row r="2521">
      <c r="A2521" t="inlineStr" s="25">
        <is>
          <t xml:space="preserve">Calculation</t>
        </is>
      </c>
      <c r="B2521">
        <f>IF(IF(DATE(2028,12,1)=EDATE(DATE(2027,6,1),-'Model inputs'!AM13*1)="",FALSE,DATE(2028,12,1)=EDATE(DATE(2027,6,1),-'Model inputs'!AM13*1)),IF('Model inputs'!AC85="","",'Model inputs'!AC85),"")</f>
      </c>
    </row>
    <row r="2522">
      <c r="A2522" t="inlineStr" s="25">
        <is>
          <t xml:space="preserve">Calculation</t>
        </is>
      </c>
      <c r="B2522">
        <f>IF(IF(DATE(2029,1,1)=EDATE(DATE(2027,6,1),-'Model inputs'!AM13*1)="",FALSE,DATE(2029,1,1)=EDATE(DATE(2027,6,1),-'Model inputs'!AM13*1)),IF('Model inputs'!AD85="","",'Model inputs'!AD85),"")</f>
      </c>
    </row>
    <row r="2523">
      <c r="A2523" t="inlineStr" s="25">
        <is>
          <t xml:space="preserve">Calculation</t>
        </is>
      </c>
      <c r="B2523">
        <f>IF(IF(DATE(2029,2,1)=EDATE(DATE(2027,6,1),-'Model inputs'!AM13*1)="",FALSE,DATE(2029,2,1)=EDATE(DATE(2027,6,1),-'Model inputs'!AM13*1)),IF('Model inputs'!AE85="","",'Model inputs'!AE85),"")</f>
      </c>
    </row>
    <row r="2524">
      <c r="A2524" t="inlineStr" s="25">
        <is>
          <t xml:space="preserve">Calculation</t>
        </is>
      </c>
      <c r="B2524">
        <f>IF(IF(DATE(2029,3,1)=EDATE(DATE(2027,6,1),-'Model inputs'!AM13*1)="",FALSE,DATE(2029,3,1)=EDATE(DATE(2027,6,1),-'Model inputs'!AM13*1)),IF('Model inputs'!AF85="","",'Model inputs'!AF85),"")</f>
      </c>
    </row>
    <row r="2525">
      <c r="A2525" t="inlineStr" s="25">
        <is>
          <t xml:space="preserve">Calculation</t>
        </is>
      </c>
      <c r="B2525">
        <f>IF(IF(DATE(2029,4,1)=EDATE(DATE(2027,6,1),-'Model inputs'!AM13*1)="",FALSE,DATE(2029,4,1)=EDATE(DATE(2027,6,1),-'Model inputs'!AM13*1)),IF('Model inputs'!AG85="","",'Model inputs'!AG85),"")</f>
      </c>
    </row>
    <row r="2526">
      <c r="A2526" t="inlineStr" s="25">
        <is>
          <t xml:space="preserve">Calculation</t>
        </is>
      </c>
      <c r="B2526">
        <f>IF(IF(DATE(2029,5,1)=EDATE(DATE(2027,6,1),-'Model inputs'!AM13*1)="",FALSE,DATE(2029,5,1)=EDATE(DATE(2027,6,1),-'Model inputs'!AM13*1)),IF('Model inputs'!AH85="","",'Model inputs'!AH85),"")</f>
      </c>
    </row>
    <row r="2527">
      <c r="A2527" t="inlineStr" s="25">
        <is>
          <t xml:space="preserve">Calculation</t>
        </is>
      </c>
      <c r="B2527">
        <f>IF(IF(DATE(2029,6,1)=EDATE(DATE(2027,6,1),-'Model inputs'!AM13*1)="",FALSE,DATE(2029,6,1)=EDATE(DATE(2027,6,1),-'Model inputs'!AM13*1)),IF('Model inputs'!AI85="","",'Model inputs'!AI85),"")</f>
      </c>
    </row>
    <row r="2528">
      <c r="A2528" t="inlineStr" s="25">
        <is>
          <t xml:space="preserve">Calculation</t>
        </is>
      </c>
      <c r="B2528">
        <f>IF(IF(DATE(2029,7,1)=EDATE(DATE(2027,6,1),-'Model inputs'!AM13*1)="",FALSE,DATE(2029,7,1)=EDATE(DATE(2027,6,1),-'Model inputs'!AM13*1)),IF('Model inputs'!AJ85="","",'Model inputs'!AJ85),"")</f>
      </c>
    </row>
    <row r="2529">
      <c r="A2529" t="inlineStr" s="25">
        <is>
          <t xml:space="preserve">Calculation</t>
        </is>
      </c>
      <c r="B2529">
        <f>IF(IF(DATE(2029,8,1)=EDATE(DATE(2027,6,1),-'Model inputs'!AM13*1)="",FALSE,DATE(2029,8,1)=EDATE(DATE(2027,6,1),-'Model inputs'!AM13*1)),IF('Model inputs'!AK85="","",'Model inputs'!AK85),"")</f>
      </c>
    </row>
    <row r="2530">
      <c r="A2530" t="inlineStr" s="25">
        <is>
          <t xml:space="preserve">Calculation</t>
        </is>
      </c>
      <c r="B2530">
        <f>IF(IF(DATE(2029,9,1)=EDATE(DATE(2027,6,1),-'Model inputs'!AM13*1)="",FALSE,DATE(2029,9,1)=EDATE(DATE(2027,6,1),-'Model inputs'!AM13*1)),IF('Model inputs'!AL85="","",'Model inputs'!AL85),"")</f>
      </c>
    </row>
    <row r="2531">
      <c r="A2531" t="inlineStr" s="25">
        <is>
          <t xml:space="preserve">Calculation</t>
        </is>
      </c>
      <c r="B2531">
        <f>SUM(IF(IF('Model inputs'!B1135="",0,1)="",0,IF('Model inputs'!B1135="",0,1)),IF(IF('Model inputs'!B2495="",0,1)="",0,IF('Model inputs'!B2495="",0,1)),IF(IF('Model inputs'!B2496="",0,1)="",0,IF('Model inputs'!B2496="",0,1)),IF(IF('Model inputs'!B2497="",0,1)="",0,IF('Model inputs'!B2497="",0,1)),IF(IF('Model inputs'!B2498="",0,1)="",0,IF('Model inputs'!B2498="",0,1)),IF(IF('Model inputs'!B2499="",0,1)="",0,IF('Model inputs'!B2499="",0,1)),IF(IF('Model inputs'!B2500="",0,1)="",0,IF('Model inputs'!B2500="",0,1)),IF(IF('Model inputs'!B2501="",0,1)="",0,IF('Model inputs'!B2501="",0,1)),IF(IF('Model inputs'!B2502="",0,1)="",0,IF('Model inputs'!B2502="",0,1)),IF(IF('Model inputs'!B2503="",0,1)="",0,IF('Model inputs'!B2503="",0,1)),IF(IF('Model inputs'!B2504="",0,1)="",0,IF('Model inputs'!B2504="",0,1)),IF(IF('Model inputs'!B2505="",0,1)="",0,IF('Model inputs'!B2505="",0,1)),IF(IF('Model inputs'!B2506="",0,1)="",0,IF('Model inputs'!B2506="",0,1)),IF(IF('Model inputs'!B2507="",0,1)="",0,IF('Model inputs'!B2507="",0,1)),IF(IF('Model inputs'!B2508="",0,1)="",0,IF('Model inputs'!B2508="",0,1)),IF(IF('Model inputs'!B2509="",0,1)="",0,IF('Model inputs'!B2509="",0,1)),IF(IF('Model inputs'!B2510="",0,1)="",0,IF('Model inputs'!B2510="",0,1)),IF(IF('Model inputs'!B2511="",0,1)="",0,IF('Model inputs'!B2511="",0,1)),IF(IF('Model inputs'!B2512="",0,1)="",0,IF('Model inputs'!B2512="",0,1)),IF(IF('Model inputs'!B2513="",0,1)="",0,IF('Model inputs'!B2513="",0,1)),IF(IF('Model inputs'!B2514="",0,1)="",0,IF('Model inputs'!B2514="",0,1)),IF(IF('Model inputs'!B2515="",0,1)="",0,IF('Model inputs'!B2515="",0,1)),IF(IF('Model inputs'!B2516="",0,1)="",0,IF('Model inputs'!B2516="",0,1)),IF(IF('Model inputs'!B2517="",0,1)="",0,IF('Model inputs'!B2517="",0,1)),IF(IF('Model inputs'!B2518="",0,1)="",0,IF('Model inputs'!B2518="",0,1)),IF(IF('Model inputs'!B2519="",0,1)="",0,IF('Model inputs'!B2519="",0,1)),IF(IF('Model inputs'!B2520="",0,1)="",0,IF('Model inputs'!B2520="",0,1)),IF(IF('Model inputs'!B2521="",0,1)="",0,IF('Model inputs'!B2521="",0,1)),IF(IF('Model inputs'!B2522="",0,1)="",0,IF('Model inputs'!B2522="",0,1)),IF(IF('Model inputs'!B2523="",0,1)="",0,IF('Model inputs'!B2523="",0,1)),IF(IF('Model inputs'!B2524="",0,1)="",0,IF('Model inputs'!B2524="",0,1)),IF(IF('Model inputs'!B2525="",0,1)="",0,IF('Model inputs'!B2525="",0,1)),IF(IF('Model inputs'!B2526="",0,1)="",0,IF('Model inputs'!B2526="",0,1)),IF(IF('Model inputs'!B2527="",0,1)="",0,IF('Model inputs'!B2527="",0,1)),IF(IF('Model inputs'!B2528="",0,1)="",0,IF('Model inputs'!B2528="",0,1)),IF(IF('Model inputs'!B2529="",0,1)="",0,IF('Model inputs'!B2529="",0,1)),IF(IF('Model inputs'!B2530="",0,1)="",0,IF('Model inputs'!B2530="",0,1)))</f>
      </c>
    </row>
    <row r="2532">
      <c r="A2532" t="inlineStr" s="25">
        <is>
          <t xml:space="preserve">Calculation</t>
        </is>
      </c>
      <c r="B2532">
        <f>IF(IF(DATE(2026,10,1)=EDATE(DATE(2027,7,1),-'Model inputs'!AM13*1)="",FALSE,DATE(2026,10,1)=EDATE(DATE(2027,7,1),-'Model inputs'!AM13*1)),IF('Model inputs'!C85="","",'Model inputs'!C85),"")</f>
      </c>
    </row>
    <row r="2533">
      <c r="A2533" t="inlineStr" s="25">
        <is>
          <t xml:space="preserve">Calculation</t>
        </is>
      </c>
      <c r="B2533">
        <f>IF(IF(DATE(2026,11,1)=EDATE(DATE(2027,7,1),-'Model inputs'!AM13*1)="",FALSE,DATE(2026,11,1)=EDATE(DATE(2027,7,1),-'Model inputs'!AM13*1)),IF('Model inputs'!D85="","",'Model inputs'!D85),"")</f>
      </c>
    </row>
    <row r="2534">
      <c r="A2534" t="inlineStr" s="25">
        <is>
          <t xml:space="preserve">Calculation</t>
        </is>
      </c>
      <c r="B2534">
        <f>IF(IF(DATE(2026,12,1)=EDATE(DATE(2027,7,1),-'Model inputs'!AM13*1)="",FALSE,DATE(2026,12,1)=EDATE(DATE(2027,7,1),-'Model inputs'!AM13*1)),IF('Model inputs'!E85="","",'Model inputs'!E85),"")</f>
      </c>
    </row>
    <row r="2535">
      <c r="A2535" t="inlineStr" s="25">
        <is>
          <t xml:space="preserve">Calculation</t>
        </is>
      </c>
      <c r="B2535">
        <f>IF(IF(DATE(2027,1,1)=EDATE(DATE(2027,7,1),-'Model inputs'!AM13*1)="",FALSE,DATE(2027,1,1)=EDATE(DATE(2027,7,1),-'Model inputs'!AM13*1)),IF('Model inputs'!F85="","",'Model inputs'!F85),"")</f>
      </c>
    </row>
    <row r="2536">
      <c r="A2536" t="inlineStr" s="25">
        <is>
          <t xml:space="preserve">Calculation</t>
        </is>
      </c>
      <c r="B2536">
        <f>IF(IF(DATE(2027,2,1)=EDATE(DATE(2027,7,1),-'Model inputs'!AM13*1)="",FALSE,DATE(2027,2,1)=EDATE(DATE(2027,7,1),-'Model inputs'!AM13*1)),IF('Model inputs'!G85="","",'Model inputs'!G85),"")</f>
      </c>
    </row>
    <row r="2537">
      <c r="A2537" t="inlineStr" s="25">
        <is>
          <t xml:space="preserve">Calculation</t>
        </is>
      </c>
      <c r="B2537">
        <f>IF(IF(DATE(2027,3,1)=EDATE(DATE(2027,7,1),-'Model inputs'!AM13*1)="",FALSE,DATE(2027,3,1)=EDATE(DATE(2027,7,1),-'Model inputs'!AM13*1)),IF('Model inputs'!H85="","",'Model inputs'!H85),"")</f>
      </c>
    </row>
    <row r="2538">
      <c r="A2538" t="inlineStr" s="25">
        <is>
          <t xml:space="preserve">Calculation</t>
        </is>
      </c>
      <c r="B2538">
        <f>IF(IF(DATE(2027,4,1)=EDATE(DATE(2027,7,1),-'Model inputs'!AM13*1)="",FALSE,DATE(2027,4,1)=EDATE(DATE(2027,7,1),-'Model inputs'!AM13*1)),IF('Model inputs'!I85="","",'Model inputs'!I85),"")</f>
      </c>
    </row>
    <row r="2539">
      <c r="A2539" t="inlineStr" s="25">
        <is>
          <t xml:space="preserve">Calculation</t>
        </is>
      </c>
      <c r="B2539">
        <f>IF(IF(DATE(2027,5,1)=EDATE(DATE(2027,7,1),-'Model inputs'!AM13*1)="",FALSE,DATE(2027,5,1)=EDATE(DATE(2027,7,1),-'Model inputs'!AM13*1)),IF('Model inputs'!J85="","",'Model inputs'!J85),"")</f>
      </c>
    </row>
    <row r="2540">
      <c r="A2540" t="inlineStr" s="25">
        <is>
          <t xml:space="preserve">Calculation</t>
        </is>
      </c>
      <c r="B2540">
        <f>IF(IF(DATE(2027,6,1)=EDATE(DATE(2027,7,1),-'Model inputs'!AM13*1)="",FALSE,DATE(2027,6,1)=EDATE(DATE(2027,7,1),-'Model inputs'!AM13*1)),IF('Model inputs'!K85="","",'Model inputs'!K85),"")</f>
      </c>
    </row>
    <row r="2541">
      <c r="A2541" t="inlineStr" s="25">
        <is>
          <t xml:space="preserve">Calculation</t>
        </is>
      </c>
      <c r="B2541">
        <f>IF(IF(DATE(2027,7,1)=EDATE(DATE(2027,7,1),-'Model inputs'!AM13*1)="",FALSE,DATE(2027,7,1)=EDATE(DATE(2027,7,1),-'Model inputs'!AM13*1)),IF('Model inputs'!L85="","",'Model inputs'!L85),"")</f>
      </c>
    </row>
    <row r="2542">
      <c r="A2542" t="inlineStr" s="25">
        <is>
          <t xml:space="preserve">Calculation</t>
        </is>
      </c>
      <c r="B2542">
        <f>IF(IF(DATE(2027,8,1)=EDATE(DATE(2027,7,1),-'Model inputs'!AM13*1)="",FALSE,DATE(2027,8,1)=EDATE(DATE(2027,7,1),-'Model inputs'!AM13*1)),IF('Model inputs'!M85="","",'Model inputs'!M85),"")</f>
      </c>
    </row>
    <row r="2543">
      <c r="A2543" t="inlineStr" s="25">
        <is>
          <t xml:space="preserve">Calculation</t>
        </is>
      </c>
      <c r="B2543">
        <f>IF(IF(DATE(2027,9,1)=EDATE(DATE(2027,7,1),-'Model inputs'!AM13*1)="",FALSE,DATE(2027,9,1)=EDATE(DATE(2027,7,1),-'Model inputs'!AM13*1)),IF('Model inputs'!N85="","",'Model inputs'!N85),"")</f>
      </c>
    </row>
    <row r="2544">
      <c r="A2544" t="inlineStr" s="25">
        <is>
          <t xml:space="preserve">Calculation</t>
        </is>
      </c>
      <c r="B2544">
        <f>IF(IF(DATE(2027,10,1)=EDATE(DATE(2027,7,1),-'Model inputs'!AM13*1)="",FALSE,DATE(2027,10,1)=EDATE(DATE(2027,7,1),-'Model inputs'!AM13*1)),IF('Model inputs'!O85="","",'Model inputs'!O85),"")</f>
      </c>
    </row>
    <row r="2545">
      <c r="A2545" t="inlineStr" s="25">
        <is>
          <t xml:space="preserve">Calculation</t>
        </is>
      </c>
      <c r="B2545">
        <f>IF(IF(DATE(2027,11,1)=EDATE(DATE(2027,7,1),-'Model inputs'!AM13*1)="",FALSE,DATE(2027,11,1)=EDATE(DATE(2027,7,1),-'Model inputs'!AM13*1)),IF('Model inputs'!P85="","",'Model inputs'!P85),"")</f>
      </c>
    </row>
    <row r="2546">
      <c r="A2546" t="inlineStr" s="25">
        <is>
          <t xml:space="preserve">Calculation</t>
        </is>
      </c>
      <c r="B2546">
        <f>IF(IF(DATE(2027,12,1)=EDATE(DATE(2027,7,1),-'Model inputs'!AM13*1)="",FALSE,DATE(2027,12,1)=EDATE(DATE(2027,7,1),-'Model inputs'!AM13*1)),IF('Model inputs'!Q85="","",'Model inputs'!Q85),"")</f>
      </c>
    </row>
    <row r="2547">
      <c r="A2547" t="inlineStr" s="25">
        <is>
          <t xml:space="preserve">Calculation</t>
        </is>
      </c>
      <c r="B2547">
        <f>IF(IF(DATE(2028,1,1)=EDATE(DATE(2027,7,1),-'Model inputs'!AM13*1)="",FALSE,DATE(2028,1,1)=EDATE(DATE(2027,7,1),-'Model inputs'!AM13*1)),IF('Model inputs'!R85="","",'Model inputs'!R85),"")</f>
      </c>
    </row>
    <row r="2548">
      <c r="A2548" t="inlineStr" s="25">
        <is>
          <t xml:space="preserve">Calculation</t>
        </is>
      </c>
      <c r="B2548">
        <f>IF(IF(DATE(2028,2,1)=EDATE(DATE(2027,7,1),-'Model inputs'!AM13*1)="",FALSE,DATE(2028,2,1)=EDATE(DATE(2027,7,1),-'Model inputs'!AM13*1)),IF('Model inputs'!S85="","",'Model inputs'!S85),"")</f>
      </c>
    </row>
    <row r="2549">
      <c r="A2549" t="inlineStr" s="25">
        <is>
          <t xml:space="preserve">Calculation</t>
        </is>
      </c>
      <c r="B2549">
        <f>IF(IF(DATE(2028,3,1)=EDATE(DATE(2027,7,1),-'Model inputs'!AM13*1)="",FALSE,DATE(2028,3,1)=EDATE(DATE(2027,7,1),-'Model inputs'!AM13*1)),IF('Model inputs'!T85="","",'Model inputs'!T85),"")</f>
      </c>
    </row>
    <row r="2550">
      <c r="A2550" t="inlineStr" s="25">
        <is>
          <t xml:space="preserve">Calculation</t>
        </is>
      </c>
      <c r="B2550">
        <f>IF(IF(DATE(2028,4,1)=EDATE(DATE(2027,7,1),-'Model inputs'!AM13*1)="",FALSE,DATE(2028,4,1)=EDATE(DATE(2027,7,1),-'Model inputs'!AM13*1)),IF('Model inputs'!U85="","",'Model inputs'!U85),"")</f>
      </c>
    </row>
    <row r="2551">
      <c r="A2551" t="inlineStr" s="25">
        <is>
          <t xml:space="preserve">Calculation</t>
        </is>
      </c>
      <c r="B2551">
        <f>IF(IF(DATE(2028,5,1)=EDATE(DATE(2027,7,1),-'Model inputs'!AM13*1)="",FALSE,DATE(2028,5,1)=EDATE(DATE(2027,7,1),-'Model inputs'!AM13*1)),IF('Model inputs'!V85="","",'Model inputs'!V85),"")</f>
      </c>
    </row>
    <row r="2552">
      <c r="A2552" t="inlineStr" s="25">
        <is>
          <t xml:space="preserve">Calculation</t>
        </is>
      </c>
      <c r="B2552">
        <f>IF(IF(DATE(2028,6,1)=EDATE(DATE(2027,7,1),-'Model inputs'!AM13*1)="",FALSE,DATE(2028,6,1)=EDATE(DATE(2027,7,1),-'Model inputs'!AM13*1)),IF('Model inputs'!W85="","",'Model inputs'!W85),"")</f>
      </c>
    </row>
    <row r="2553">
      <c r="A2553" t="inlineStr" s="25">
        <is>
          <t xml:space="preserve">Calculation</t>
        </is>
      </c>
      <c r="B2553">
        <f>IF(IF(DATE(2028,7,1)=EDATE(DATE(2027,7,1),-'Model inputs'!AM13*1)="",FALSE,DATE(2028,7,1)=EDATE(DATE(2027,7,1),-'Model inputs'!AM13*1)),IF('Model inputs'!X85="","",'Model inputs'!X85),"")</f>
      </c>
    </row>
    <row r="2554">
      <c r="A2554" t="inlineStr" s="25">
        <is>
          <t xml:space="preserve">Calculation</t>
        </is>
      </c>
      <c r="B2554">
        <f>IF(IF(DATE(2028,8,1)=EDATE(DATE(2027,7,1),-'Model inputs'!AM13*1)="",FALSE,DATE(2028,8,1)=EDATE(DATE(2027,7,1),-'Model inputs'!AM13*1)),IF('Model inputs'!Y85="","",'Model inputs'!Y85),"")</f>
      </c>
    </row>
    <row r="2555">
      <c r="A2555" t="inlineStr" s="25">
        <is>
          <t xml:space="preserve">Calculation</t>
        </is>
      </c>
      <c r="B2555">
        <f>IF(IF(DATE(2028,9,1)=EDATE(DATE(2027,7,1),-'Model inputs'!AM13*1)="",FALSE,DATE(2028,9,1)=EDATE(DATE(2027,7,1),-'Model inputs'!AM13*1)),IF('Model inputs'!Z85="","",'Model inputs'!Z85),"")</f>
      </c>
    </row>
    <row r="2556">
      <c r="A2556" t="inlineStr" s="25">
        <is>
          <t xml:space="preserve">Calculation</t>
        </is>
      </c>
      <c r="B2556">
        <f>IF(IF(DATE(2028,10,1)=EDATE(DATE(2027,7,1),-'Model inputs'!AM13*1)="",FALSE,DATE(2028,10,1)=EDATE(DATE(2027,7,1),-'Model inputs'!AM13*1)),IF('Model inputs'!AA85="","",'Model inputs'!AA85),"")</f>
      </c>
    </row>
    <row r="2557">
      <c r="A2557" t="inlineStr" s="25">
        <is>
          <t xml:space="preserve">Calculation</t>
        </is>
      </c>
      <c r="B2557">
        <f>IF(IF(DATE(2028,11,1)=EDATE(DATE(2027,7,1),-'Model inputs'!AM13*1)="",FALSE,DATE(2028,11,1)=EDATE(DATE(2027,7,1),-'Model inputs'!AM13*1)),IF('Model inputs'!AB85="","",'Model inputs'!AB85),"")</f>
      </c>
    </row>
    <row r="2558">
      <c r="A2558" t="inlineStr" s="25">
        <is>
          <t xml:space="preserve">Calculation</t>
        </is>
      </c>
      <c r="B2558">
        <f>IF(IF(DATE(2028,12,1)=EDATE(DATE(2027,7,1),-'Model inputs'!AM13*1)="",FALSE,DATE(2028,12,1)=EDATE(DATE(2027,7,1),-'Model inputs'!AM13*1)),IF('Model inputs'!AC85="","",'Model inputs'!AC85),"")</f>
      </c>
    </row>
    <row r="2559">
      <c r="A2559" t="inlineStr" s="25">
        <is>
          <t xml:space="preserve">Calculation</t>
        </is>
      </c>
      <c r="B2559">
        <f>IF(IF(DATE(2029,1,1)=EDATE(DATE(2027,7,1),-'Model inputs'!AM13*1)="",FALSE,DATE(2029,1,1)=EDATE(DATE(2027,7,1),-'Model inputs'!AM13*1)),IF('Model inputs'!AD85="","",'Model inputs'!AD85),"")</f>
      </c>
    </row>
    <row r="2560">
      <c r="A2560" t="inlineStr" s="25">
        <is>
          <t xml:space="preserve">Calculation</t>
        </is>
      </c>
      <c r="B2560">
        <f>IF(IF(DATE(2029,2,1)=EDATE(DATE(2027,7,1),-'Model inputs'!AM13*1)="",FALSE,DATE(2029,2,1)=EDATE(DATE(2027,7,1),-'Model inputs'!AM13*1)),IF('Model inputs'!AE85="","",'Model inputs'!AE85),"")</f>
      </c>
    </row>
    <row r="2561">
      <c r="A2561" t="inlineStr" s="25">
        <is>
          <t xml:space="preserve">Calculation</t>
        </is>
      </c>
      <c r="B2561">
        <f>IF(IF(DATE(2029,3,1)=EDATE(DATE(2027,7,1),-'Model inputs'!AM13*1)="",FALSE,DATE(2029,3,1)=EDATE(DATE(2027,7,1),-'Model inputs'!AM13*1)),IF('Model inputs'!AF85="","",'Model inputs'!AF85),"")</f>
      </c>
    </row>
    <row r="2562">
      <c r="A2562" t="inlineStr" s="25">
        <is>
          <t xml:space="preserve">Calculation</t>
        </is>
      </c>
      <c r="B2562">
        <f>IF(IF(DATE(2029,4,1)=EDATE(DATE(2027,7,1),-'Model inputs'!AM13*1)="",FALSE,DATE(2029,4,1)=EDATE(DATE(2027,7,1),-'Model inputs'!AM13*1)),IF('Model inputs'!AG85="","",'Model inputs'!AG85),"")</f>
      </c>
    </row>
    <row r="2563">
      <c r="A2563" t="inlineStr" s="25">
        <is>
          <t xml:space="preserve">Calculation</t>
        </is>
      </c>
      <c r="B2563">
        <f>IF(IF(DATE(2029,5,1)=EDATE(DATE(2027,7,1),-'Model inputs'!AM13*1)="",FALSE,DATE(2029,5,1)=EDATE(DATE(2027,7,1),-'Model inputs'!AM13*1)),IF('Model inputs'!AH85="","",'Model inputs'!AH85),"")</f>
      </c>
    </row>
    <row r="2564">
      <c r="A2564" t="inlineStr" s="25">
        <is>
          <t xml:space="preserve">Calculation</t>
        </is>
      </c>
      <c r="B2564">
        <f>IF(IF(DATE(2029,6,1)=EDATE(DATE(2027,7,1),-'Model inputs'!AM13*1)="",FALSE,DATE(2029,6,1)=EDATE(DATE(2027,7,1),-'Model inputs'!AM13*1)),IF('Model inputs'!AI85="","",'Model inputs'!AI85),"")</f>
      </c>
    </row>
    <row r="2565">
      <c r="A2565" t="inlineStr" s="25">
        <is>
          <t xml:space="preserve">Calculation</t>
        </is>
      </c>
      <c r="B2565">
        <f>IF(IF(DATE(2029,7,1)=EDATE(DATE(2027,7,1),-'Model inputs'!AM13*1)="",FALSE,DATE(2029,7,1)=EDATE(DATE(2027,7,1),-'Model inputs'!AM13*1)),IF('Model inputs'!AJ85="","",'Model inputs'!AJ85),"")</f>
      </c>
    </row>
    <row r="2566">
      <c r="A2566" t="inlineStr" s="25">
        <is>
          <t xml:space="preserve">Calculation</t>
        </is>
      </c>
      <c r="B2566">
        <f>IF(IF(DATE(2029,8,1)=EDATE(DATE(2027,7,1),-'Model inputs'!AM13*1)="",FALSE,DATE(2029,8,1)=EDATE(DATE(2027,7,1),-'Model inputs'!AM13*1)),IF('Model inputs'!AK85="","",'Model inputs'!AK85),"")</f>
      </c>
    </row>
    <row r="2567">
      <c r="A2567" t="inlineStr" s="25">
        <is>
          <t xml:space="preserve">Calculation</t>
        </is>
      </c>
      <c r="B2567">
        <f>IF(IF(DATE(2029,9,1)=EDATE(DATE(2027,7,1),-'Model inputs'!AM13*1)="",FALSE,DATE(2029,9,1)=EDATE(DATE(2027,7,1),-'Model inputs'!AM13*1)),IF('Model inputs'!AL85="","",'Model inputs'!AL85),"")</f>
      </c>
    </row>
    <row r="2568">
      <c r="A2568" t="inlineStr" s="25">
        <is>
          <t xml:space="preserve">Calculation</t>
        </is>
      </c>
      <c r="B2568">
        <f>SUM(IF(IF('Model inputs'!B1173="",0,1)="",0,IF('Model inputs'!B1173="",0,1)),IF(IF('Model inputs'!B2532="",0,1)="",0,IF('Model inputs'!B2532="",0,1)),IF(IF('Model inputs'!B2533="",0,1)="",0,IF('Model inputs'!B2533="",0,1)),IF(IF('Model inputs'!B2534="",0,1)="",0,IF('Model inputs'!B2534="",0,1)),IF(IF('Model inputs'!B2535="",0,1)="",0,IF('Model inputs'!B2535="",0,1)),IF(IF('Model inputs'!B2536="",0,1)="",0,IF('Model inputs'!B2536="",0,1)),IF(IF('Model inputs'!B2537="",0,1)="",0,IF('Model inputs'!B2537="",0,1)),IF(IF('Model inputs'!B2538="",0,1)="",0,IF('Model inputs'!B2538="",0,1)),IF(IF('Model inputs'!B2539="",0,1)="",0,IF('Model inputs'!B2539="",0,1)),IF(IF('Model inputs'!B2540="",0,1)="",0,IF('Model inputs'!B2540="",0,1)),IF(IF('Model inputs'!B2541="",0,1)="",0,IF('Model inputs'!B2541="",0,1)),IF(IF('Model inputs'!B2542="",0,1)="",0,IF('Model inputs'!B2542="",0,1)),IF(IF('Model inputs'!B2543="",0,1)="",0,IF('Model inputs'!B2543="",0,1)),IF(IF('Model inputs'!B2544="",0,1)="",0,IF('Model inputs'!B2544="",0,1)),IF(IF('Model inputs'!B2545="",0,1)="",0,IF('Model inputs'!B2545="",0,1)),IF(IF('Model inputs'!B2546="",0,1)="",0,IF('Model inputs'!B2546="",0,1)),IF(IF('Model inputs'!B2547="",0,1)="",0,IF('Model inputs'!B2547="",0,1)),IF(IF('Model inputs'!B2548="",0,1)="",0,IF('Model inputs'!B2548="",0,1)),IF(IF('Model inputs'!B2549="",0,1)="",0,IF('Model inputs'!B2549="",0,1)),IF(IF('Model inputs'!B2550="",0,1)="",0,IF('Model inputs'!B2550="",0,1)),IF(IF('Model inputs'!B2551="",0,1)="",0,IF('Model inputs'!B2551="",0,1)),IF(IF('Model inputs'!B2552="",0,1)="",0,IF('Model inputs'!B2552="",0,1)),IF(IF('Model inputs'!B2553="",0,1)="",0,IF('Model inputs'!B2553="",0,1)),IF(IF('Model inputs'!B2554="",0,1)="",0,IF('Model inputs'!B2554="",0,1)),IF(IF('Model inputs'!B2555="",0,1)="",0,IF('Model inputs'!B2555="",0,1)),IF(IF('Model inputs'!B2556="",0,1)="",0,IF('Model inputs'!B2556="",0,1)),IF(IF('Model inputs'!B2557="",0,1)="",0,IF('Model inputs'!B2557="",0,1)),IF(IF('Model inputs'!B2558="",0,1)="",0,IF('Model inputs'!B2558="",0,1)),IF(IF('Model inputs'!B2559="",0,1)="",0,IF('Model inputs'!B2559="",0,1)),IF(IF('Model inputs'!B2560="",0,1)="",0,IF('Model inputs'!B2560="",0,1)),IF(IF('Model inputs'!B2561="",0,1)="",0,IF('Model inputs'!B2561="",0,1)),IF(IF('Model inputs'!B2562="",0,1)="",0,IF('Model inputs'!B2562="",0,1)),IF(IF('Model inputs'!B2563="",0,1)="",0,IF('Model inputs'!B2563="",0,1)),IF(IF('Model inputs'!B2564="",0,1)="",0,IF('Model inputs'!B2564="",0,1)),IF(IF('Model inputs'!B2565="",0,1)="",0,IF('Model inputs'!B2565="",0,1)),IF(IF('Model inputs'!B2566="",0,1)="",0,IF('Model inputs'!B2566="",0,1)),IF(IF('Model inputs'!B2567="",0,1)="",0,IF('Model inputs'!B2567="",0,1)))</f>
      </c>
    </row>
    <row r="2569">
      <c r="A2569" t="inlineStr" s="25">
        <is>
          <t xml:space="preserve">Calculation</t>
        </is>
      </c>
      <c r="B2569">
        <f>IF(IF(DATE(2026,10,1)=EDATE(DATE(2027,8,1),-'Model inputs'!AM13*1)="",FALSE,DATE(2026,10,1)=EDATE(DATE(2027,8,1),-'Model inputs'!AM13*1)),IF('Model inputs'!C85="","",'Model inputs'!C85),"")</f>
      </c>
    </row>
    <row r="2570">
      <c r="A2570" t="inlineStr" s="25">
        <is>
          <t xml:space="preserve">Calculation</t>
        </is>
      </c>
      <c r="B2570">
        <f>IF(IF(DATE(2026,11,1)=EDATE(DATE(2027,8,1),-'Model inputs'!AM13*1)="",FALSE,DATE(2026,11,1)=EDATE(DATE(2027,8,1),-'Model inputs'!AM13*1)),IF('Model inputs'!D85="","",'Model inputs'!D85),"")</f>
      </c>
    </row>
    <row r="2571">
      <c r="A2571" t="inlineStr" s="25">
        <is>
          <t xml:space="preserve">Calculation</t>
        </is>
      </c>
      <c r="B2571">
        <f>IF(IF(DATE(2026,12,1)=EDATE(DATE(2027,8,1),-'Model inputs'!AM13*1)="",FALSE,DATE(2026,12,1)=EDATE(DATE(2027,8,1),-'Model inputs'!AM13*1)),IF('Model inputs'!E85="","",'Model inputs'!E85),"")</f>
      </c>
    </row>
    <row r="2572">
      <c r="A2572" t="inlineStr" s="25">
        <is>
          <t xml:space="preserve">Calculation</t>
        </is>
      </c>
      <c r="B2572">
        <f>IF(IF(DATE(2027,1,1)=EDATE(DATE(2027,8,1),-'Model inputs'!AM13*1)="",FALSE,DATE(2027,1,1)=EDATE(DATE(2027,8,1),-'Model inputs'!AM13*1)),IF('Model inputs'!F85="","",'Model inputs'!F85),"")</f>
      </c>
    </row>
    <row r="2573">
      <c r="A2573" t="inlineStr" s="25">
        <is>
          <t xml:space="preserve">Calculation</t>
        </is>
      </c>
      <c r="B2573">
        <f>IF(IF(DATE(2027,2,1)=EDATE(DATE(2027,8,1),-'Model inputs'!AM13*1)="",FALSE,DATE(2027,2,1)=EDATE(DATE(2027,8,1),-'Model inputs'!AM13*1)),IF('Model inputs'!G85="","",'Model inputs'!G85),"")</f>
      </c>
    </row>
    <row r="2574">
      <c r="A2574" t="inlineStr" s="25">
        <is>
          <t xml:space="preserve">Calculation</t>
        </is>
      </c>
      <c r="B2574">
        <f>IF(IF(DATE(2027,3,1)=EDATE(DATE(2027,8,1),-'Model inputs'!AM13*1)="",FALSE,DATE(2027,3,1)=EDATE(DATE(2027,8,1),-'Model inputs'!AM13*1)),IF('Model inputs'!H85="","",'Model inputs'!H85),"")</f>
      </c>
    </row>
    <row r="2575">
      <c r="A2575" t="inlineStr" s="25">
        <is>
          <t xml:space="preserve">Calculation</t>
        </is>
      </c>
      <c r="B2575">
        <f>IF(IF(DATE(2027,4,1)=EDATE(DATE(2027,8,1),-'Model inputs'!AM13*1)="",FALSE,DATE(2027,4,1)=EDATE(DATE(2027,8,1),-'Model inputs'!AM13*1)),IF('Model inputs'!I85="","",'Model inputs'!I85),"")</f>
      </c>
    </row>
    <row r="2576">
      <c r="A2576" t="inlineStr" s="25">
        <is>
          <t xml:space="preserve">Calculation</t>
        </is>
      </c>
      <c r="B2576">
        <f>IF(IF(DATE(2027,5,1)=EDATE(DATE(2027,8,1),-'Model inputs'!AM13*1)="",FALSE,DATE(2027,5,1)=EDATE(DATE(2027,8,1),-'Model inputs'!AM13*1)),IF('Model inputs'!J85="","",'Model inputs'!J85),"")</f>
      </c>
    </row>
    <row r="2577">
      <c r="A2577" t="inlineStr" s="25">
        <is>
          <t xml:space="preserve">Calculation</t>
        </is>
      </c>
      <c r="B2577">
        <f>IF(IF(DATE(2027,6,1)=EDATE(DATE(2027,8,1),-'Model inputs'!AM13*1)="",FALSE,DATE(2027,6,1)=EDATE(DATE(2027,8,1),-'Model inputs'!AM13*1)),IF('Model inputs'!K85="","",'Model inputs'!K85),"")</f>
      </c>
    </row>
    <row r="2578">
      <c r="A2578" t="inlineStr" s="25">
        <is>
          <t xml:space="preserve">Calculation</t>
        </is>
      </c>
      <c r="B2578">
        <f>IF(IF(DATE(2027,7,1)=EDATE(DATE(2027,8,1),-'Model inputs'!AM13*1)="",FALSE,DATE(2027,7,1)=EDATE(DATE(2027,8,1),-'Model inputs'!AM13*1)),IF('Model inputs'!L85="","",'Model inputs'!L85),"")</f>
      </c>
    </row>
    <row r="2579">
      <c r="A2579" t="inlineStr" s="25">
        <is>
          <t xml:space="preserve">Calculation</t>
        </is>
      </c>
      <c r="B2579">
        <f>IF(IF(DATE(2027,8,1)=EDATE(DATE(2027,8,1),-'Model inputs'!AM13*1)="",FALSE,DATE(2027,8,1)=EDATE(DATE(2027,8,1),-'Model inputs'!AM13*1)),IF('Model inputs'!M85="","",'Model inputs'!M85),"")</f>
      </c>
    </row>
    <row r="2580">
      <c r="A2580" t="inlineStr" s="25">
        <is>
          <t xml:space="preserve">Calculation</t>
        </is>
      </c>
      <c r="B2580">
        <f>IF(IF(DATE(2027,9,1)=EDATE(DATE(2027,8,1),-'Model inputs'!AM13*1)="",FALSE,DATE(2027,9,1)=EDATE(DATE(2027,8,1),-'Model inputs'!AM13*1)),IF('Model inputs'!N85="","",'Model inputs'!N85),"")</f>
      </c>
    </row>
    <row r="2581">
      <c r="A2581" t="inlineStr" s="25">
        <is>
          <t xml:space="preserve">Calculation</t>
        </is>
      </c>
      <c r="B2581">
        <f>IF(IF(DATE(2027,10,1)=EDATE(DATE(2027,8,1),-'Model inputs'!AM13*1)="",FALSE,DATE(2027,10,1)=EDATE(DATE(2027,8,1),-'Model inputs'!AM13*1)),IF('Model inputs'!O85="","",'Model inputs'!O85),"")</f>
      </c>
    </row>
    <row r="2582">
      <c r="A2582" t="inlineStr" s="25">
        <is>
          <t xml:space="preserve">Calculation</t>
        </is>
      </c>
      <c r="B2582">
        <f>IF(IF(DATE(2027,11,1)=EDATE(DATE(2027,8,1),-'Model inputs'!AM13*1)="",FALSE,DATE(2027,11,1)=EDATE(DATE(2027,8,1),-'Model inputs'!AM13*1)),IF('Model inputs'!P85="","",'Model inputs'!P85),"")</f>
      </c>
    </row>
    <row r="2583">
      <c r="A2583" t="inlineStr" s="25">
        <is>
          <t xml:space="preserve">Calculation</t>
        </is>
      </c>
      <c r="B2583">
        <f>IF(IF(DATE(2027,12,1)=EDATE(DATE(2027,8,1),-'Model inputs'!AM13*1)="",FALSE,DATE(2027,12,1)=EDATE(DATE(2027,8,1),-'Model inputs'!AM13*1)),IF('Model inputs'!Q85="","",'Model inputs'!Q85),"")</f>
      </c>
    </row>
    <row r="2584">
      <c r="A2584" t="inlineStr" s="25">
        <is>
          <t xml:space="preserve">Calculation</t>
        </is>
      </c>
      <c r="B2584">
        <f>IF(IF(DATE(2028,1,1)=EDATE(DATE(2027,8,1),-'Model inputs'!AM13*1)="",FALSE,DATE(2028,1,1)=EDATE(DATE(2027,8,1),-'Model inputs'!AM13*1)),IF('Model inputs'!R85="","",'Model inputs'!R85),"")</f>
      </c>
    </row>
    <row r="2585">
      <c r="A2585" t="inlineStr" s="25">
        <is>
          <t xml:space="preserve">Calculation</t>
        </is>
      </c>
      <c r="B2585">
        <f>IF(IF(DATE(2028,2,1)=EDATE(DATE(2027,8,1),-'Model inputs'!AM13*1)="",FALSE,DATE(2028,2,1)=EDATE(DATE(2027,8,1),-'Model inputs'!AM13*1)),IF('Model inputs'!S85="","",'Model inputs'!S85),"")</f>
      </c>
    </row>
    <row r="2586">
      <c r="A2586" t="inlineStr" s="25">
        <is>
          <t xml:space="preserve">Calculation</t>
        </is>
      </c>
      <c r="B2586">
        <f>IF(IF(DATE(2028,3,1)=EDATE(DATE(2027,8,1),-'Model inputs'!AM13*1)="",FALSE,DATE(2028,3,1)=EDATE(DATE(2027,8,1),-'Model inputs'!AM13*1)),IF('Model inputs'!T85="","",'Model inputs'!T85),"")</f>
      </c>
    </row>
    <row r="2587">
      <c r="A2587" t="inlineStr" s="25">
        <is>
          <t xml:space="preserve">Calculation</t>
        </is>
      </c>
      <c r="B2587">
        <f>IF(IF(DATE(2028,4,1)=EDATE(DATE(2027,8,1),-'Model inputs'!AM13*1)="",FALSE,DATE(2028,4,1)=EDATE(DATE(2027,8,1),-'Model inputs'!AM13*1)),IF('Model inputs'!U85="","",'Model inputs'!U85),"")</f>
      </c>
    </row>
    <row r="2588">
      <c r="A2588" t="inlineStr" s="25">
        <is>
          <t xml:space="preserve">Calculation</t>
        </is>
      </c>
      <c r="B2588">
        <f>IF(IF(DATE(2028,5,1)=EDATE(DATE(2027,8,1),-'Model inputs'!AM13*1)="",FALSE,DATE(2028,5,1)=EDATE(DATE(2027,8,1),-'Model inputs'!AM13*1)),IF('Model inputs'!V85="","",'Model inputs'!V85),"")</f>
      </c>
    </row>
    <row r="2589">
      <c r="A2589" t="inlineStr" s="25">
        <is>
          <t xml:space="preserve">Calculation</t>
        </is>
      </c>
      <c r="B2589">
        <f>IF(IF(DATE(2028,6,1)=EDATE(DATE(2027,8,1),-'Model inputs'!AM13*1)="",FALSE,DATE(2028,6,1)=EDATE(DATE(2027,8,1),-'Model inputs'!AM13*1)),IF('Model inputs'!W85="","",'Model inputs'!W85),"")</f>
      </c>
    </row>
    <row r="2590">
      <c r="A2590" t="inlineStr" s="25">
        <is>
          <t xml:space="preserve">Calculation</t>
        </is>
      </c>
      <c r="B2590">
        <f>IF(IF(DATE(2028,7,1)=EDATE(DATE(2027,8,1),-'Model inputs'!AM13*1)="",FALSE,DATE(2028,7,1)=EDATE(DATE(2027,8,1),-'Model inputs'!AM13*1)),IF('Model inputs'!X85="","",'Model inputs'!X85),"")</f>
      </c>
    </row>
    <row r="2591">
      <c r="A2591" t="inlineStr" s="25">
        <is>
          <t xml:space="preserve">Calculation</t>
        </is>
      </c>
      <c r="B2591">
        <f>IF(IF(DATE(2028,8,1)=EDATE(DATE(2027,8,1),-'Model inputs'!AM13*1)="",FALSE,DATE(2028,8,1)=EDATE(DATE(2027,8,1),-'Model inputs'!AM13*1)),IF('Model inputs'!Y85="","",'Model inputs'!Y85),"")</f>
      </c>
    </row>
    <row r="2592">
      <c r="A2592" t="inlineStr" s="25">
        <is>
          <t xml:space="preserve">Calculation</t>
        </is>
      </c>
      <c r="B2592">
        <f>IF(IF(DATE(2028,9,1)=EDATE(DATE(2027,8,1),-'Model inputs'!AM13*1)="",FALSE,DATE(2028,9,1)=EDATE(DATE(2027,8,1),-'Model inputs'!AM13*1)),IF('Model inputs'!Z85="","",'Model inputs'!Z85),"")</f>
      </c>
    </row>
    <row r="2593">
      <c r="A2593" t="inlineStr" s="25">
        <is>
          <t xml:space="preserve">Calculation</t>
        </is>
      </c>
      <c r="B2593">
        <f>IF(IF(DATE(2028,10,1)=EDATE(DATE(2027,8,1),-'Model inputs'!AM13*1)="",FALSE,DATE(2028,10,1)=EDATE(DATE(2027,8,1),-'Model inputs'!AM13*1)),IF('Model inputs'!AA85="","",'Model inputs'!AA85),"")</f>
      </c>
    </row>
    <row r="2594">
      <c r="A2594" t="inlineStr" s="25">
        <is>
          <t xml:space="preserve">Calculation</t>
        </is>
      </c>
      <c r="B2594">
        <f>IF(IF(DATE(2028,11,1)=EDATE(DATE(2027,8,1),-'Model inputs'!AM13*1)="",FALSE,DATE(2028,11,1)=EDATE(DATE(2027,8,1),-'Model inputs'!AM13*1)),IF('Model inputs'!AB85="","",'Model inputs'!AB85),"")</f>
      </c>
    </row>
    <row r="2595">
      <c r="A2595" t="inlineStr" s="25">
        <is>
          <t xml:space="preserve">Calculation</t>
        </is>
      </c>
      <c r="B2595">
        <f>IF(IF(DATE(2028,12,1)=EDATE(DATE(2027,8,1),-'Model inputs'!AM13*1)="",FALSE,DATE(2028,12,1)=EDATE(DATE(2027,8,1),-'Model inputs'!AM13*1)),IF('Model inputs'!AC85="","",'Model inputs'!AC85),"")</f>
      </c>
    </row>
    <row r="2596">
      <c r="A2596" t="inlineStr" s="25">
        <is>
          <t xml:space="preserve">Calculation</t>
        </is>
      </c>
      <c r="B2596">
        <f>IF(IF(DATE(2029,1,1)=EDATE(DATE(2027,8,1),-'Model inputs'!AM13*1)="",FALSE,DATE(2029,1,1)=EDATE(DATE(2027,8,1),-'Model inputs'!AM13*1)),IF('Model inputs'!AD85="","",'Model inputs'!AD85),"")</f>
      </c>
    </row>
    <row r="2597">
      <c r="A2597" t="inlineStr" s="25">
        <is>
          <t xml:space="preserve">Calculation</t>
        </is>
      </c>
      <c r="B2597">
        <f>IF(IF(DATE(2029,2,1)=EDATE(DATE(2027,8,1),-'Model inputs'!AM13*1)="",FALSE,DATE(2029,2,1)=EDATE(DATE(2027,8,1),-'Model inputs'!AM13*1)),IF('Model inputs'!AE85="","",'Model inputs'!AE85),"")</f>
      </c>
    </row>
    <row r="2598">
      <c r="A2598" t="inlineStr" s="25">
        <is>
          <t xml:space="preserve">Calculation</t>
        </is>
      </c>
      <c r="B2598">
        <f>IF(IF(DATE(2029,3,1)=EDATE(DATE(2027,8,1),-'Model inputs'!AM13*1)="",FALSE,DATE(2029,3,1)=EDATE(DATE(2027,8,1),-'Model inputs'!AM13*1)),IF('Model inputs'!AF85="","",'Model inputs'!AF85),"")</f>
      </c>
    </row>
    <row r="2599">
      <c r="A2599" t="inlineStr" s="25">
        <is>
          <t xml:space="preserve">Calculation</t>
        </is>
      </c>
      <c r="B2599">
        <f>IF(IF(DATE(2029,4,1)=EDATE(DATE(2027,8,1),-'Model inputs'!AM13*1)="",FALSE,DATE(2029,4,1)=EDATE(DATE(2027,8,1),-'Model inputs'!AM13*1)),IF('Model inputs'!AG85="","",'Model inputs'!AG85),"")</f>
      </c>
    </row>
    <row r="2600">
      <c r="A2600" t="inlineStr" s="25">
        <is>
          <t xml:space="preserve">Calculation</t>
        </is>
      </c>
      <c r="B2600">
        <f>IF(IF(DATE(2029,5,1)=EDATE(DATE(2027,8,1),-'Model inputs'!AM13*1)="",FALSE,DATE(2029,5,1)=EDATE(DATE(2027,8,1),-'Model inputs'!AM13*1)),IF('Model inputs'!AH85="","",'Model inputs'!AH85),"")</f>
      </c>
    </row>
    <row r="2601">
      <c r="A2601" t="inlineStr" s="25">
        <is>
          <t xml:space="preserve">Calculation</t>
        </is>
      </c>
      <c r="B2601">
        <f>IF(IF(DATE(2029,6,1)=EDATE(DATE(2027,8,1),-'Model inputs'!AM13*1)="",FALSE,DATE(2029,6,1)=EDATE(DATE(2027,8,1),-'Model inputs'!AM13*1)),IF('Model inputs'!AI85="","",'Model inputs'!AI85),"")</f>
      </c>
    </row>
    <row r="2602">
      <c r="A2602" t="inlineStr" s="25">
        <is>
          <t xml:space="preserve">Calculation</t>
        </is>
      </c>
      <c r="B2602">
        <f>IF(IF(DATE(2029,7,1)=EDATE(DATE(2027,8,1),-'Model inputs'!AM13*1)="",FALSE,DATE(2029,7,1)=EDATE(DATE(2027,8,1),-'Model inputs'!AM13*1)),IF('Model inputs'!AJ85="","",'Model inputs'!AJ85),"")</f>
      </c>
    </row>
    <row r="2603">
      <c r="A2603" t="inlineStr" s="25">
        <is>
          <t xml:space="preserve">Calculation</t>
        </is>
      </c>
      <c r="B2603">
        <f>IF(IF(DATE(2029,8,1)=EDATE(DATE(2027,8,1),-'Model inputs'!AM13*1)="",FALSE,DATE(2029,8,1)=EDATE(DATE(2027,8,1),-'Model inputs'!AM13*1)),IF('Model inputs'!AK85="","",'Model inputs'!AK85),"")</f>
      </c>
    </row>
    <row r="2604">
      <c r="A2604" t="inlineStr" s="25">
        <is>
          <t xml:space="preserve">Calculation</t>
        </is>
      </c>
      <c r="B2604">
        <f>IF(IF(DATE(2029,9,1)=EDATE(DATE(2027,8,1),-'Model inputs'!AM13*1)="",FALSE,DATE(2029,9,1)=EDATE(DATE(2027,8,1),-'Model inputs'!AM13*1)),IF('Model inputs'!AL85="","",'Model inputs'!AL85),"")</f>
      </c>
    </row>
    <row r="2605">
      <c r="A2605" t="inlineStr" s="25">
        <is>
          <t xml:space="preserve">Calculation</t>
        </is>
      </c>
      <c r="B2605">
        <f>SUM(IF(IF('Model inputs'!B1211="",0,1)="",0,IF('Model inputs'!B1211="",0,1)),IF(IF('Model inputs'!B2569="",0,1)="",0,IF('Model inputs'!B2569="",0,1)),IF(IF('Model inputs'!B2570="",0,1)="",0,IF('Model inputs'!B2570="",0,1)),IF(IF('Model inputs'!B2571="",0,1)="",0,IF('Model inputs'!B2571="",0,1)),IF(IF('Model inputs'!B2572="",0,1)="",0,IF('Model inputs'!B2572="",0,1)),IF(IF('Model inputs'!B2573="",0,1)="",0,IF('Model inputs'!B2573="",0,1)),IF(IF('Model inputs'!B2574="",0,1)="",0,IF('Model inputs'!B2574="",0,1)),IF(IF('Model inputs'!B2575="",0,1)="",0,IF('Model inputs'!B2575="",0,1)),IF(IF('Model inputs'!B2576="",0,1)="",0,IF('Model inputs'!B2576="",0,1)),IF(IF('Model inputs'!B2577="",0,1)="",0,IF('Model inputs'!B2577="",0,1)),IF(IF('Model inputs'!B2578="",0,1)="",0,IF('Model inputs'!B2578="",0,1)),IF(IF('Model inputs'!B2579="",0,1)="",0,IF('Model inputs'!B2579="",0,1)),IF(IF('Model inputs'!B2580="",0,1)="",0,IF('Model inputs'!B2580="",0,1)),IF(IF('Model inputs'!B2581="",0,1)="",0,IF('Model inputs'!B2581="",0,1)),IF(IF('Model inputs'!B2582="",0,1)="",0,IF('Model inputs'!B2582="",0,1)),IF(IF('Model inputs'!B2583="",0,1)="",0,IF('Model inputs'!B2583="",0,1)),IF(IF('Model inputs'!B2584="",0,1)="",0,IF('Model inputs'!B2584="",0,1)),IF(IF('Model inputs'!B2585="",0,1)="",0,IF('Model inputs'!B2585="",0,1)),IF(IF('Model inputs'!B2586="",0,1)="",0,IF('Model inputs'!B2586="",0,1)),IF(IF('Model inputs'!B2587="",0,1)="",0,IF('Model inputs'!B2587="",0,1)),IF(IF('Model inputs'!B2588="",0,1)="",0,IF('Model inputs'!B2588="",0,1)),IF(IF('Model inputs'!B2589="",0,1)="",0,IF('Model inputs'!B2589="",0,1)),IF(IF('Model inputs'!B2590="",0,1)="",0,IF('Model inputs'!B2590="",0,1)),IF(IF('Model inputs'!B2591="",0,1)="",0,IF('Model inputs'!B2591="",0,1)),IF(IF('Model inputs'!B2592="",0,1)="",0,IF('Model inputs'!B2592="",0,1)),IF(IF('Model inputs'!B2593="",0,1)="",0,IF('Model inputs'!B2593="",0,1)),IF(IF('Model inputs'!B2594="",0,1)="",0,IF('Model inputs'!B2594="",0,1)),IF(IF('Model inputs'!B2595="",0,1)="",0,IF('Model inputs'!B2595="",0,1)),IF(IF('Model inputs'!B2596="",0,1)="",0,IF('Model inputs'!B2596="",0,1)),IF(IF('Model inputs'!B2597="",0,1)="",0,IF('Model inputs'!B2597="",0,1)),IF(IF('Model inputs'!B2598="",0,1)="",0,IF('Model inputs'!B2598="",0,1)),IF(IF('Model inputs'!B2599="",0,1)="",0,IF('Model inputs'!B2599="",0,1)),IF(IF('Model inputs'!B2600="",0,1)="",0,IF('Model inputs'!B2600="",0,1)),IF(IF('Model inputs'!B2601="",0,1)="",0,IF('Model inputs'!B2601="",0,1)),IF(IF('Model inputs'!B2602="",0,1)="",0,IF('Model inputs'!B2602="",0,1)),IF(IF('Model inputs'!B2603="",0,1)="",0,IF('Model inputs'!B2603="",0,1)),IF(IF('Model inputs'!B2604="",0,1)="",0,IF('Model inputs'!B2604="",0,1)))</f>
      </c>
    </row>
    <row r="2606">
      <c r="A2606" t="inlineStr" s="25">
        <is>
          <t xml:space="preserve">Calculation</t>
        </is>
      </c>
      <c r="B2606">
        <f>IF(IF(DATE(2026,10,1)=EDATE(DATE(2027,9,1),-'Model inputs'!AM13*1)="",FALSE,DATE(2026,10,1)=EDATE(DATE(2027,9,1),-'Model inputs'!AM13*1)),IF('Model inputs'!C85="","",'Model inputs'!C85),"")</f>
      </c>
    </row>
    <row r="2607">
      <c r="A2607" t="inlineStr" s="25">
        <is>
          <t xml:space="preserve">Calculation</t>
        </is>
      </c>
      <c r="B2607">
        <f>IF(IF(DATE(2026,11,1)=EDATE(DATE(2027,9,1),-'Model inputs'!AM13*1)="",FALSE,DATE(2026,11,1)=EDATE(DATE(2027,9,1),-'Model inputs'!AM13*1)),IF('Model inputs'!D85="","",'Model inputs'!D85),"")</f>
      </c>
    </row>
    <row r="2608">
      <c r="A2608" t="inlineStr" s="25">
        <is>
          <t xml:space="preserve">Calculation</t>
        </is>
      </c>
      <c r="B2608">
        <f>IF(IF(DATE(2026,12,1)=EDATE(DATE(2027,9,1),-'Model inputs'!AM13*1)="",FALSE,DATE(2026,12,1)=EDATE(DATE(2027,9,1),-'Model inputs'!AM13*1)),IF('Model inputs'!E85="","",'Model inputs'!E85),"")</f>
      </c>
    </row>
    <row r="2609">
      <c r="A2609" t="inlineStr" s="25">
        <is>
          <t xml:space="preserve">Calculation</t>
        </is>
      </c>
      <c r="B2609">
        <f>IF(IF(DATE(2027,1,1)=EDATE(DATE(2027,9,1),-'Model inputs'!AM13*1)="",FALSE,DATE(2027,1,1)=EDATE(DATE(2027,9,1),-'Model inputs'!AM13*1)),IF('Model inputs'!F85="","",'Model inputs'!F85),"")</f>
      </c>
    </row>
    <row r="2610">
      <c r="A2610" t="inlineStr" s="25">
        <is>
          <t xml:space="preserve">Calculation</t>
        </is>
      </c>
      <c r="B2610">
        <f>IF(IF(DATE(2027,2,1)=EDATE(DATE(2027,9,1),-'Model inputs'!AM13*1)="",FALSE,DATE(2027,2,1)=EDATE(DATE(2027,9,1),-'Model inputs'!AM13*1)),IF('Model inputs'!G85="","",'Model inputs'!G85),"")</f>
      </c>
    </row>
    <row r="2611">
      <c r="A2611" t="inlineStr" s="25">
        <is>
          <t xml:space="preserve">Calculation</t>
        </is>
      </c>
      <c r="B2611">
        <f>IF(IF(DATE(2027,3,1)=EDATE(DATE(2027,9,1),-'Model inputs'!AM13*1)="",FALSE,DATE(2027,3,1)=EDATE(DATE(2027,9,1),-'Model inputs'!AM13*1)),IF('Model inputs'!H85="","",'Model inputs'!H85),"")</f>
      </c>
    </row>
    <row r="2612">
      <c r="A2612" t="inlineStr" s="25">
        <is>
          <t xml:space="preserve">Calculation</t>
        </is>
      </c>
      <c r="B2612">
        <f>IF(IF(DATE(2027,4,1)=EDATE(DATE(2027,9,1),-'Model inputs'!AM13*1)="",FALSE,DATE(2027,4,1)=EDATE(DATE(2027,9,1),-'Model inputs'!AM13*1)),IF('Model inputs'!I85="","",'Model inputs'!I85),"")</f>
      </c>
    </row>
    <row r="2613">
      <c r="A2613" t="inlineStr" s="25">
        <is>
          <t xml:space="preserve">Calculation</t>
        </is>
      </c>
      <c r="B2613">
        <f>IF(IF(DATE(2027,5,1)=EDATE(DATE(2027,9,1),-'Model inputs'!AM13*1)="",FALSE,DATE(2027,5,1)=EDATE(DATE(2027,9,1),-'Model inputs'!AM13*1)),IF('Model inputs'!J85="","",'Model inputs'!J85),"")</f>
      </c>
    </row>
    <row r="2614">
      <c r="A2614" t="inlineStr" s="25">
        <is>
          <t xml:space="preserve">Calculation</t>
        </is>
      </c>
      <c r="B2614">
        <f>IF(IF(DATE(2027,6,1)=EDATE(DATE(2027,9,1),-'Model inputs'!AM13*1)="",FALSE,DATE(2027,6,1)=EDATE(DATE(2027,9,1),-'Model inputs'!AM13*1)),IF('Model inputs'!K85="","",'Model inputs'!K85),"")</f>
      </c>
    </row>
    <row r="2615">
      <c r="A2615" t="inlineStr" s="25">
        <is>
          <t xml:space="preserve">Calculation</t>
        </is>
      </c>
      <c r="B2615">
        <f>IF(IF(DATE(2027,7,1)=EDATE(DATE(2027,9,1),-'Model inputs'!AM13*1)="",FALSE,DATE(2027,7,1)=EDATE(DATE(2027,9,1),-'Model inputs'!AM13*1)),IF('Model inputs'!L85="","",'Model inputs'!L85),"")</f>
      </c>
    </row>
    <row r="2616">
      <c r="A2616" t="inlineStr" s="25">
        <is>
          <t xml:space="preserve">Calculation</t>
        </is>
      </c>
      <c r="B2616">
        <f>IF(IF(DATE(2027,8,1)=EDATE(DATE(2027,9,1),-'Model inputs'!AM13*1)="",FALSE,DATE(2027,8,1)=EDATE(DATE(2027,9,1),-'Model inputs'!AM13*1)),IF('Model inputs'!M85="","",'Model inputs'!M85),"")</f>
      </c>
    </row>
    <row r="2617">
      <c r="A2617" t="inlineStr" s="25">
        <is>
          <t xml:space="preserve">Calculation</t>
        </is>
      </c>
      <c r="B2617">
        <f>IF(IF(DATE(2027,9,1)=EDATE(DATE(2027,9,1),-'Model inputs'!AM13*1)="",FALSE,DATE(2027,9,1)=EDATE(DATE(2027,9,1),-'Model inputs'!AM13*1)),IF('Model inputs'!N85="","",'Model inputs'!N85),"")</f>
      </c>
    </row>
    <row r="2618">
      <c r="A2618" t="inlineStr" s="25">
        <is>
          <t xml:space="preserve">Calculation</t>
        </is>
      </c>
      <c r="B2618">
        <f>IF(IF(DATE(2027,10,1)=EDATE(DATE(2027,9,1),-'Model inputs'!AM13*1)="",FALSE,DATE(2027,10,1)=EDATE(DATE(2027,9,1),-'Model inputs'!AM13*1)),IF('Model inputs'!O85="","",'Model inputs'!O85),"")</f>
      </c>
    </row>
    <row r="2619">
      <c r="A2619" t="inlineStr" s="25">
        <is>
          <t xml:space="preserve">Calculation</t>
        </is>
      </c>
      <c r="B2619">
        <f>IF(IF(DATE(2027,11,1)=EDATE(DATE(2027,9,1),-'Model inputs'!AM13*1)="",FALSE,DATE(2027,11,1)=EDATE(DATE(2027,9,1),-'Model inputs'!AM13*1)),IF('Model inputs'!P85="","",'Model inputs'!P85),"")</f>
      </c>
    </row>
    <row r="2620">
      <c r="A2620" t="inlineStr" s="25">
        <is>
          <t xml:space="preserve">Calculation</t>
        </is>
      </c>
      <c r="B2620">
        <f>IF(IF(DATE(2027,12,1)=EDATE(DATE(2027,9,1),-'Model inputs'!AM13*1)="",FALSE,DATE(2027,12,1)=EDATE(DATE(2027,9,1),-'Model inputs'!AM13*1)),IF('Model inputs'!Q85="","",'Model inputs'!Q85),"")</f>
      </c>
    </row>
    <row r="2621">
      <c r="A2621" t="inlineStr" s="25">
        <is>
          <t xml:space="preserve">Calculation</t>
        </is>
      </c>
      <c r="B2621">
        <f>IF(IF(DATE(2028,1,1)=EDATE(DATE(2027,9,1),-'Model inputs'!AM13*1)="",FALSE,DATE(2028,1,1)=EDATE(DATE(2027,9,1),-'Model inputs'!AM13*1)),IF('Model inputs'!R85="","",'Model inputs'!R85),"")</f>
      </c>
    </row>
    <row r="2622">
      <c r="A2622" t="inlineStr" s="25">
        <is>
          <t xml:space="preserve">Calculation</t>
        </is>
      </c>
      <c r="B2622">
        <f>IF(IF(DATE(2028,2,1)=EDATE(DATE(2027,9,1),-'Model inputs'!AM13*1)="",FALSE,DATE(2028,2,1)=EDATE(DATE(2027,9,1),-'Model inputs'!AM13*1)),IF('Model inputs'!S85="","",'Model inputs'!S85),"")</f>
      </c>
    </row>
    <row r="2623">
      <c r="A2623" t="inlineStr" s="25">
        <is>
          <t xml:space="preserve">Calculation</t>
        </is>
      </c>
      <c r="B2623">
        <f>IF(IF(DATE(2028,3,1)=EDATE(DATE(2027,9,1),-'Model inputs'!AM13*1)="",FALSE,DATE(2028,3,1)=EDATE(DATE(2027,9,1),-'Model inputs'!AM13*1)),IF('Model inputs'!T85="","",'Model inputs'!T85),"")</f>
      </c>
    </row>
    <row r="2624">
      <c r="A2624" t="inlineStr" s="25">
        <is>
          <t xml:space="preserve">Calculation</t>
        </is>
      </c>
      <c r="B2624">
        <f>IF(IF(DATE(2028,4,1)=EDATE(DATE(2027,9,1),-'Model inputs'!AM13*1)="",FALSE,DATE(2028,4,1)=EDATE(DATE(2027,9,1),-'Model inputs'!AM13*1)),IF('Model inputs'!U85="","",'Model inputs'!U85),"")</f>
      </c>
    </row>
    <row r="2625">
      <c r="A2625" t="inlineStr" s="25">
        <is>
          <t xml:space="preserve">Calculation</t>
        </is>
      </c>
      <c r="B2625">
        <f>IF(IF(DATE(2028,5,1)=EDATE(DATE(2027,9,1),-'Model inputs'!AM13*1)="",FALSE,DATE(2028,5,1)=EDATE(DATE(2027,9,1),-'Model inputs'!AM13*1)),IF('Model inputs'!V85="","",'Model inputs'!V85),"")</f>
      </c>
    </row>
    <row r="2626">
      <c r="A2626" t="inlineStr" s="25">
        <is>
          <t xml:space="preserve">Calculation</t>
        </is>
      </c>
      <c r="B2626">
        <f>IF(IF(DATE(2028,6,1)=EDATE(DATE(2027,9,1),-'Model inputs'!AM13*1)="",FALSE,DATE(2028,6,1)=EDATE(DATE(2027,9,1),-'Model inputs'!AM13*1)),IF('Model inputs'!W85="","",'Model inputs'!W85),"")</f>
      </c>
    </row>
    <row r="2627">
      <c r="A2627" t="inlineStr" s="25">
        <is>
          <t xml:space="preserve">Calculation</t>
        </is>
      </c>
      <c r="B2627">
        <f>IF(IF(DATE(2028,7,1)=EDATE(DATE(2027,9,1),-'Model inputs'!AM13*1)="",FALSE,DATE(2028,7,1)=EDATE(DATE(2027,9,1),-'Model inputs'!AM13*1)),IF('Model inputs'!X85="","",'Model inputs'!X85),"")</f>
      </c>
    </row>
    <row r="2628">
      <c r="A2628" t="inlineStr" s="25">
        <is>
          <t xml:space="preserve">Calculation</t>
        </is>
      </c>
      <c r="B2628">
        <f>IF(IF(DATE(2028,8,1)=EDATE(DATE(2027,9,1),-'Model inputs'!AM13*1)="",FALSE,DATE(2028,8,1)=EDATE(DATE(2027,9,1),-'Model inputs'!AM13*1)),IF('Model inputs'!Y85="","",'Model inputs'!Y85),"")</f>
      </c>
    </row>
    <row r="2629">
      <c r="A2629" t="inlineStr" s="25">
        <is>
          <t xml:space="preserve">Calculation</t>
        </is>
      </c>
      <c r="B2629">
        <f>IF(IF(DATE(2028,9,1)=EDATE(DATE(2027,9,1),-'Model inputs'!AM13*1)="",FALSE,DATE(2028,9,1)=EDATE(DATE(2027,9,1),-'Model inputs'!AM13*1)),IF('Model inputs'!Z85="","",'Model inputs'!Z85),"")</f>
      </c>
    </row>
    <row r="2630">
      <c r="A2630" t="inlineStr" s="25">
        <is>
          <t xml:space="preserve">Calculation</t>
        </is>
      </c>
      <c r="B2630">
        <f>IF(IF(DATE(2028,10,1)=EDATE(DATE(2027,9,1),-'Model inputs'!AM13*1)="",FALSE,DATE(2028,10,1)=EDATE(DATE(2027,9,1),-'Model inputs'!AM13*1)),IF('Model inputs'!AA85="","",'Model inputs'!AA85),"")</f>
      </c>
    </row>
    <row r="2631">
      <c r="A2631" t="inlineStr" s="25">
        <is>
          <t xml:space="preserve">Calculation</t>
        </is>
      </c>
      <c r="B2631">
        <f>IF(IF(DATE(2028,11,1)=EDATE(DATE(2027,9,1),-'Model inputs'!AM13*1)="",FALSE,DATE(2028,11,1)=EDATE(DATE(2027,9,1),-'Model inputs'!AM13*1)),IF('Model inputs'!AB85="","",'Model inputs'!AB85),"")</f>
      </c>
    </row>
    <row r="2632">
      <c r="A2632" t="inlineStr" s="25">
        <is>
          <t xml:space="preserve">Calculation</t>
        </is>
      </c>
      <c r="B2632">
        <f>IF(IF(DATE(2028,12,1)=EDATE(DATE(2027,9,1),-'Model inputs'!AM13*1)="",FALSE,DATE(2028,12,1)=EDATE(DATE(2027,9,1),-'Model inputs'!AM13*1)),IF('Model inputs'!AC85="","",'Model inputs'!AC85),"")</f>
      </c>
    </row>
    <row r="2633">
      <c r="A2633" t="inlineStr" s="25">
        <is>
          <t xml:space="preserve">Calculation</t>
        </is>
      </c>
      <c r="B2633">
        <f>IF(IF(DATE(2029,1,1)=EDATE(DATE(2027,9,1),-'Model inputs'!AM13*1)="",FALSE,DATE(2029,1,1)=EDATE(DATE(2027,9,1),-'Model inputs'!AM13*1)),IF('Model inputs'!AD85="","",'Model inputs'!AD85),"")</f>
      </c>
    </row>
    <row r="2634">
      <c r="A2634" t="inlineStr" s="25">
        <is>
          <t xml:space="preserve">Calculation</t>
        </is>
      </c>
      <c r="B2634">
        <f>IF(IF(DATE(2029,2,1)=EDATE(DATE(2027,9,1),-'Model inputs'!AM13*1)="",FALSE,DATE(2029,2,1)=EDATE(DATE(2027,9,1),-'Model inputs'!AM13*1)),IF('Model inputs'!AE85="","",'Model inputs'!AE85),"")</f>
      </c>
    </row>
    <row r="2635">
      <c r="A2635" t="inlineStr" s="25">
        <is>
          <t xml:space="preserve">Calculation</t>
        </is>
      </c>
      <c r="B2635">
        <f>IF(IF(DATE(2029,3,1)=EDATE(DATE(2027,9,1),-'Model inputs'!AM13*1)="",FALSE,DATE(2029,3,1)=EDATE(DATE(2027,9,1),-'Model inputs'!AM13*1)),IF('Model inputs'!AF85="","",'Model inputs'!AF85),"")</f>
      </c>
    </row>
    <row r="2636">
      <c r="A2636" t="inlineStr" s="25">
        <is>
          <t xml:space="preserve">Calculation</t>
        </is>
      </c>
      <c r="B2636">
        <f>IF(IF(DATE(2029,4,1)=EDATE(DATE(2027,9,1),-'Model inputs'!AM13*1)="",FALSE,DATE(2029,4,1)=EDATE(DATE(2027,9,1),-'Model inputs'!AM13*1)),IF('Model inputs'!AG85="","",'Model inputs'!AG85),"")</f>
      </c>
    </row>
    <row r="2637">
      <c r="A2637" t="inlineStr" s="25">
        <is>
          <t xml:space="preserve">Calculation</t>
        </is>
      </c>
      <c r="B2637">
        <f>IF(IF(DATE(2029,5,1)=EDATE(DATE(2027,9,1),-'Model inputs'!AM13*1)="",FALSE,DATE(2029,5,1)=EDATE(DATE(2027,9,1),-'Model inputs'!AM13*1)),IF('Model inputs'!AH85="","",'Model inputs'!AH85),"")</f>
      </c>
    </row>
    <row r="2638">
      <c r="A2638" t="inlineStr" s="25">
        <is>
          <t xml:space="preserve">Calculation</t>
        </is>
      </c>
      <c r="B2638">
        <f>IF(IF(DATE(2029,6,1)=EDATE(DATE(2027,9,1),-'Model inputs'!AM13*1)="",FALSE,DATE(2029,6,1)=EDATE(DATE(2027,9,1),-'Model inputs'!AM13*1)),IF('Model inputs'!AI85="","",'Model inputs'!AI85),"")</f>
      </c>
    </row>
    <row r="2639">
      <c r="A2639" t="inlineStr" s="25">
        <is>
          <t xml:space="preserve">Calculation</t>
        </is>
      </c>
      <c r="B2639">
        <f>IF(IF(DATE(2029,7,1)=EDATE(DATE(2027,9,1),-'Model inputs'!AM13*1)="",FALSE,DATE(2029,7,1)=EDATE(DATE(2027,9,1),-'Model inputs'!AM13*1)),IF('Model inputs'!AJ85="","",'Model inputs'!AJ85),"")</f>
      </c>
    </row>
    <row r="2640">
      <c r="A2640" t="inlineStr" s="25">
        <is>
          <t xml:space="preserve">Calculation</t>
        </is>
      </c>
      <c r="B2640">
        <f>IF(IF(DATE(2029,8,1)=EDATE(DATE(2027,9,1),-'Model inputs'!AM13*1)="",FALSE,DATE(2029,8,1)=EDATE(DATE(2027,9,1),-'Model inputs'!AM13*1)),IF('Model inputs'!AK85="","",'Model inputs'!AK85),"")</f>
      </c>
    </row>
    <row r="2641">
      <c r="A2641" t="inlineStr" s="25">
        <is>
          <t xml:space="preserve">Calculation</t>
        </is>
      </c>
      <c r="B2641">
        <f>IF(IF(DATE(2029,9,1)=EDATE(DATE(2027,9,1),-'Model inputs'!AM13*1)="",FALSE,DATE(2029,9,1)=EDATE(DATE(2027,9,1),-'Model inputs'!AM13*1)),IF('Model inputs'!AL85="","",'Model inputs'!AL85),"")</f>
      </c>
    </row>
    <row r="2642">
      <c r="A2642" t="inlineStr" s="25">
        <is>
          <t xml:space="preserve">Calculation</t>
        </is>
      </c>
      <c r="B2642">
        <f>SUM(IF(IF('Model inputs'!B1249="",0,1)="",0,IF('Model inputs'!B1249="",0,1)),IF(IF('Model inputs'!B2606="",0,1)="",0,IF('Model inputs'!B2606="",0,1)),IF(IF('Model inputs'!B2607="",0,1)="",0,IF('Model inputs'!B2607="",0,1)),IF(IF('Model inputs'!B2608="",0,1)="",0,IF('Model inputs'!B2608="",0,1)),IF(IF('Model inputs'!B2609="",0,1)="",0,IF('Model inputs'!B2609="",0,1)),IF(IF('Model inputs'!B2610="",0,1)="",0,IF('Model inputs'!B2610="",0,1)),IF(IF('Model inputs'!B2611="",0,1)="",0,IF('Model inputs'!B2611="",0,1)),IF(IF('Model inputs'!B2612="",0,1)="",0,IF('Model inputs'!B2612="",0,1)),IF(IF('Model inputs'!B2613="",0,1)="",0,IF('Model inputs'!B2613="",0,1)),IF(IF('Model inputs'!B2614="",0,1)="",0,IF('Model inputs'!B2614="",0,1)),IF(IF('Model inputs'!B2615="",0,1)="",0,IF('Model inputs'!B2615="",0,1)),IF(IF('Model inputs'!B2616="",0,1)="",0,IF('Model inputs'!B2616="",0,1)),IF(IF('Model inputs'!B2617="",0,1)="",0,IF('Model inputs'!B2617="",0,1)),IF(IF('Model inputs'!B2618="",0,1)="",0,IF('Model inputs'!B2618="",0,1)),IF(IF('Model inputs'!B2619="",0,1)="",0,IF('Model inputs'!B2619="",0,1)),IF(IF('Model inputs'!B2620="",0,1)="",0,IF('Model inputs'!B2620="",0,1)),IF(IF('Model inputs'!B2621="",0,1)="",0,IF('Model inputs'!B2621="",0,1)),IF(IF('Model inputs'!B2622="",0,1)="",0,IF('Model inputs'!B2622="",0,1)),IF(IF('Model inputs'!B2623="",0,1)="",0,IF('Model inputs'!B2623="",0,1)),IF(IF('Model inputs'!B2624="",0,1)="",0,IF('Model inputs'!B2624="",0,1)),IF(IF('Model inputs'!B2625="",0,1)="",0,IF('Model inputs'!B2625="",0,1)),IF(IF('Model inputs'!B2626="",0,1)="",0,IF('Model inputs'!B2626="",0,1)),IF(IF('Model inputs'!B2627="",0,1)="",0,IF('Model inputs'!B2627="",0,1)),IF(IF('Model inputs'!B2628="",0,1)="",0,IF('Model inputs'!B2628="",0,1)),IF(IF('Model inputs'!B2629="",0,1)="",0,IF('Model inputs'!B2629="",0,1)),IF(IF('Model inputs'!B2630="",0,1)="",0,IF('Model inputs'!B2630="",0,1)),IF(IF('Model inputs'!B2631="",0,1)="",0,IF('Model inputs'!B2631="",0,1)),IF(IF('Model inputs'!B2632="",0,1)="",0,IF('Model inputs'!B2632="",0,1)),IF(IF('Model inputs'!B2633="",0,1)="",0,IF('Model inputs'!B2633="",0,1)),IF(IF('Model inputs'!B2634="",0,1)="",0,IF('Model inputs'!B2634="",0,1)),IF(IF('Model inputs'!B2635="",0,1)="",0,IF('Model inputs'!B2635="",0,1)),IF(IF('Model inputs'!B2636="",0,1)="",0,IF('Model inputs'!B2636="",0,1)),IF(IF('Model inputs'!B2637="",0,1)="",0,IF('Model inputs'!B2637="",0,1)),IF(IF('Model inputs'!B2638="",0,1)="",0,IF('Model inputs'!B2638="",0,1)),IF(IF('Model inputs'!B2639="",0,1)="",0,IF('Model inputs'!B2639="",0,1)),IF(IF('Model inputs'!B2640="",0,1)="",0,IF('Model inputs'!B2640="",0,1)),IF(IF('Model inputs'!B2641="",0,1)="",0,IF('Model inputs'!B2641="",0,1)))</f>
      </c>
    </row>
    <row r="2643">
      <c r="A2643" t="inlineStr" s="25">
        <is>
          <t xml:space="preserve">Calculation</t>
        </is>
      </c>
      <c r="B2643">
        <f>IF(IF(DATE(2026,10,1)=EDATE(DATE(2027,10,1),-'Model inputs'!AM13*1)="",FALSE,DATE(2026,10,1)=EDATE(DATE(2027,10,1),-'Model inputs'!AM13*1)),IF('Model inputs'!C85="","",'Model inputs'!C85),"")</f>
      </c>
    </row>
    <row r="2644">
      <c r="A2644" t="inlineStr" s="25">
        <is>
          <t xml:space="preserve">Calculation</t>
        </is>
      </c>
      <c r="B2644">
        <f>IF(IF(DATE(2026,11,1)=EDATE(DATE(2027,10,1),-'Model inputs'!AM13*1)="",FALSE,DATE(2026,11,1)=EDATE(DATE(2027,10,1),-'Model inputs'!AM13*1)),IF('Model inputs'!D85="","",'Model inputs'!D85),"")</f>
      </c>
    </row>
    <row r="2645">
      <c r="A2645" t="inlineStr" s="25">
        <is>
          <t xml:space="preserve">Calculation</t>
        </is>
      </c>
      <c r="B2645">
        <f>IF(IF(DATE(2026,12,1)=EDATE(DATE(2027,10,1),-'Model inputs'!AM13*1)="",FALSE,DATE(2026,12,1)=EDATE(DATE(2027,10,1),-'Model inputs'!AM13*1)),IF('Model inputs'!E85="","",'Model inputs'!E85),"")</f>
      </c>
    </row>
    <row r="2646">
      <c r="A2646" t="inlineStr" s="25">
        <is>
          <t xml:space="preserve">Calculation</t>
        </is>
      </c>
      <c r="B2646">
        <f>IF(IF(DATE(2027,1,1)=EDATE(DATE(2027,10,1),-'Model inputs'!AM13*1)="",FALSE,DATE(2027,1,1)=EDATE(DATE(2027,10,1),-'Model inputs'!AM13*1)),IF('Model inputs'!F85="","",'Model inputs'!F85),"")</f>
      </c>
    </row>
    <row r="2647">
      <c r="A2647" t="inlineStr" s="25">
        <is>
          <t xml:space="preserve">Calculation</t>
        </is>
      </c>
      <c r="B2647">
        <f>IF(IF(DATE(2027,2,1)=EDATE(DATE(2027,10,1),-'Model inputs'!AM13*1)="",FALSE,DATE(2027,2,1)=EDATE(DATE(2027,10,1),-'Model inputs'!AM13*1)),IF('Model inputs'!G85="","",'Model inputs'!G85),"")</f>
      </c>
    </row>
    <row r="2648">
      <c r="A2648" t="inlineStr" s="25">
        <is>
          <t xml:space="preserve">Calculation</t>
        </is>
      </c>
      <c r="B2648">
        <f>IF(IF(DATE(2027,3,1)=EDATE(DATE(2027,10,1),-'Model inputs'!AM13*1)="",FALSE,DATE(2027,3,1)=EDATE(DATE(2027,10,1),-'Model inputs'!AM13*1)),IF('Model inputs'!H85="","",'Model inputs'!H85),"")</f>
      </c>
    </row>
    <row r="2649">
      <c r="A2649" t="inlineStr" s="25">
        <is>
          <t xml:space="preserve">Calculation</t>
        </is>
      </c>
      <c r="B2649">
        <f>IF(IF(DATE(2027,4,1)=EDATE(DATE(2027,10,1),-'Model inputs'!AM13*1)="",FALSE,DATE(2027,4,1)=EDATE(DATE(2027,10,1),-'Model inputs'!AM13*1)),IF('Model inputs'!I85="","",'Model inputs'!I85),"")</f>
      </c>
    </row>
    <row r="2650">
      <c r="A2650" t="inlineStr" s="25">
        <is>
          <t xml:space="preserve">Calculation</t>
        </is>
      </c>
      <c r="B2650">
        <f>IF(IF(DATE(2027,5,1)=EDATE(DATE(2027,10,1),-'Model inputs'!AM13*1)="",FALSE,DATE(2027,5,1)=EDATE(DATE(2027,10,1),-'Model inputs'!AM13*1)),IF('Model inputs'!J85="","",'Model inputs'!J85),"")</f>
      </c>
    </row>
    <row r="2651">
      <c r="A2651" t="inlineStr" s="25">
        <is>
          <t xml:space="preserve">Calculation</t>
        </is>
      </c>
      <c r="B2651">
        <f>IF(IF(DATE(2027,6,1)=EDATE(DATE(2027,10,1),-'Model inputs'!AM13*1)="",FALSE,DATE(2027,6,1)=EDATE(DATE(2027,10,1),-'Model inputs'!AM13*1)),IF('Model inputs'!K85="","",'Model inputs'!K85),"")</f>
      </c>
    </row>
    <row r="2652">
      <c r="A2652" t="inlineStr" s="25">
        <is>
          <t xml:space="preserve">Calculation</t>
        </is>
      </c>
      <c r="B2652">
        <f>IF(IF(DATE(2027,7,1)=EDATE(DATE(2027,10,1),-'Model inputs'!AM13*1)="",FALSE,DATE(2027,7,1)=EDATE(DATE(2027,10,1),-'Model inputs'!AM13*1)),IF('Model inputs'!L85="","",'Model inputs'!L85),"")</f>
      </c>
    </row>
    <row r="2653">
      <c r="A2653" t="inlineStr" s="25">
        <is>
          <t xml:space="preserve">Calculation</t>
        </is>
      </c>
      <c r="B2653">
        <f>IF(IF(DATE(2027,8,1)=EDATE(DATE(2027,10,1),-'Model inputs'!AM13*1)="",FALSE,DATE(2027,8,1)=EDATE(DATE(2027,10,1),-'Model inputs'!AM13*1)),IF('Model inputs'!M85="","",'Model inputs'!M85),"")</f>
      </c>
    </row>
    <row r="2654">
      <c r="A2654" t="inlineStr" s="25">
        <is>
          <t xml:space="preserve">Calculation</t>
        </is>
      </c>
      <c r="B2654">
        <f>IF(IF(DATE(2027,9,1)=EDATE(DATE(2027,10,1),-'Model inputs'!AM13*1)="",FALSE,DATE(2027,9,1)=EDATE(DATE(2027,10,1),-'Model inputs'!AM13*1)),IF('Model inputs'!N85="","",'Model inputs'!N85),"")</f>
      </c>
    </row>
    <row r="2655">
      <c r="A2655" t="inlineStr" s="25">
        <is>
          <t xml:space="preserve">Calculation</t>
        </is>
      </c>
      <c r="B2655">
        <f>IF(IF(DATE(2027,10,1)=EDATE(DATE(2027,10,1),-'Model inputs'!AM13*1)="",FALSE,DATE(2027,10,1)=EDATE(DATE(2027,10,1),-'Model inputs'!AM13*1)),IF('Model inputs'!O85="","",'Model inputs'!O85),"")</f>
      </c>
    </row>
    <row r="2656">
      <c r="A2656" t="inlineStr" s="25">
        <is>
          <t xml:space="preserve">Calculation</t>
        </is>
      </c>
      <c r="B2656">
        <f>IF(IF(DATE(2027,11,1)=EDATE(DATE(2027,10,1),-'Model inputs'!AM13*1)="",FALSE,DATE(2027,11,1)=EDATE(DATE(2027,10,1),-'Model inputs'!AM13*1)),IF('Model inputs'!P85="","",'Model inputs'!P85),"")</f>
      </c>
    </row>
    <row r="2657">
      <c r="A2657" t="inlineStr" s="25">
        <is>
          <t xml:space="preserve">Calculation</t>
        </is>
      </c>
      <c r="B2657">
        <f>IF(IF(DATE(2027,12,1)=EDATE(DATE(2027,10,1),-'Model inputs'!AM13*1)="",FALSE,DATE(2027,12,1)=EDATE(DATE(2027,10,1),-'Model inputs'!AM13*1)),IF('Model inputs'!Q85="","",'Model inputs'!Q85),"")</f>
      </c>
    </row>
    <row r="2658">
      <c r="A2658" t="inlineStr" s="25">
        <is>
          <t xml:space="preserve">Calculation</t>
        </is>
      </c>
      <c r="B2658">
        <f>IF(IF(DATE(2028,1,1)=EDATE(DATE(2027,10,1),-'Model inputs'!AM13*1)="",FALSE,DATE(2028,1,1)=EDATE(DATE(2027,10,1),-'Model inputs'!AM13*1)),IF('Model inputs'!R85="","",'Model inputs'!R85),"")</f>
      </c>
    </row>
    <row r="2659">
      <c r="A2659" t="inlineStr" s="25">
        <is>
          <t xml:space="preserve">Calculation</t>
        </is>
      </c>
      <c r="B2659">
        <f>IF(IF(DATE(2028,2,1)=EDATE(DATE(2027,10,1),-'Model inputs'!AM13*1)="",FALSE,DATE(2028,2,1)=EDATE(DATE(2027,10,1),-'Model inputs'!AM13*1)),IF('Model inputs'!S85="","",'Model inputs'!S85),"")</f>
      </c>
    </row>
    <row r="2660">
      <c r="A2660" t="inlineStr" s="25">
        <is>
          <t xml:space="preserve">Calculation</t>
        </is>
      </c>
      <c r="B2660">
        <f>IF(IF(DATE(2028,3,1)=EDATE(DATE(2027,10,1),-'Model inputs'!AM13*1)="",FALSE,DATE(2028,3,1)=EDATE(DATE(2027,10,1),-'Model inputs'!AM13*1)),IF('Model inputs'!T85="","",'Model inputs'!T85),"")</f>
      </c>
    </row>
    <row r="2661">
      <c r="A2661" t="inlineStr" s="25">
        <is>
          <t xml:space="preserve">Calculation</t>
        </is>
      </c>
      <c r="B2661">
        <f>IF(IF(DATE(2028,4,1)=EDATE(DATE(2027,10,1),-'Model inputs'!AM13*1)="",FALSE,DATE(2028,4,1)=EDATE(DATE(2027,10,1),-'Model inputs'!AM13*1)),IF('Model inputs'!U85="","",'Model inputs'!U85),"")</f>
      </c>
    </row>
    <row r="2662">
      <c r="A2662" t="inlineStr" s="25">
        <is>
          <t xml:space="preserve">Calculation</t>
        </is>
      </c>
      <c r="B2662">
        <f>IF(IF(DATE(2028,5,1)=EDATE(DATE(2027,10,1),-'Model inputs'!AM13*1)="",FALSE,DATE(2028,5,1)=EDATE(DATE(2027,10,1),-'Model inputs'!AM13*1)),IF('Model inputs'!V85="","",'Model inputs'!V85),"")</f>
      </c>
    </row>
    <row r="2663">
      <c r="A2663" t="inlineStr" s="25">
        <is>
          <t xml:space="preserve">Calculation</t>
        </is>
      </c>
      <c r="B2663">
        <f>IF(IF(DATE(2028,6,1)=EDATE(DATE(2027,10,1),-'Model inputs'!AM13*1)="",FALSE,DATE(2028,6,1)=EDATE(DATE(2027,10,1),-'Model inputs'!AM13*1)),IF('Model inputs'!W85="","",'Model inputs'!W85),"")</f>
      </c>
    </row>
    <row r="2664">
      <c r="A2664" t="inlineStr" s="25">
        <is>
          <t xml:space="preserve">Calculation</t>
        </is>
      </c>
      <c r="B2664">
        <f>IF(IF(DATE(2028,7,1)=EDATE(DATE(2027,10,1),-'Model inputs'!AM13*1)="",FALSE,DATE(2028,7,1)=EDATE(DATE(2027,10,1),-'Model inputs'!AM13*1)),IF('Model inputs'!X85="","",'Model inputs'!X85),"")</f>
      </c>
    </row>
    <row r="2665">
      <c r="A2665" t="inlineStr" s="25">
        <is>
          <t xml:space="preserve">Calculation</t>
        </is>
      </c>
      <c r="B2665">
        <f>IF(IF(DATE(2028,8,1)=EDATE(DATE(2027,10,1),-'Model inputs'!AM13*1)="",FALSE,DATE(2028,8,1)=EDATE(DATE(2027,10,1),-'Model inputs'!AM13*1)),IF('Model inputs'!Y85="","",'Model inputs'!Y85),"")</f>
      </c>
    </row>
    <row r="2666">
      <c r="A2666" t="inlineStr" s="25">
        <is>
          <t xml:space="preserve">Calculation</t>
        </is>
      </c>
      <c r="B2666">
        <f>IF(IF(DATE(2028,9,1)=EDATE(DATE(2027,10,1),-'Model inputs'!AM13*1)="",FALSE,DATE(2028,9,1)=EDATE(DATE(2027,10,1),-'Model inputs'!AM13*1)),IF('Model inputs'!Z85="","",'Model inputs'!Z85),"")</f>
      </c>
    </row>
    <row r="2667">
      <c r="A2667" t="inlineStr" s="25">
        <is>
          <t xml:space="preserve">Calculation</t>
        </is>
      </c>
      <c r="B2667">
        <f>IF(IF(DATE(2028,10,1)=EDATE(DATE(2027,10,1),-'Model inputs'!AM13*1)="",FALSE,DATE(2028,10,1)=EDATE(DATE(2027,10,1),-'Model inputs'!AM13*1)),IF('Model inputs'!AA85="","",'Model inputs'!AA85),"")</f>
      </c>
    </row>
    <row r="2668">
      <c r="A2668" t="inlineStr" s="25">
        <is>
          <t xml:space="preserve">Calculation</t>
        </is>
      </c>
      <c r="B2668">
        <f>IF(IF(DATE(2028,11,1)=EDATE(DATE(2027,10,1),-'Model inputs'!AM13*1)="",FALSE,DATE(2028,11,1)=EDATE(DATE(2027,10,1),-'Model inputs'!AM13*1)),IF('Model inputs'!AB85="","",'Model inputs'!AB85),"")</f>
      </c>
    </row>
    <row r="2669">
      <c r="A2669" t="inlineStr" s="25">
        <is>
          <t xml:space="preserve">Calculation</t>
        </is>
      </c>
      <c r="B2669">
        <f>IF(IF(DATE(2028,12,1)=EDATE(DATE(2027,10,1),-'Model inputs'!AM13*1)="",FALSE,DATE(2028,12,1)=EDATE(DATE(2027,10,1),-'Model inputs'!AM13*1)),IF('Model inputs'!AC85="","",'Model inputs'!AC85),"")</f>
      </c>
    </row>
    <row r="2670">
      <c r="A2670" t="inlineStr" s="25">
        <is>
          <t xml:space="preserve">Calculation</t>
        </is>
      </c>
      <c r="B2670">
        <f>IF(IF(DATE(2029,1,1)=EDATE(DATE(2027,10,1),-'Model inputs'!AM13*1)="",FALSE,DATE(2029,1,1)=EDATE(DATE(2027,10,1),-'Model inputs'!AM13*1)),IF('Model inputs'!AD85="","",'Model inputs'!AD85),"")</f>
      </c>
    </row>
    <row r="2671">
      <c r="A2671" t="inlineStr" s="25">
        <is>
          <t xml:space="preserve">Calculation</t>
        </is>
      </c>
      <c r="B2671">
        <f>IF(IF(DATE(2029,2,1)=EDATE(DATE(2027,10,1),-'Model inputs'!AM13*1)="",FALSE,DATE(2029,2,1)=EDATE(DATE(2027,10,1),-'Model inputs'!AM13*1)),IF('Model inputs'!AE85="","",'Model inputs'!AE85),"")</f>
      </c>
    </row>
    <row r="2672">
      <c r="A2672" t="inlineStr" s="25">
        <is>
          <t xml:space="preserve">Calculation</t>
        </is>
      </c>
      <c r="B2672">
        <f>IF(IF(DATE(2029,3,1)=EDATE(DATE(2027,10,1),-'Model inputs'!AM13*1)="",FALSE,DATE(2029,3,1)=EDATE(DATE(2027,10,1),-'Model inputs'!AM13*1)),IF('Model inputs'!AF85="","",'Model inputs'!AF85),"")</f>
      </c>
    </row>
    <row r="2673">
      <c r="A2673" t="inlineStr" s="25">
        <is>
          <t xml:space="preserve">Calculation</t>
        </is>
      </c>
      <c r="B2673">
        <f>IF(IF(DATE(2029,4,1)=EDATE(DATE(2027,10,1),-'Model inputs'!AM13*1)="",FALSE,DATE(2029,4,1)=EDATE(DATE(2027,10,1),-'Model inputs'!AM13*1)),IF('Model inputs'!AG85="","",'Model inputs'!AG85),"")</f>
      </c>
    </row>
    <row r="2674">
      <c r="A2674" t="inlineStr" s="25">
        <is>
          <t xml:space="preserve">Calculation</t>
        </is>
      </c>
      <c r="B2674">
        <f>IF(IF(DATE(2029,5,1)=EDATE(DATE(2027,10,1),-'Model inputs'!AM13*1)="",FALSE,DATE(2029,5,1)=EDATE(DATE(2027,10,1),-'Model inputs'!AM13*1)),IF('Model inputs'!AH85="","",'Model inputs'!AH85),"")</f>
      </c>
    </row>
    <row r="2675">
      <c r="A2675" t="inlineStr" s="25">
        <is>
          <t xml:space="preserve">Calculation</t>
        </is>
      </c>
      <c r="B2675">
        <f>IF(IF(DATE(2029,6,1)=EDATE(DATE(2027,10,1),-'Model inputs'!AM13*1)="",FALSE,DATE(2029,6,1)=EDATE(DATE(2027,10,1),-'Model inputs'!AM13*1)),IF('Model inputs'!AI85="","",'Model inputs'!AI85),"")</f>
      </c>
    </row>
    <row r="2676">
      <c r="A2676" t="inlineStr" s="25">
        <is>
          <t xml:space="preserve">Calculation</t>
        </is>
      </c>
      <c r="B2676">
        <f>IF(IF(DATE(2029,7,1)=EDATE(DATE(2027,10,1),-'Model inputs'!AM13*1)="",FALSE,DATE(2029,7,1)=EDATE(DATE(2027,10,1),-'Model inputs'!AM13*1)),IF('Model inputs'!AJ85="","",'Model inputs'!AJ85),"")</f>
      </c>
    </row>
    <row r="2677">
      <c r="A2677" t="inlineStr" s="25">
        <is>
          <t xml:space="preserve">Calculation</t>
        </is>
      </c>
      <c r="B2677">
        <f>IF(IF(DATE(2029,8,1)=EDATE(DATE(2027,10,1),-'Model inputs'!AM13*1)="",FALSE,DATE(2029,8,1)=EDATE(DATE(2027,10,1),-'Model inputs'!AM13*1)),IF('Model inputs'!AK85="","",'Model inputs'!AK85),"")</f>
      </c>
    </row>
    <row r="2678">
      <c r="A2678" t="inlineStr" s="25">
        <is>
          <t xml:space="preserve">Calculation</t>
        </is>
      </c>
      <c r="B2678">
        <f>IF(IF(DATE(2029,9,1)=EDATE(DATE(2027,10,1),-'Model inputs'!AM13*1)="",FALSE,DATE(2029,9,1)=EDATE(DATE(2027,10,1),-'Model inputs'!AM13*1)),IF('Model inputs'!AL85="","",'Model inputs'!AL85),"")</f>
      </c>
    </row>
    <row r="2679">
      <c r="A2679" t="inlineStr" s="25">
        <is>
          <t xml:space="preserve">Calculation</t>
        </is>
      </c>
      <c r="B2679">
        <f>SUM(IF(IF('Model inputs'!B1287="",0,1)="",0,IF('Model inputs'!B1287="",0,1)),IF(IF('Model inputs'!B2643="",0,1)="",0,IF('Model inputs'!B2643="",0,1)),IF(IF('Model inputs'!B2644="",0,1)="",0,IF('Model inputs'!B2644="",0,1)),IF(IF('Model inputs'!B2645="",0,1)="",0,IF('Model inputs'!B2645="",0,1)),IF(IF('Model inputs'!B2646="",0,1)="",0,IF('Model inputs'!B2646="",0,1)),IF(IF('Model inputs'!B2647="",0,1)="",0,IF('Model inputs'!B2647="",0,1)),IF(IF('Model inputs'!B2648="",0,1)="",0,IF('Model inputs'!B2648="",0,1)),IF(IF('Model inputs'!B2649="",0,1)="",0,IF('Model inputs'!B2649="",0,1)),IF(IF('Model inputs'!B2650="",0,1)="",0,IF('Model inputs'!B2650="",0,1)),IF(IF('Model inputs'!B2651="",0,1)="",0,IF('Model inputs'!B2651="",0,1)),IF(IF('Model inputs'!B2652="",0,1)="",0,IF('Model inputs'!B2652="",0,1)),IF(IF('Model inputs'!B2653="",0,1)="",0,IF('Model inputs'!B2653="",0,1)),IF(IF('Model inputs'!B2654="",0,1)="",0,IF('Model inputs'!B2654="",0,1)),IF(IF('Model inputs'!B2655="",0,1)="",0,IF('Model inputs'!B2655="",0,1)),IF(IF('Model inputs'!B2656="",0,1)="",0,IF('Model inputs'!B2656="",0,1)),IF(IF('Model inputs'!B2657="",0,1)="",0,IF('Model inputs'!B2657="",0,1)),IF(IF('Model inputs'!B2658="",0,1)="",0,IF('Model inputs'!B2658="",0,1)),IF(IF('Model inputs'!B2659="",0,1)="",0,IF('Model inputs'!B2659="",0,1)),IF(IF('Model inputs'!B2660="",0,1)="",0,IF('Model inputs'!B2660="",0,1)),IF(IF('Model inputs'!B2661="",0,1)="",0,IF('Model inputs'!B2661="",0,1)),IF(IF('Model inputs'!B2662="",0,1)="",0,IF('Model inputs'!B2662="",0,1)),IF(IF('Model inputs'!B2663="",0,1)="",0,IF('Model inputs'!B2663="",0,1)),IF(IF('Model inputs'!B2664="",0,1)="",0,IF('Model inputs'!B2664="",0,1)),IF(IF('Model inputs'!B2665="",0,1)="",0,IF('Model inputs'!B2665="",0,1)),IF(IF('Model inputs'!B2666="",0,1)="",0,IF('Model inputs'!B2666="",0,1)),IF(IF('Model inputs'!B2667="",0,1)="",0,IF('Model inputs'!B2667="",0,1)),IF(IF('Model inputs'!B2668="",0,1)="",0,IF('Model inputs'!B2668="",0,1)),IF(IF('Model inputs'!B2669="",0,1)="",0,IF('Model inputs'!B2669="",0,1)),IF(IF('Model inputs'!B2670="",0,1)="",0,IF('Model inputs'!B2670="",0,1)),IF(IF('Model inputs'!B2671="",0,1)="",0,IF('Model inputs'!B2671="",0,1)),IF(IF('Model inputs'!B2672="",0,1)="",0,IF('Model inputs'!B2672="",0,1)),IF(IF('Model inputs'!B2673="",0,1)="",0,IF('Model inputs'!B2673="",0,1)),IF(IF('Model inputs'!B2674="",0,1)="",0,IF('Model inputs'!B2674="",0,1)),IF(IF('Model inputs'!B2675="",0,1)="",0,IF('Model inputs'!B2675="",0,1)),IF(IF('Model inputs'!B2676="",0,1)="",0,IF('Model inputs'!B2676="",0,1)),IF(IF('Model inputs'!B2677="",0,1)="",0,IF('Model inputs'!B2677="",0,1)),IF(IF('Model inputs'!B2678="",0,1)="",0,IF('Model inputs'!B2678="",0,1)))</f>
      </c>
    </row>
    <row r="2680">
      <c r="A2680" t="inlineStr" s="25">
        <is>
          <t xml:space="preserve">Calculation</t>
        </is>
      </c>
      <c r="B2680">
        <f>IF(IF(DATE(2026,10,1)=EDATE(DATE(2027,11,1),-'Model inputs'!AM13*1)="",FALSE,DATE(2026,10,1)=EDATE(DATE(2027,11,1),-'Model inputs'!AM13*1)),IF('Model inputs'!C85="","",'Model inputs'!C85),"")</f>
      </c>
    </row>
    <row r="2681">
      <c r="A2681" t="inlineStr" s="25">
        <is>
          <t xml:space="preserve">Calculation</t>
        </is>
      </c>
      <c r="B2681">
        <f>IF(IF(DATE(2026,11,1)=EDATE(DATE(2027,11,1),-'Model inputs'!AM13*1)="",FALSE,DATE(2026,11,1)=EDATE(DATE(2027,11,1),-'Model inputs'!AM13*1)),IF('Model inputs'!D85="","",'Model inputs'!D85),"")</f>
      </c>
    </row>
    <row r="2682">
      <c r="A2682" t="inlineStr" s="25">
        <is>
          <t xml:space="preserve">Calculation</t>
        </is>
      </c>
      <c r="B2682">
        <f>IF(IF(DATE(2026,12,1)=EDATE(DATE(2027,11,1),-'Model inputs'!AM13*1)="",FALSE,DATE(2026,12,1)=EDATE(DATE(2027,11,1),-'Model inputs'!AM13*1)),IF('Model inputs'!E85="","",'Model inputs'!E85),"")</f>
      </c>
    </row>
    <row r="2683">
      <c r="A2683" t="inlineStr" s="25">
        <is>
          <t xml:space="preserve">Calculation</t>
        </is>
      </c>
      <c r="B2683">
        <f>IF(IF(DATE(2027,1,1)=EDATE(DATE(2027,11,1),-'Model inputs'!AM13*1)="",FALSE,DATE(2027,1,1)=EDATE(DATE(2027,11,1),-'Model inputs'!AM13*1)),IF('Model inputs'!F85="","",'Model inputs'!F85),"")</f>
      </c>
    </row>
    <row r="2684">
      <c r="A2684" t="inlineStr" s="25">
        <is>
          <t xml:space="preserve">Calculation</t>
        </is>
      </c>
      <c r="B2684">
        <f>IF(IF(DATE(2027,2,1)=EDATE(DATE(2027,11,1),-'Model inputs'!AM13*1)="",FALSE,DATE(2027,2,1)=EDATE(DATE(2027,11,1),-'Model inputs'!AM13*1)),IF('Model inputs'!G85="","",'Model inputs'!G85),"")</f>
      </c>
    </row>
    <row r="2685">
      <c r="A2685" t="inlineStr" s="25">
        <is>
          <t xml:space="preserve">Calculation</t>
        </is>
      </c>
      <c r="B2685">
        <f>IF(IF(DATE(2027,3,1)=EDATE(DATE(2027,11,1),-'Model inputs'!AM13*1)="",FALSE,DATE(2027,3,1)=EDATE(DATE(2027,11,1),-'Model inputs'!AM13*1)),IF('Model inputs'!H85="","",'Model inputs'!H85),"")</f>
      </c>
    </row>
    <row r="2686">
      <c r="A2686" t="inlineStr" s="25">
        <is>
          <t xml:space="preserve">Calculation</t>
        </is>
      </c>
      <c r="B2686">
        <f>IF(IF(DATE(2027,4,1)=EDATE(DATE(2027,11,1),-'Model inputs'!AM13*1)="",FALSE,DATE(2027,4,1)=EDATE(DATE(2027,11,1),-'Model inputs'!AM13*1)),IF('Model inputs'!I85="","",'Model inputs'!I85),"")</f>
      </c>
    </row>
    <row r="2687">
      <c r="A2687" t="inlineStr" s="25">
        <is>
          <t xml:space="preserve">Calculation</t>
        </is>
      </c>
      <c r="B2687">
        <f>IF(IF(DATE(2027,5,1)=EDATE(DATE(2027,11,1),-'Model inputs'!AM13*1)="",FALSE,DATE(2027,5,1)=EDATE(DATE(2027,11,1),-'Model inputs'!AM13*1)),IF('Model inputs'!J85="","",'Model inputs'!J85),"")</f>
      </c>
    </row>
    <row r="2688">
      <c r="A2688" t="inlineStr" s="25">
        <is>
          <t xml:space="preserve">Calculation</t>
        </is>
      </c>
      <c r="B2688">
        <f>IF(IF(DATE(2027,6,1)=EDATE(DATE(2027,11,1),-'Model inputs'!AM13*1)="",FALSE,DATE(2027,6,1)=EDATE(DATE(2027,11,1),-'Model inputs'!AM13*1)),IF('Model inputs'!K85="","",'Model inputs'!K85),"")</f>
      </c>
    </row>
    <row r="2689">
      <c r="A2689" t="inlineStr" s="25">
        <is>
          <t xml:space="preserve">Calculation</t>
        </is>
      </c>
      <c r="B2689">
        <f>IF(IF(DATE(2027,7,1)=EDATE(DATE(2027,11,1),-'Model inputs'!AM13*1)="",FALSE,DATE(2027,7,1)=EDATE(DATE(2027,11,1),-'Model inputs'!AM13*1)),IF('Model inputs'!L85="","",'Model inputs'!L85),"")</f>
      </c>
    </row>
    <row r="2690">
      <c r="A2690" t="inlineStr" s="25">
        <is>
          <t xml:space="preserve">Calculation</t>
        </is>
      </c>
      <c r="B2690">
        <f>IF(IF(DATE(2027,8,1)=EDATE(DATE(2027,11,1),-'Model inputs'!AM13*1)="",FALSE,DATE(2027,8,1)=EDATE(DATE(2027,11,1),-'Model inputs'!AM13*1)),IF('Model inputs'!M85="","",'Model inputs'!M85),"")</f>
      </c>
    </row>
    <row r="2691">
      <c r="A2691" t="inlineStr" s="25">
        <is>
          <t xml:space="preserve">Calculation</t>
        </is>
      </c>
      <c r="B2691">
        <f>IF(IF(DATE(2027,9,1)=EDATE(DATE(2027,11,1),-'Model inputs'!AM13*1)="",FALSE,DATE(2027,9,1)=EDATE(DATE(2027,11,1),-'Model inputs'!AM13*1)),IF('Model inputs'!N85="","",'Model inputs'!N85),"")</f>
      </c>
    </row>
    <row r="2692">
      <c r="A2692" t="inlineStr" s="25">
        <is>
          <t xml:space="preserve">Calculation</t>
        </is>
      </c>
      <c r="B2692">
        <f>IF(IF(DATE(2027,10,1)=EDATE(DATE(2027,11,1),-'Model inputs'!AM13*1)="",FALSE,DATE(2027,10,1)=EDATE(DATE(2027,11,1),-'Model inputs'!AM13*1)),IF('Model inputs'!O85="","",'Model inputs'!O85),"")</f>
      </c>
    </row>
    <row r="2693">
      <c r="A2693" t="inlineStr" s="25">
        <is>
          <t xml:space="preserve">Calculation</t>
        </is>
      </c>
      <c r="B2693">
        <f>IF(IF(DATE(2027,11,1)=EDATE(DATE(2027,11,1),-'Model inputs'!AM13*1)="",FALSE,DATE(2027,11,1)=EDATE(DATE(2027,11,1),-'Model inputs'!AM13*1)),IF('Model inputs'!P85="","",'Model inputs'!P85),"")</f>
      </c>
    </row>
    <row r="2694">
      <c r="A2694" t="inlineStr" s="25">
        <is>
          <t xml:space="preserve">Calculation</t>
        </is>
      </c>
      <c r="B2694">
        <f>IF(IF(DATE(2027,12,1)=EDATE(DATE(2027,11,1),-'Model inputs'!AM13*1)="",FALSE,DATE(2027,12,1)=EDATE(DATE(2027,11,1),-'Model inputs'!AM13*1)),IF('Model inputs'!Q85="","",'Model inputs'!Q85),"")</f>
      </c>
    </row>
    <row r="2695">
      <c r="A2695" t="inlineStr" s="25">
        <is>
          <t xml:space="preserve">Calculation</t>
        </is>
      </c>
      <c r="B2695">
        <f>IF(IF(DATE(2028,1,1)=EDATE(DATE(2027,11,1),-'Model inputs'!AM13*1)="",FALSE,DATE(2028,1,1)=EDATE(DATE(2027,11,1),-'Model inputs'!AM13*1)),IF('Model inputs'!R85="","",'Model inputs'!R85),"")</f>
      </c>
    </row>
    <row r="2696">
      <c r="A2696" t="inlineStr" s="25">
        <is>
          <t xml:space="preserve">Calculation</t>
        </is>
      </c>
      <c r="B2696">
        <f>IF(IF(DATE(2028,2,1)=EDATE(DATE(2027,11,1),-'Model inputs'!AM13*1)="",FALSE,DATE(2028,2,1)=EDATE(DATE(2027,11,1),-'Model inputs'!AM13*1)),IF('Model inputs'!S85="","",'Model inputs'!S85),"")</f>
      </c>
    </row>
    <row r="2697">
      <c r="A2697" t="inlineStr" s="25">
        <is>
          <t xml:space="preserve">Calculation</t>
        </is>
      </c>
      <c r="B2697">
        <f>IF(IF(DATE(2028,3,1)=EDATE(DATE(2027,11,1),-'Model inputs'!AM13*1)="",FALSE,DATE(2028,3,1)=EDATE(DATE(2027,11,1),-'Model inputs'!AM13*1)),IF('Model inputs'!T85="","",'Model inputs'!T85),"")</f>
      </c>
    </row>
    <row r="2698">
      <c r="A2698" t="inlineStr" s="25">
        <is>
          <t xml:space="preserve">Calculation</t>
        </is>
      </c>
      <c r="B2698">
        <f>IF(IF(DATE(2028,4,1)=EDATE(DATE(2027,11,1),-'Model inputs'!AM13*1)="",FALSE,DATE(2028,4,1)=EDATE(DATE(2027,11,1),-'Model inputs'!AM13*1)),IF('Model inputs'!U85="","",'Model inputs'!U85),"")</f>
      </c>
    </row>
    <row r="2699">
      <c r="A2699" t="inlineStr" s="25">
        <is>
          <t xml:space="preserve">Calculation</t>
        </is>
      </c>
      <c r="B2699">
        <f>IF(IF(DATE(2028,5,1)=EDATE(DATE(2027,11,1),-'Model inputs'!AM13*1)="",FALSE,DATE(2028,5,1)=EDATE(DATE(2027,11,1),-'Model inputs'!AM13*1)),IF('Model inputs'!V85="","",'Model inputs'!V85),"")</f>
      </c>
    </row>
    <row r="2700">
      <c r="A2700" t="inlineStr" s="25">
        <is>
          <t xml:space="preserve">Calculation</t>
        </is>
      </c>
      <c r="B2700">
        <f>IF(IF(DATE(2028,6,1)=EDATE(DATE(2027,11,1),-'Model inputs'!AM13*1)="",FALSE,DATE(2028,6,1)=EDATE(DATE(2027,11,1),-'Model inputs'!AM13*1)),IF('Model inputs'!W85="","",'Model inputs'!W85),"")</f>
      </c>
    </row>
    <row r="2701">
      <c r="A2701" t="inlineStr" s="25">
        <is>
          <t xml:space="preserve">Calculation</t>
        </is>
      </c>
      <c r="B2701">
        <f>IF(IF(DATE(2028,7,1)=EDATE(DATE(2027,11,1),-'Model inputs'!AM13*1)="",FALSE,DATE(2028,7,1)=EDATE(DATE(2027,11,1),-'Model inputs'!AM13*1)),IF('Model inputs'!X85="","",'Model inputs'!X85),"")</f>
      </c>
    </row>
    <row r="2702">
      <c r="A2702" t="inlineStr" s="25">
        <is>
          <t xml:space="preserve">Calculation</t>
        </is>
      </c>
      <c r="B2702">
        <f>IF(IF(DATE(2028,8,1)=EDATE(DATE(2027,11,1),-'Model inputs'!AM13*1)="",FALSE,DATE(2028,8,1)=EDATE(DATE(2027,11,1),-'Model inputs'!AM13*1)),IF('Model inputs'!Y85="","",'Model inputs'!Y85),"")</f>
      </c>
    </row>
    <row r="2703">
      <c r="A2703" t="inlineStr" s="25">
        <is>
          <t xml:space="preserve">Calculation</t>
        </is>
      </c>
      <c r="B2703">
        <f>IF(IF(DATE(2028,9,1)=EDATE(DATE(2027,11,1),-'Model inputs'!AM13*1)="",FALSE,DATE(2028,9,1)=EDATE(DATE(2027,11,1),-'Model inputs'!AM13*1)),IF('Model inputs'!Z85="","",'Model inputs'!Z85),"")</f>
      </c>
    </row>
    <row r="2704">
      <c r="A2704" t="inlineStr" s="25">
        <is>
          <t xml:space="preserve">Calculation</t>
        </is>
      </c>
      <c r="B2704">
        <f>IF(IF(DATE(2028,10,1)=EDATE(DATE(2027,11,1),-'Model inputs'!AM13*1)="",FALSE,DATE(2028,10,1)=EDATE(DATE(2027,11,1),-'Model inputs'!AM13*1)),IF('Model inputs'!AA85="","",'Model inputs'!AA85),"")</f>
      </c>
    </row>
    <row r="2705">
      <c r="A2705" t="inlineStr" s="25">
        <is>
          <t xml:space="preserve">Calculation</t>
        </is>
      </c>
      <c r="B2705">
        <f>IF(IF(DATE(2028,11,1)=EDATE(DATE(2027,11,1),-'Model inputs'!AM13*1)="",FALSE,DATE(2028,11,1)=EDATE(DATE(2027,11,1),-'Model inputs'!AM13*1)),IF('Model inputs'!AB85="","",'Model inputs'!AB85),"")</f>
      </c>
    </row>
    <row r="2706">
      <c r="A2706" t="inlineStr" s="25">
        <is>
          <t xml:space="preserve">Calculation</t>
        </is>
      </c>
      <c r="B2706">
        <f>IF(IF(DATE(2028,12,1)=EDATE(DATE(2027,11,1),-'Model inputs'!AM13*1)="",FALSE,DATE(2028,12,1)=EDATE(DATE(2027,11,1),-'Model inputs'!AM13*1)),IF('Model inputs'!AC85="","",'Model inputs'!AC85),"")</f>
      </c>
    </row>
    <row r="2707">
      <c r="A2707" t="inlineStr" s="25">
        <is>
          <t xml:space="preserve">Calculation</t>
        </is>
      </c>
      <c r="B2707">
        <f>IF(IF(DATE(2029,1,1)=EDATE(DATE(2027,11,1),-'Model inputs'!AM13*1)="",FALSE,DATE(2029,1,1)=EDATE(DATE(2027,11,1),-'Model inputs'!AM13*1)),IF('Model inputs'!AD85="","",'Model inputs'!AD85),"")</f>
      </c>
    </row>
    <row r="2708">
      <c r="A2708" t="inlineStr" s="25">
        <is>
          <t xml:space="preserve">Calculation</t>
        </is>
      </c>
      <c r="B2708">
        <f>IF(IF(DATE(2029,2,1)=EDATE(DATE(2027,11,1),-'Model inputs'!AM13*1)="",FALSE,DATE(2029,2,1)=EDATE(DATE(2027,11,1),-'Model inputs'!AM13*1)),IF('Model inputs'!AE85="","",'Model inputs'!AE85),"")</f>
      </c>
    </row>
    <row r="2709">
      <c r="A2709" t="inlineStr" s="25">
        <is>
          <t xml:space="preserve">Calculation</t>
        </is>
      </c>
      <c r="B2709">
        <f>IF(IF(DATE(2029,3,1)=EDATE(DATE(2027,11,1),-'Model inputs'!AM13*1)="",FALSE,DATE(2029,3,1)=EDATE(DATE(2027,11,1),-'Model inputs'!AM13*1)),IF('Model inputs'!AF85="","",'Model inputs'!AF85),"")</f>
      </c>
    </row>
    <row r="2710">
      <c r="A2710" t="inlineStr" s="25">
        <is>
          <t xml:space="preserve">Calculation</t>
        </is>
      </c>
      <c r="B2710">
        <f>IF(IF(DATE(2029,4,1)=EDATE(DATE(2027,11,1),-'Model inputs'!AM13*1)="",FALSE,DATE(2029,4,1)=EDATE(DATE(2027,11,1),-'Model inputs'!AM13*1)),IF('Model inputs'!AG85="","",'Model inputs'!AG85),"")</f>
      </c>
    </row>
    <row r="2711">
      <c r="A2711" t="inlineStr" s="25">
        <is>
          <t xml:space="preserve">Calculation</t>
        </is>
      </c>
      <c r="B2711">
        <f>IF(IF(DATE(2029,5,1)=EDATE(DATE(2027,11,1),-'Model inputs'!AM13*1)="",FALSE,DATE(2029,5,1)=EDATE(DATE(2027,11,1),-'Model inputs'!AM13*1)),IF('Model inputs'!AH85="","",'Model inputs'!AH85),"")</f>
      </c>
    </row>
    <row r="2712">
      <c r="A2712" t="inlineStr" s="25">
        <is>
          <t xml:space="preserve">Calculation</t>
        </is>
      </c>
      <c r="B2712">
        <f>IF(IF(DATE(2029,6,1)=EDATE(DATE(2027,11,1),-'Model inputs'!AM13*1)="",FALSE,DATE(2029,6,1)=EDATE(DATE(2027,11,1),-'Model inputs'!AM13*1)),IF('Model inputs'!AI85="","",'Model inputs'!AI85),"")</f>
      </c>
    </row>
    <row r="2713">
      <c r="A2713" t="inlineStr" s="25">
        <is>
          <t xml:space="preserve">Calculation</t>
        </is>
      </c>
      <c r="B2713">
        <f>IF(IF(DATE(2029,7,1)=EDATE(DATE(2027,11,1),-'Model inputs'!AM13*1)="",FALSE,DATE(2029,7,1)=EDATE(DATE(2027,11,1),-'Model inputs'!AM13*1)),IF('Model inputs'!AJ85="","",'Model inputs'!AJ85),"")</f>
      </c>
    </row>
    <row r="2714">
      <c r="A2714" t="inlineStr" s="25">
        <is>
          <t xml:space="preserve">Calculation</t>
        </is>
      </c>
      <c r="B2714">
        <f>IF(IF(DATE(2029,8,1)=EDATE(DATE(2027,11,1),-'Model inputs'!AM13*1)="",FALSE,DATE(2029,8,1)=EDATE(DATE(2027,11,1),-'Model inputs'!AM13*1)),IF('Model inputs'!AK85="","",'Model inputs'!AK85),"")</f>
      </c>
    </row>
    <row r="2715">
      <c r="A2715" t="inlineStr" s="25">
        <is>
          <t xml:space="preserve">Calculation</t>
        </is>
      </c>
      <c r="B2715">
        <f>IF(IF(DATE(2029,9,1)=EDATE(DATE(2027,11,1),-'Model inputs'!AM13*1)="",FALSE,DATE(2029,9,1)=EDATE(DATE(2027,11,1),-'Model inputs'!AM13*1)),IF('Model inputs'!AL85="","",'Model inputs'!AL85),"")</f>
      </c>
    </row>
    <row r="2716">
      <c r="A2716" t="inlineStr" s="25">
        <is>
          <t xml:space="preserve">Calculation</t>
        </is>
      </c>
      <c r="B2716">
        <f>SUM(IF(IF('Model inputs'!B1325="",0,1)="",0,IF('Model inputs'!B1325="",0,1)),IF(IF('Model inputs'!B2680="",0,1)="",0,IF('Model inputs'!B2680="",0,1)),IF(IF('Model inputs'!B2681="",0,1)="",0,IF('Model inputs'!B2681="",0,1)),IF(IF('Model inputs'!B2682="",0,1)="",0,IF('Model inputs'!B2682="",0,1)),IF(IF('Model inputs'!B2683="",0,1)="",0,IF('Model inputs'!B2683="",0,1)),IF(IF('Model inputs'!B2684="",0,1)="",0,IF('Model inputs'!B2684="",0,1)),IF(IF('Model inputs'!B2685="",0,1)="",0,IF('Model inputs'!B2685="",0,1)),IF(IF('Model inputs'!B2686="",0,1)="",0,IF('Model inputs'!B2686="",0,1)),IF(IF('Model inputs'!B2687="",0,1)="",0,IF('Model inputs'!B2687="",0,1)),IF(IF('Model inputs'!B2688="",0,1)="",0,IF('Model inputs'!B2688="",0,1)),IF(IF('Model inputs'!B2689="",0,1)="",0,IF('Model inputs'!B2689="",0,1)),IF(IF('Model inputs'!B2690="",0,1)="",0,IF('Model inputs'!B2690="",0,1)),IF(IF('Model inputs'!B2691="",0,1)="",0,IF('Model inputs'!B2691="",0,1)),IF(IF('Model inputs'!B2692="",0,1)="",0,IF('Model inputs'!B2692="",0,1)),IF(IF('Model inputs'!B2693="",0,1)="",0,IF('Model inputs'!B2693="",0,1)),IF(IF('Model inputs'!B2694="",0,1)="",0,IF('Model inputs'!B2694="",0,1)),IF(IF('Model inputs'!B2695="",0,1)="",0,IF('Model inputs'!B2695="",0,1)),IF(IF('Model inputs'!B2696="",0,1)="",0,IF('Model inputs'!B2696="",0,1)),IF(IF('Model inputs'!B2697="",0,1)="",0,IF('Model inputs'!B2697="",0,1)),IF(IF('Model inputs'!B2698="",0,1)="",0,IF('Model inputs'!B2698="",0,1)),IF(IF('Model inputs'!B2699="",0,1)="",0,IF('Model inputs'!B2699="",0,1)),IF(IF('Model inputs'!B2700="",0,1)="",0,IF('Model inputs'!B2700="",0,1)),IF(IF('Model inputs'!B2701="",0,1)="",0,IF('Model inputs'!B2701="",0,1)),IF(IF('Model inputs'!B2702="",0,1)="",0,IF('Model inputs'!B2702="",0,1)),IF(IF('Model inputs'!B2703="",0,1)="",0,IF('Model inputs'!B2703="",0,1)),IF(IF('Model inputs'!B2704="",0,1)="",0,IF('Model inputs'!B2704="",0,1)),IF(IF('Model inputs'!B2705="",0,1)="",0,IF('Model inputs'!B2705="",0,1)),IF(IF('Model inputs'!B2706="",0,1)="",0,IF('Model inputs'!B2706="",0,1)),IF(IF('Model inputs'!B2707="",0,1)="",0,IF('Model inputs'!B2707="",0,1)),IF(IF('Model inputs'!B2708="",0,1)="",0,IF('Model inputs'!B2708="",0,1)),IF(IF('Model inputs'!B2709="",0,1)="",0,IF('Model inputs'!B2709="",0,1)),IF(IF('Model inputs'!B2710="",0,1)="",0,IF('Model inputs'!B2710="",0,1)),IF(IF('Model inputs'!B2711="",0,1)="",0,IF('Model inputs'!B2711="",0,1)),IF(IF('Model inputs'!B2712="",0,1)="",0,IF('Model inputs'!B2712="",0,1)),IF(IF('Model inputs'!B2713="",0,1)="",0,IF('Model inputs'!B2713="",0,1)),IF(IF('Model inputs'!B2714="",0,1)="",0,IF('Model inputs'!B2714="",0,1)),IF(IF('Model inputs'!B2715="",0,1)="",0,IF('Model inputs'!B2715="",0,1)))</f>
      </c>
    </row>
    <row r="2717">
      <c r="A2717" t="inlineStr" s="25">
        <is>
          <t xml:space="preserve">Calculation</t>
        </is>
      </c>
      <c r="B2717">
        <f>IF(IF(DATE(2026,10,1)=EDATE(DATE(2027,12,1),-'Model inputs'!AM13*1)="",FALSE,DATE(2026,10,1)=EDATE(DATE(2027,12,1),-'Model inputs'!AM13*1)),IF('Model inputs'!C85="","",'Model inputs'!C85),"")</f>
      </c>
    </row>
    <row r="2718">
      <c r="A2718" t="inlineStr" s="25">
        <is>
          <t xml:space="preserve">Calculation</t>
        </is>
      </c>
      <c r="B2718">
        <f>IF(IF(DATE(2026,11,1)=EDATE(DATE(2027,12,1),-'Model inputs'!AM13*1)="",FALSE,DATE(2026,11,1)=EDATE(DATE(2027,12,1),-'Model inputs'!AM13*1)),IF('Model inputs'!D85="","",'Model inputs'!D85),"")</f>
      </c>
    </row>
    <row r="2719">
      <c r="A2719" t="inlineStr" s="25">
        <is>
          <t xml:space="preserve">Calculation</t>
        </is>
      </c>
      <c r="B2719">
        <f>IF(IF(DATE(2026,12,1)=EDATE(DATE(2027,12,1),-'Model inputs'!AM13*1)="",FALSE,DATE(2026,12,1)=EDATE(DATE(2027,12,1),-'Model inputs'!AM13*1)),IF('Model inputs'!E85="","",'Model inputs'!E85),"")</f>
      </c>
    </row>
    <row r="2720">
      <c r="A2720" t="inlineStr" s="25">
        <is>
          <t xml:space="preserve">Calculation</t>
        </is>
      </c>
      <c r="B2720">
        <f>IF(IF(DATE(2027,1,1)=EDATE(DATE(2027,12,1),-'Model inputs'!AM13*1)="",FALSE,DATE(2027,1,1)=EDATE(DATE(2027,12,1),-'Model inputs'!AM13*1)),IF('Model inputs'!F85="","",'Model inputs'!F85),"")</f>
      </c>
    </row>
    <row r="2721">
      <c r="A2721" t="inlineStr" s="25">
        <is>
          <t xml:space="preserve">Calculation</t>
        </is>
      </c>
      <c r="B2721">
        <f>IF(IF(DATE(2027,2,1)=EDATE(DATE(2027,12,1),-'Model inputs'!AM13*1)="",FALSE,DATE(2027,2,1)=EDATE(DATE(2027,12,1),-'Model inputs'!AM13*1)),IF('Model inputs'!G85="","",'Model inputs'!G85),"")</f>
      </c>
    </row>
    <row r="2722">
      <c r="A2722" t="inlineStr" s="25">
        <is>
          <t xml:space="preserve">Calculation</t>
        </is>
      </c>
      <c r="B2722">
        <f>IF(IF(DATE(2027,3,1)=EDATE(DATE(2027,12,1),-'Model inputs'!AM13*1)="",FALSE,DATE(2027,3,1)=EDATE(DATE(2027,12,1),-'Model inputs'!AM13*1)),IF('Model inputs'!H85="","",'Model inputs'!H85),"")</f>
      </c>
    </row>
    <row r="2723">
      <c r="A2723" t="inlineStr" s="25">
        <is>
          <t xml:space="preserve">Calculation</t>
        </is>
      </c>
      <c r="B2723">
        <f>IF(IF(DATE(2027,4,1)=EDATE(DATE(2027,12,1),-'Model inputs'!AM13*1)="",FALSE,DATE(2027,4,1)=EDATE(DATE(2027,12,1),-'Model inputs'!AM13*1)),IF('Model inputs'!I85="","",'Model inputs'!I85),"")</f>
      </c>
    </row>
    <row r="2724">
      <c r="A2724" t="inlineStr" s="25">
        <is>
          <t xml:space="preserve">Calculation</t>
        </is>
      </c>
      <c r="B2724">
        <f>IF(IF(DATE(2027,5,1)=EDATE(DATE(2027,12,1),-'Model inputs'!AM13*1)="",FALSE,DATE(2027,5,1)=EDATE(DATE(2027,12,1),-'Model inputs'!AM13*1)),IF('Model inputs'!J85="","",'Model inputs'!J85),"")</f>
      </c>
    </row>
    <row r="2725">
      <c r="A2725" t="inlineStr" s="25">
        <is>
          <t xml:space="preserve">Calculation</t>
        </is>
      </c>
      <c r="B2725">
        <f>IF(IF(DATE(2027,6,1)=EDATE(DATE(2027,12,1),-'Model inputs'!AM13*1)="",FALSE,DATE(2027,6,1)=EDATE(DATE(2027,12,1),-'Model inputs'!AM13*1)),IF('Model inputs'!K85="","",'Model inputs'!K85),"")</f>
      </c>
    </row>
    <row r="2726">
      <c r="A2726" t="inlineStr" s="25">
        <is>
          <t xml:space="preserve">Calculation</t>
        </is>
      </c>
      <c r="B2726">
        <f>IF(IF(DATE(2027,7,1)=EDATE(DATE(2027,12,1),-'Model inputs'!AM13*1)="",FALSE,DATE(2027,7,1)=EDATE(DATE(2027,12,1),-'Model inputs'!AM13*1)),IF('Model inputs'!L85="","",'Model inputs'!L85),"")</f>
      </c>
    </row>
    <row r="2727">
      <c r="A2727" t="inlineStr" s="25">
        <is>
          <t xml:space="preserve">Calculation</t>
        </is>
      </c>
      <c r="B2727">
        <f>IF(IF(DATE(2027,8,1)=EDATE(DATE(2027,12,1),-'Model inputs'!AM13*1)="",FALSE,DATE(2027,8,1)=EDATE(DATE(2027,12,1),-'Model inputs'!AM13*1)),IF('Model inputs'!M85="","",'Model inputs'!M85),"")</f>
      </c>
    </row>
    <row r="2728">
      <c r="A2728" t="inlineStr" s="25">
        <is>
          <t xml:space="preserve">Calculation</t>
        </is>
      </c>
      <c r="B2728">
        <f>IF(IF(DATE(2027,9,1)=EDATE(DATE(2027,12,1),-'Model inputs'!AM13*1)="",FALSE,DATE(2027,9,1)=EDATE(DATE(2027,12,1),-'Model inputs'!AM13*1)),IF('Model inputs'!N85="","",'Model inputs'!N85),"")</f>
      </c>
    </row>
    <row r="2729">
      <c r="A2729" t="inlineStr" s="25">
        <is>
          <t xml:space="preserve">Calculation</t>
        </is>
      </c>
      <c r="B2729">
        <f>IF(IF(DATE(2027,10,1)=EDATE(DATE(2027,12,1),-'Model inputs'!AM13*1)="",FALSE,DATE(2027,10,1)=EDATE(DATE(2027,12,1),-'Model inputs'!AM13*1)),IF('Model inputs'!O85="","",'Model inputs'!O85),"")</f>
      </c>
    </row>
    <row r="2730">
      <c r="A2730" t="inlineStr" s="25">
        <is>
          <t xml:space="preserve">Calculation</t>
        </is>
      </c>
      <c r="B2730">
        <f>IF(IF(DATE(2027,11,1)=EDATE(DATE(2027,12,1),-'Model inputs'!AM13*1)="",FALSE,DATE(2027,11,1)=EDATE(DATE(2027,12,1),-'Model inputs'!AM13*1)),IF('Model inputs'!P85="","",'Model inputs'!P85),"")</f>
      </c>
    </row>
    <row r="2731">
      <c r="A2731" t="inlineStr" s="25">
        <is>
          <t xml:space="preserve">Calculation</t>
        </is>
      </c>
      <c r="B2731">
        <f>IF(IF(DATE(2027,12,1)=EDATE(DATE(2027,12,1),-'Model inputs'!AM13*1)="",FALSE,DATE(2027,12,1)=EDATE(DATE(2027,12,1),-'Model inputs'!AM13*1)),IF('Model inputs'!Q85="","",'Model inputs'!Q85),"")</f>
      </c>
    </row>
    <row r="2732">
      <c r="A2732" t="inlineStr" s="25">
        <is>
          <t xml:space="preserve">Calculation</t>
        </is>
      </c>
      <c r="B2732">
        <f>IF(IF(DATE(2028,1,1)=EDATE(DATE(2027,12,1),-'Model inputs'!AM13*1)="",FALSE,DATE(2028,1,1)=EDATE(DATE(2027,12,1),-'Model inputs'!AM13*1)),IF('Model inputs'!R85="","",'Model inputs'!R85),"")</f>
      </c>
    </row>
    <row r="2733">
      <c r="A2733" t="inlineStr" s="25">
        <is>
          <t xml:space="preserve">Calculation</t>
        </is>
      </c>
      <c r="B2733">
        <f>IF(IF(DATE(2028,2,1)=EDATE(DATE(2027,12,1),-'Model inputs'!AM13*1)="",FALSE,DATE(2028,2,1)=EDATE(DATE(2027,12,1),-'Model inputs'!AM13*1)),IF('Model inputs'!S85="","",'Model inputs'!S85),"")</f>
      </c>
    </row>
    <row r="2734">
      <c r="A2734" t="inlineStr" s="25">
        <is>
          <t xml:space="preserve">Calculation</t>
        </is>
      </c>
      <c r="B2734">
        <f>IF(IF(DATE(2028,3,1)=EDATE(DATE(2027,12,1),-'Model inputs'!AM13*1)="",FALSE,DATE(2028,3,1)=EDATE(DATE(2027,12,1),-'Model inputs'!AM13*1)),IF('Model inputs'!T85="","",'Model inputs'!T85),"")</f>
      </c>
    </row>
    <row r="2735">
      <c r="A2735" t="inlineStr" s="25">
        <is>
          <t xml:space="preserve">Calculation</t>
        </is>
      </c>
      <c r="B2735">
        <f>IF(IF(DATE(2028,4,1)=EDATE(DATE(2027,12,1),-'Model inputs'!AM13*1)="",FALSE,DATE(2028,4,1)=EDATE(DATE(2027,12,1),-'Model inputs'!AM13*1)),IF('Model inputs'!U85="","",'Model inputs'!U85),"")</f>
      </c>
    </row>
    <row r="2736">
      <c r="A2736" t="inlineStr" s="25">
        <is>
          <t xml:space="preserve">Calculation</t>
        </is>
      </c>
      <c r="B2736">
        <f>IF(IF(DATE(2028,5,1)=EDATE(DATE(2027,12,1),-'Model inputs'!AM13*1)="",FALSE,DATE(2028,5,1)=EDATE(DATE(2027,12,1),-'Model inputs'!AM13*1)),IF('Model inputs'!V85="","",'Model inputs'!V85),"")</f>
      </c>
    </row>
    <row r="2737">
      <c r="A2737" t="inlineStr" s="25">
        <is>
          <t xml:space="preserve">Calculation</t>
        </is>
      </c>
      <c r="B2737">
        <f>IF(IF(DATE(2028,6,1)=EDATE(DATE(2027,12,1),-'Model inputs'!AM13*1)="",FALSE,DATE(2028,6,1)=EDATE(DATE(2027,12,1),-'Model inputs'!AM13*1)),IF('Model inputs'!W85="","",'Model inputs'!W85),"")</f>
      </c>
    </row>
    <row r="2738">
      <c r="A2738" t="inlineStr" s="25">
        <is>
          <t xml:space="preserve">Calculation</t>
        </is>
      </c>
      <c r="B2738">
        <f>IF(IF(DATE(2028,7,1)=EDATE(DATE(2027,12,1),-'Model inputs'!AM13*1)="",FALSE,DATE(2028,7,1)=EDATE(DATE(2027,12,1),-'Model inputs'!AM13*1)),IF('Model inputs'!X85="","",'Model inputs'!X85),"")</f>
      </c>
    </row>
    <row r="2739">
      <c r="A2739" t="inlineStr" s="25">
        <is>
          <t xml:space="preserve">Calculation</t>
        </is>
      </c>
      <c r="B2739">
        <f>IF(IF(DATE(2028,8,1)=EDATE(DATE(2027,12,1),-'Model inputs'!AM13*1)="",FALSE,DATE(2028,8,1)=EDATE(DATE(2027,12,1),-'Model inputs'!AM13*1)),IF('Model inputs'!Y85="","",'Model inputs'!Y85),"")</f>
      </c>
    </row>
    <row r="2740">
      <c r="A2740" t="inlineStr" s="25">
        <is>
          <t xml:space="preserve">Calculation</t>
        </is>
      </c>
      <c r="B2740">
        <f>IF(IF(DATE(2028,9,1)=EDATE(DATE(2027,12,1),-'Model inputs'!AM13*1)="",FALSE,DATE(2028,9,1)=EDATE(DATE(2027,12,1),-'Model inputs'!AM13*1)),IF('Model inputs'!Z85="","",'Model inputs'!Z85),"")</f>
      </c>
    </row>
    <row r="2741">
      <c r="A2741" t="inlineStr" s="25">
        <is>
          <t xml:space="preserve">Calculation</t>
        </is>
      </c>
      <c r="B2741">
        <f>IF(IF(DATE(2028,10,1)=EDATE(DATE(2027,12,1),-'Model inputs'!AM13*1)="",FALSE,DATE(2028,10,1)=EDATE(DATE(2027,12,1),-'Model inputs'!AM13*1)),IF('Model inputs'!AA85="","",'Model inputs'!AA85),"")</f>
      </c>
    </row>
    <row r="2742">
      <c r="A2742" t="inlineStr" s="25">
        <is>
          <t xml:space="preserve">Calculation</t>
        </is>
      </c>
      <c r="B2742">
        <f>IF(IF(DATE(2028,11,1)=EDATE(DATE(2027,12,1),-'Model inputs'!AM13*1)="",FALSE,DATE(2028,11,1)=EDATE(DATE(2027,12,1),-'Model inputs'!AM13*1)),IF('Model inputs'!AB85="","",'Model inputs'!AB85),"")</f>
      </c>
    </row>
    <row r="2743">
      <c r="A2743" t="inlineStr" s="25">
        <is>
          <t xml:space="preserve">Calculation</t>
        </is>
      </c>
      <c r="B2743">
        <f>IF(IF(DATE(2028,12,1)=EDATE(DATE(2027,12,1),-'Model inputs'!AM13*1)="",FALSE,DATE(2028,12,1)=EDATE(DATE(2027,12,1),-'Model inputs'!AM13*1)),IF('Model inputs'!AC85="","",'Model inputs'!AC85),"")</f>
      </c>
    </row>
    <row r="2744">
      <c r="A2744" t="inlineStr" s="25">
        <is>
          <t xml:space="preserve">Calculation</t>
        </is>
      </c>
      <c r="B2744">
        <f>IF(IF(DATE(2029,1,1)=EDATE(DATE(2027,12,1),-'Model inputs'!AM13*1)="",FALSE,DATE(2029,1,1)=EDATE(DATE(2027,12,1),-'Model inputs'!AM13*1)),IF('Model inputs'!AD85="","",'Model inputs'!AD85),"")</f>
      </c>
    </row>
    <row r="2745">
      <c r="A2745" t="inlineStr" s="25">
        <is>
          <t xml:space="preserve">Calculation</t>
        </is>
      </c>
      <c r="B2745">
        <f>IF(IF(DATE(2029,2,1)=EDATE(DATE(2027,12,1),-'Model inputs'!AM13*1)="",FALSE,DATE(2029,2,1)=EDATE(DATE(2027,12,1),-'Model inputs'!AM13*1)),IF('Model inputs'!AE85="","",'Model inputs'!AE85),"")</f>
      </c>
    </row>
    <row r="2746">
      <c r="A2746" t="inlineStr" s="25">
        <is>
          <t xml:space="preserve">Calculation</t>
        </is>
      </c>
      <c r="B2746">
        <f>IF(IF(DATE(2029,3,1)=EDATE(DATE(2027,12,1),-'Model inputs'!AM13*1)="",FALSE,DATE(2029,3,1)=EDATE(DATE(2027,12,1),-'Model inputs'!AM13*1)),IF('Model inputs'!AF85="","",'Model inputs'!AF85),"")</f>
      </c>
    </row>
    <row r="2747">
      <c r="A2747" t="inlineStr" s="25">
        <is>
          <t xml:space="preserve">Calculation</t>
        </is>
      </c>
      <c r="B2747">
        <f>IF(IF(DATE(2029,4,1)=EDATE(DATE(2027,12,1),-'Model inputs'!AM13*1)="",FALSE,DATE(2029,4,1)=EDATE(DATE(2027,12,1),-'Model inputs'!AM13*1)),IF('Model inputs'!AG85="","",'Model inputs'!AG85),"")</f>
      </c>
    </row>
    <row r="2748">
      <c r="A2748" t="inlineStr" s="25">
        <is>
          <t xml:space="preserve">Calculation</t>
        </is>
      </c>
      <c r="B2748">
        <f>IF(IF(DATE(2029,5,1)=EDATE(DATE(2027,12,1),-'Model inputs'!AM13*1)="",FALSE,DATE(2029,5,1)=EDATE(DATE(2027,12,1),-'Model inputs'!AM13*1)),IF('Model inputs'!AH85="","",'Model inputs'!AH85),"")</f>
      </c>
    </row>
    <row r="2749">
      <c r="A2749" t="inlineStr" s="25">
        <is>
          <t xml:space="preserve">Calculation</t>
        </is>
      </c>
      <c r="B2749">
        <f>IF(IF(DATE(2029,6,1)=EDATE(DATE(2027,12,1),-'Model inputs'!AM13*1)="",FALSE,DATE(2029,6,1)=EDATE(DATE(2027,12,1),-'Model inputs'!AM13*1)),IF('Model inputs'!AI85="","",'Model inputs'!AI85),"")</f>
      </c>
    </row>
    <row r="2750">
      <c r="A2750" t="inlineStr" s="25">
        <is>
          <t xml:space="preserve">Calculation</t>
        </is>
      </c>
      <c r="B2750">
        <f>IF(IF(DATE(2029,7,1)=EDATE(DATE(2027,12,1),-'Model inputs'!AM13*1)="",FALSE,DATE(2029,7,1)=EDATE(DATE(2027,12,1),-'Model inputs'!AM13*1)),IF('Model inputs'!AJ85="","",'Model inputs'!AJ85),"")</f>
      </c>
    </row>
    <row r="2751">
      <c r="A2751" t="inlineStr" s="25">
        <is>
          <t xml:space="preserve">Calculation</t>
        </is>
      </c>
      <c r="B2751">
        <f>IF(IF(DATE(2029,8,1)=EDATE(DATE(2027,12,1),-'Model inputs'!AM13*1)="",FALSE,DATE(2029,8,1)=EDATE(DATE(2027,12,1),-'Model inputs'!AM13*1)),IF('Model inputs'!AK85="","",'Model inputs'!AK85),"")</f>
      </c>
    </row>
    <row r="2752">
      <c r="A2752" t="inlineStr" s="25">
        <is>
          <t xml:space="preserve">Calculation</t>
        </is>
      </c>
      <c r="B2752">
        <f>IF(IF(DATE(2029,9,1)=EDATE(DATE(2027,12,1),-'Model inputs'!AM13*1)="",FALSE,DATE(2029,9,1)=EDATE(DATE(2027,12,1),-'Model inputs'!AM13*1)),IF('Model inputs'!AL85="","",'Model inputs'!AL85),"")</f>
      </c>
    </row>
    <row r="2753">
      <c r="A2753" t="inlineStr" s="25">
        <is>
          <t xml:space="preserve">Calculation</t>
        </is>
      </c>
      <c r="B2753">
        <f>SUM(IF(IF('Model inputs'!B1363="",0,1)="",0,IF('Model inputs'!B1363="",0,1)),IF(IF('Model inputs'!B2717="",0,1)="",0,IF('Model inputs'!B2717="",0,1)),IF(IF('Model inputs'!B2718="",0,1)="",0,IF('Model inputs'!B2718="",0,1)),IF(IF('Model inputs'!B2719="",0,1)="",0,IF('Model inputs'!B2719="",0,1)),IF(IF('Model inputs'!B2720="",0,1)="",0,IF('Model inputs'!B2720="",0,1)),IF(IF('Model inputs'!B2721="",0,1)="",0,IF('Model inputs'!B2721="",0,1)),IF(IF('Model inputs'!B2722="",0,1)="",0,IF('Model inputs'!B2722="",0,1)),IF(IF('Model inputs'!B2723="",0,1)="",0,IF('Model inputs'!B2723="",0,1)),IF(IF('Model inputs'!B2724="",0,1)="",0,IF('Model inputs'!B2724="",0,1)),IF(IF('Model inputs'!B2725="",0,1)="",0,IF('Model inputs'!B2725="",0,1)),IF(IF('Model inputs'!B2726="",0,1)="",0,IF('Model inputs'!B2726="",0,1)),IF(IF('Model inputs'!B2727="",0,1)="",0,IF('Model inputs'!B2727="",0,1)),IF(IF('Model inputs'!B2728="",0,1)="",0,IF('Model inputs'!B2728="",0,1)),IF(IF('Model inputs'!B2729="",0,1)="",0,IF('Model inputs'!B2729="",0,1)),IF(IF('Model inputs'!B2730="",0,1)="",0,IF('Model inputs'!B2730="",0,1)),IF(IF('Model inputs'!B2731="",0,1)="",0,IF('Model inputs'!B2731="",0,1)),IF(IF('Model inputs'!B2732="",0,1)="",0,IF('Model inputs'!B2732="",0,1)),IF(IF('Model inputs'!B2733="",0,1)="",0,IF('Model inputs'!B2733="",0,1)),IF(IF('Model inputs'!B2734="",0,1)="",0,IF('Model inputs'!B2734="",0,1)),IF(IF('Model inputs'!B2735="",0,1)="",0,IF('Model inputs'!B2735="",0,1)),IF(IF('Model inputs'!B2736="",0,1)="",0,IF('Model inputs'!B2736="",0,1)),IF(IF('Model inputs'!B2737="",0,1)="",0,IF('Model inputs'!B2737="",0,1)),IF(IF('Model inputs'!B2738="",0,1)="",0,IF('Model inputs'!B2738="",0,1)),IF(IF('Model inputs'!B2739="",0,1)="",0,IF('Model inputs'!B2739="",0,1)),IF(IF('Model inputs'!B2740="",0,1)="",0,IF('Model inputs'!B2740="",0,1)),IF(IF('Model inputs'!B2741="",0,1)="",0,IF('Model inputs'!B2741="",0,1)),IF(IF('Model inputs'!B2742="",0,1)="",0,IF('Model inputs'!B2742="",0,1)),IF(IF('Model inputs'!B2743="",0,1)="",0,IF('Model inputs'!B2743="",0,1)),IF(IF('Model inputs'!B2744="",0,1)="",0,IF('Model inputs'!B2744="",0,1)),IF(IF('Model inputs'!B2745="",0,1)="",0,IF('Model inputs'!B2745="",0,1)),IF(IF('Model inputs'!B2746="",0,1)="",0,IF('Model inputs'!B2746="",0,1)),IF(IF('Model inputs'!B2747="",0,1)="",0,IF('Model inputs'!B2747="",0,1)),IF(IF('Model inputs'!B2748="",0,1)="",0,IF('Model inputs'!B2748="",0,1)),IF(IF('Model inputs'!B2749="",0,1)="",0,IF('Model inputs'!B2749="",0,1)),IF(IF('Model inputs'!B2750="",0,1)="",0,IF('Model inputs'!B2750="",0,1)),IF(IF('Model inputs'!B2751="",0,1)="",0,IF('Model inputs'!B2751="",0,1)),IF(IF('Model inputs'!B2752="",0,1)="",0,IF('Model inputs'!B2752="",0,1)))</f>
      </c>
    </row>
    <row r="2754">
      <c r="A2754" t="inlineStr" s="25">
        <is>
          <t xml:space="preserve">Calculation</t>
        </is>
      </c>
      <c r="B2754">
        <f>IF(IF(DATE(2026,10,1)=EDATE(DATE(2028,1,1),-'Model inputs'!AM13*1)="",FALSE,DATE(2026,10,1)=EDATE(DATE(2028,1,1),-'Model inputs'!AM13*1)),IF('Model inputs'!C85="","",'Model inputs'!C85),"")</f>
      </c>
    </row>
    <row r="2755">
      <c r="A2755" t="inlineStr" s="25">
        <is>
          <t xml:space="preserve">Calculation</t>
        </is>
      </c>
      <c r="B2755">
        <f>IF(IF(DATE(2026,11,1)=EDATE(DATE(2028,1,1),-'Model inputs'!AM13*1)="",FALSE,DATE(2026,11,1)=EDATE(DATE(2028,1,1),-'Model inputs'!AM13*1)),IF('Model inputs'!D85="","",'Model inputs'!D85),"")</f>
      </c>
    </row>
    <row r="2756">
      <c r="A2756" t="inlineStr" s="25">
        <is>
          <t xml:space="preserve">Calculation</t>
        </is>
      </c>
      <c r="B2756">
        <f>IF(IF(DATE(2026,12,1)=EDATE(DATE(2028,1,1),-'Model inputs'!AM13*1)="",FALSE,DATE(2026,12,1)=EDATE(DATE(2028,1,1),-'Model inputs'!AM13*1)),IF('Model inputs'!E85="","",'Model inputs'!E85),"")</f>
      </c>
    </row>
    <row r="2757">
      <c r="A2757" t="inlineStr" s="25">
        <is>
          <t xml:space="preserve">Calculation</t>
        </is>
      </c>
      <c r="B2757">
        <f>IF(IF(DATE(2027,1,1)=EDATE(DATE(2028,1,1),-'Model inputs'!AM13*1)="",FALSE,DATE(2027,1,1)=EDATE(DATE(2028,1,1),-'Model inputs'!AM13*1)),IF('Model inputs'!F85="","",'Model inputs'!F85),"")</f>
      </c>
    </row>
    <row r="2758">
      <c r="A2758" t="inlineStr" s="25">
        <is>
          <t xml:space="preserve">Calculation</t>
        </is>
      </c>
      <c r="B2758">
        <f>IF(IF(DATE(2027,2,1)=EDATE(DATE(2028,1,1),-'Model inputs'!AM13*1)="",FALSE,DATE(2027,2,1)=EDATE(DATE(2028,1,1),-'Model inputs'!AM13*1)),IF('Model inputs'!G85="","",'Model inputs'!G85),"")</f>
      </c>
    </row>
    <row r="2759">
      <c r="A2759" t="inlineStr" s="25">
        <is>
          <t xml:space="preserve">Calculation</t>
        </is>
      </c>
      <c r="B2759">
        <f>IF(IF(DATE(2027,3,1)=EDATE(DATE(2028,1,1),-'Model inputs'!AM13*1)="",FALSE,DATE(2027,3,1)=EDATE(DATE(2028,1,1),-'Model inputs'!AM13*1)),IF('Model inputs'!H85="","",'Model inputs'!H85),"")</f>
      </c>
    </row>
    <row r="2760">
      <c r="A2760" t="inlineStr" s="25">
        <is>
          <t xml:space="preserve">Calculation</t>
        </is>
      </c>
      <c r="B2760">
        <f>IF(IF(DATE(2027,4,1)=EDATE(DATE(2028,1,1),-'Model inputs'!AM13*1)="",FALSE,DATE(2027,4,1)=EDATE(DATE(2028,1,1),-'Model inputs'!AM13*1)),IF('Model inputs'!I85="","",'Model inputs'!I85),"")</f>
      </c>
    </row>
    <row r="2761">
      <c r="A2761" t="inlineStr" s="25">
        <is>
          <t xml:space="preserve">Calculation</t>
        </is>
      </c>
      <c r="B2761">
        <f>IF(IF(DATE(2027,5,1)=EDATE(DATE(2028,1,1),-'Model inputs'!AM13*1)="",FALSE,DATE(2027,5,1)=EDATE(DATE(2028,1,1),-'Model inputs'!AM13*1)),IF('Model inputs'!J85="","",'Model inputs'!J85),"")</f>
      </c>
    </row>
    <row r="2762">
      <c r="A2762" t="inlineStr" s="25">
        <is>
          <t xml:space="preserve">Calculation</t>
        </is>
      </c>
      <c r="B2762">
        <f>IF(IF(DATE(2027,6,1)=EDATE(DATE(2028,1,1),-'Model inputs'!AM13*1)="",FALSE,DATE(2027,6,1)=EDATE(DATE(2028,1,1),-'Model inputs'!AM13*1)),IF('Model inputs'!K85="","",'Model inputs'!K85),"")</f>
      </c>
    </row>
    <row r="2763">
      <c r="A2763" t="inlineStr" s="25">
        <is>
          <t xml:space="preserve">Calculation</t>
        </is>
      </c>
      <c r="B2763">
        <f>IF(IF(DATE(2027,7,1)=EDATE(DATE(2028,1,1),-'Model inputs'!AM13*1)="",FALSE,DATE(2027,7,1)=EDATE(DATE(2028,1,1),-'Model inputs'!AM13*1)),IF('Model inputs'!L85="","",'Model inputs'!L85),"")</f>
      </c>
    </row>
    <row r="2764">
      <c r="A2764" t="inlineStr" s="25">
        <is>
          <t xml:space="preserve">Calculation</t>
        </is>
      </c>
      <c r="B2764">
        <f>IF(IF(DATE(2027,8,1)=EDATE(DATE(2028,1,1),-'Model inputs'!AM13*1)="",FALSE,DATE(2027,8,1)=EDATE(DATE(2028,1,1),-'Model inputs'!AM13*1)),IF('Model inputs'!M85="","",'Model inputs'!M85),"")</f>
      </c>
    </row>
    <row r="2765">
      <c r="A2765" t="inlineStr" s="25">
        <is>
          <t xml:space="preserve">Calculation</t>
        </is>
      </c>
      <c r="B2765">
        <f>IF(IF(DATE(2027,9,1)=EDATE(DATE(2028,1,1),-'Model inputs'!AM13*1)="",FALSE,DATE(2027,9,1)=EDATE(DATE(2028,1,1),-'Model inputs'!AM13*1)),IF('Model inputs'!N85="","",'Model inputs'!N85),"")</f>
      </c>
    </row>
    <row r="2766">
      <c r="A2766" t="inlineStr" s="25">
        <is>
          <t xml:space="preserve">Calculation</t>
        </is>
      </c>
      <c r="B2766">
        <f>IF(IF(DATE(2027,10,1)=EDATE(DATE(2028,1,1),-'Model inputs'!AM13*1)="",FALSE,DATE(2027,10,1)=EDATE(DATE(2028,1,1),-'Model inputs'!AM13*1)),IF('Model inputs'!O85="","",'Model inputs'!O85),"")</f>
      </c>
    </row>
    <row r="2767">
      <c r="A2767" t="inlineStr" s="25">
        <is>
          <t xml:space="preserve">Calculation</t>
        </is>
      </c>
      <c r="B2767">
        <f>IF(IF(DATE(2027,11,1)=EDATE(DATE(2028,1,1),-'Model inputs'!AM13*1)="",FALSE,DATE(2027,11,1)=EDATE(DATE(2028,1,1),-'Model inputs'!AM13*1)),IF('Model inputs'!P85="","",'Model inputs'!P85),"")</f>
      </c>
    </row>
    <row r="2768">
      <c r="A2768" t="inlineStr" s="25">
        <is>
          <t xml:space="preserve">Calculation</t>
        </is>
      </c>
      <c r="B2768">
        <f>IF(IF(DATE(2027,12,1)=EDATE(DATE(2028,1,1),-'Model inputs'!AM13*1)="",FALSE,DATE(2027,12,1)=EDATE(DATE(2028,1,1),-'Model inputs'!AM13*1)),IF('Model inputs'!Q85="","",'Model inputs'!Q85),"")</f>
      </c>
    </row>
    <row r="2769">
      <c r="A2769" t="inlineStr" s="25">
        <is>
          <t xml:space="preserve">Calculation</t>
        </is>
      </c>
      <c r="B2769">
        <f>IF(IF(DATE(2028,1,1)=EDATE(DATE(2028,1,1),-'Model inputs'!AM13*1)="",FALSE,DATE(2028,1,1)=EDATE(DATE(2028,1,1),-'Model inputs'!AM13*1)),IF('Model inputs'!R85="","",'Model inputs'!R85),"")</f>
      </c>
    </row>
    <row r="2770">
      <c r="A2770" t="inlineStr" s="25">
        <is>
          <t xml:space="preserve">Calculation</t>
        </is>
      </c>
      <c r="B2770">
        <f>IF(IF(DATE(2028,2,1)=EDATE(DATE(2028,1,1),-'Model inputs'!AM13*1)="",FALSE,DATE(2028,2,1)=EDATE(DATE(2028,1,1),-'Model inputs'!AM13*1)),IF('Model inputs'!S85="","",'Model inputs'!S85),"")</f>
      </c>
    </row>
    <row r="2771">
      <c r="A2771" t="inlineStr" s="25">
        <is>
          <t xml:space="preserve">Calculation</t>
        </is>
      </c>
      <c r="B2771">
        <f>IF(IF(DATE(2028,3,1)=EDATE(DATE(2028,1,1),-'Model inputs'!AM13*1)="",FALSE,DATE(2028,3,1)=EDATE(DATE(2028,1,1),-'Model inputs'!AM13*1)),IF('Model inputs'!T85="","",'Model inputs'!T85),"")</f>
      </c>
    </row>
    <row r="2772">
      <c r="A2772" t="inlineStr" s="25">
        <is>
          <t xml:space="preserve">Calculation</t>
        </is>
      </c>
      <c r="B2772">
        <f>IF(IF(DATE(2028,4,1)=EDATE(DATE(2028,1,1),-'Model inputs'!AM13*1)="",FALSE,DATE(2028,4,1)=EDATE(DATE(2028,1,1),-'Model inputs'!AM13*1)),IF('Model inputs'!U85="","",'Model inputs'!U85),"")</f>
      </c>
    </row>
    <row r="2773">
      <c r="A2773" t="inlineStr" s="25">
        <is>
          <t xml:space="preserve">Calculation</t>
        </is>
      </c>
      <c r="B2773">
        <f>IF(IF(DATE(2028,5,1)=EDATE(DATE(2028,1,1),-'Model inputs'!AM13*1)="",FALSE,DATE(2028,5,1)=EDATE(DATE(2028,1,1),-'Model inputs'!AM13*1)),IF('Model inputs'!V85="","",'Model inputs'!V85),"")</f>
      </c>
    </row>
    <row r="2774">
      <c r="A2774" t="inlineStr" s="25">
        <is>
          <t xml:space="preserve">Calculation</t>
        </is>
      </c>
      <c r="B2774">
        <f>IF(IF(DATE(2028,6,1)=EDATE(DATE(2028,1,1),-'Model inputs'!AM13*1)="",FALSE,DATE(2028,6,1)=EDATE(DATE(2028,1,1),-'Model inputs'!AM13*1)),IF('Model inputs'!W85="","",'Model inputs'!W85),"")</f>
      </c>
    </row>
    <row r="2775">
      <c r="A2775" t="inlineStr" s="25">
        <is>
          <t xml:space="preserve">Calculation</t>
        </is>
      </c>
      <c r="B2775">
        <f>IF(IF(DATE(2028,7,1)=EDATE(DATE(2028,1,1),-'Model inputs'!AM13*1)="",FALSE,DATE(2028,7,1)=EDATE(DATE(2028,1,1),-'Model inputs'!AM13*1)),IF('Model inputs'!X85="","",'Model inputs'!X85),"")</f>
      </c>
    </row>
    <row r="2776">
      <c r="A2776" t="inlineStr" s="25">
        <is>
          <t xml:space="preserve">Calculation</t>
        </is>
      </c>
      <c r="B2776">
        <f>IF(IF(DATE(2028,8,1)=EDATE(DATE(2028,1,1),-'Model inputs'!AM13*1)="",FALSE,DATE(2028,8,1)=EDATE(DATE(2028,1,1),-'Model inputs'!AM13*1)),IF('Model inputs'!Y85="","",'Model inputs'!Y85),"")</f>
      </c>
    </row>
    <row r="2777">
      <c r="A2777" t="inlineStr" s="25">
        <is>
          <t xml:space="preserve">Calculation</t>
        </is>
      </c>
      <c r="B2777">
        <f>IF(IF(DATE(2028,9,1)=EDATE(DATE(2028,1,1),-'Model inputs'!AM13*1)="",FALSE,DATE(2028,9,1)=EDATE(DATE(2028,1,1),-'Model inputs'!AM13*1)),IF('Model inputs'!Z85="","",'Model inputs'!Z85),"")</f>
      </c>
    </row>
    <row r="2778">
      <c r="A2778" t="inlineStr" s="25">
        <is>
          <t xml:space="preserve">Calculation</t>
        </is>
      </c>
      <c r="B2778">
        <f>IF(IF(DATE(2028,10,1)=EDATE(DATE(2028,1,1),-'Model inputs'!AM13*1)="",FALSE,DATE(2028,10,1)=EDATE(DATE(2028,1,1),-'Model inputs'!AM13*1)),IF('Model inputs'!AA85="","",'Model inputs'!AA85),"")</f>
      </c>
    </row>
    <row r="2779">
      <c r="A2779" t="inlineStr" s="25">
        <is>
          <t xml:space="preserve">Calculation</t>
        </is>
      </c>
      <c r="B2779">
        <f>IF(IF(DATE(2028,11,1)=EDATE(DATE(2028,1,1),-'Model inputs'!AM13*1)="",FALSE,DATE(2028,11,1)=EDATE(DATE(2028,1,1),-'Model inputs'!AM13*1)),IF('Model inputs'!AB85="","",'Model inputs'!AB85),"")</f>
      </c>
    </row>
    <row r="2780">
      <c r="A2780" t="inlineStr" s="25">
        <is>
          <t xml:space="preserve">Calculation</t>
        </is>
      </c>
      <c r="B2780">
        <f>IF(IF(DATE(2028,12,1)=EDATE(DATE(2028,1,1),-'Model inputs'!AM13*1)="",FALSE,DATE(2028,12,1)=EDATE(DATE(2028,1,1),-'Model inputs'!AM13*1)),IF('Model inputs'!AC85="","",'Model inputs'!AC85),"")</f>
      </c>
    </row>
    <row r="2781">
      <c r="A2781" t="inlineStr" s="25">
        <is>
          <t xml:space="preserve">Calculation</t>
        </is>
      </c>
      <c r="B2781">
        <f>IF(IF(DATE(2029,1,1)=EDATE(DATE(2028,1,1),-'Model inputs'!AM13*1)="",FALSE,DATE(2029,1,1)=EDATE(DATE(2028,1,1),-'Model inputs'!AM13*1)),IF('Model inputs'!AD85="","",'Model inputs'!AD85),"")</f>
      </c>
    </row>
    <row r="2782">
      <c r="A2782" t="inlineStr" s="25">
        <is>
          <t xml:space="preserve">Calculation</t>
        </is>
      </c>
      <c r="B2782">
        <f>IF(IF(DATE(2029,2,1)=EDATE(DATE(2028,1,1),-'Model inputs'!AM13*1)="",FALSE,DATE(2029,2,1)=EDATE(DATE(2028,1,1),-'Model inputs'!AM13*1)),IF('Model inputs'!AE85="","",'Model inputs'!AE85),"")</f>
      </c>
    </row>
    <row r="2783">
      <c r="A2783" t="inlineStr" s="25">
        <is>
          <t xml:space="preserve">Calculation</t>
        </is>
      </c>
      <c r="B2783">
        <f>IF(IF(DATE(2029,3,1)=EDATE(DATE(2028,1,1),-'Model inputs'!AM13*1)="",FALSE,DATE(2029,3,1)=EDATE(DATE(2028,1,1),-'Model inputs'!AM13*1)),IF('Model inputs'!AF85="","",'Model inputs'!AF85),"")</f>
      </c>
    </row>
    <row r="2784">
      <c r="A2784" t="inlineStr" s="25">
        <is>
          <t xml:space="preserve">Calculation</t>
        </is>
      </c>
      <c r="B2784">
        <f>IF(IF(DATE(2029,4,1)=EDATE(DATE(2028,1,1),-'Model inputs'!AM13*1)="",FALSE,DATE(2029,4,1)=EDATE(DATE(2028,1,1),-'Model inputs'!AM13*1)),IF('Model inputs'!AG85="","",'Model inputs'!AG85),"")</f>
      </c>
    </row>
    <row r="2785">
      <c r="A2785" t="inlineStr" s="25">
        <is>
          <t xml:space="preserve">Calculation</t>
        </is>
      </c>
      <c r="B2785">
        <f>IF(IF(DATE(2029,5,1)=EDATE(DATE(2028,1,1),-'Model inputs'!AM13*1)="",FALSE,DATE(2029,5,1)=EDATE(DATE(2028,1,1),-'Model inputs'!AM13*1)),IF('Model inputs'!AH85="","",'Model inputs'!AH85),"")</f>
      </c>
    </row>
    <row r="2786">
      <c r="A2786" t="inlineStr" s="25">
        <is>
          <t xml:space="preserve">Calculation</t>
        </is>
      </c>
      <c r="B2786">
        <f>IF(IF(DATE(2029,6,1)=EDATE(DATE(2028,1,1),-'Model inputs'!AM13*1)="",FALSE,DATE(2029,6,1)=EDATE(DATE(2028,1,1),-'Model inputs'!AM13*1)),IF('Model inputs'!AI85="","",'Model inputs'!AI85),"")</f>
      </c>
    </row>
    <row r="2787">
      <c r="A2787" t="inlineStr" s="25">
        <is>
          <t xml:space="preserve">Calculation</t>
        </is>
      </c>
      <c r="B2787">
        <f>IF(IF(DATE(2029,7,1)=EDATE(DATE(2028,1,1),-'Model inputs'!AM13*1)="",FALSE,DATE(2029,7,1)=EDATE(DATE(2028,1,1),-'Model inputs'!AM13*1)),IF('Model inputs'!AJ85="","",'Model inputs'!AJ85),"")</f>
      </c>
    </row>
    <row r="2788">
      <c r="A2788" t="inlineStr" s="25">
        <is>
          <t xml:space="preserve">Calculation</t>
        </is>
      </c>
      <c r="B2788">
        <f>IF(IF(DATE(2029,8,1)=EDATE(DATE(2028,1,1),-'Model inputs'!AM13*1)="",FALSE,DATE(2029,8,1)=EDATE(DATE(2028,1,1),-'Model inputs'!AM13*1)),IF('Model inputs'!AK85="","",'Model inputs'!AK85),"")</f>
      </c>
    </row>
    <row r="2789">
      <c r="A2789" t="inlineStr" s="25">
        <is>
          <t xml:space="preserve">Calculation</t>
        </is>
      </c>
      <c r="B2789">
        <f>IF(IF(DATE(2029,9,1)=EDATE(DATE(2028,1,1),-'Model inputs'!AM13*1)="",FALSE,DATE(2029,9,1)=EDATE(DATE(2028,1,1),-'Model inputs'!AM13*1)),IF('Model inputs'!AL85="","",'Model inputs'!AL85),"")</f>
      </c>
    </row>
    <row r="2790">
      <c r="A2790" t="inlineStr" s="25">
        <is>
          <t xml:space="preserve">Calculation</t>
        </is>
      </c>
      <c r="B2790">
        <f>SUM(IF(IF('Model inputs'!B1401="",0,1)="",0,IF('Model inputs'!B1401="",0,1)),IF(IF('Model inputs'!B2754="",0,1)="",0,IF('Model inputs'!B2754="",0,1)),IF(IF('Model inputs'!B2755="",0,1)="",0,IF('Model inputs'!B2755="",0,1)),IF(IF('Model inputs'!B2756="",0,1)="",0,IF('Model inputs'!B2756="",0,1)),IF(IF('Model inputs'!B2757="",0,1)="",0,IF('Model inputs'!B2757="",0,1)),IF(IF('Model inputs'!B2758="",0,1)="",0,IF('Model inputs'!B2758="",0,1)),IF(IF('Model inputs'!B2759="",0,1)="",0,IF('Model inputs'!B2759="",0,1)),IF(IF('Model inputs'!B2760="",0,1)="",0,IF('Model inputs'!B2760="",0,1)),IF(IF('Model inputs'!B2761="",0,1)="",0,IF('Model inputs'!B2761="",0,1)),IF(IF('Model inputs'!B2762="",0,1)="",0,IF('Model inputs'!B2762="",0,1)),IF(IF('Model inputs'!B2763="",0,1)="",0,IF('Model inputs'!B2763="",0,1)),IF(IF('Model inputs'!B2764="",0,1)="",0,IF('Model inputs'!B2764="",0,1)),IF(IF('Model inputs'!B2765="",0,1)="",0,IF('Model inputs'!B2765="",0,1)),IF(IF('Model inputs'!B2766="",0,1)="",0,IF('Model inputs'!B2766="",0,1)),IF(IF('Model inputs'!B2767="",0,1)="",0,IF('Model inputs'!B2767="",0,1)),IF(IF('Model inputs'!B2768="",0,1)="",0,IF('Model inputs'!B2768="",0,1)),IF(IF('Model inputs'!B2769="",0,1)="",0,IF('Model inputs'!B2769="",0,1)),IF(IF('Model inputs'!B2770="",0,1)="",0,IF('Model inputs'!B2770="",0,1)),IF(IF('Model inputs'!B2771="",0,1)="",0,IF('Model inputs'!B2771="",0,1)),IF(IF('Model inputs'!B2772="",0,1)="",0,IF('Model inputs'!B2772="",0,1)),IF(IF('Model inputs'!B2773="",0,1)="",0,IF('Model inputs'!B2773="",0,1)),IF(IF('Model inputs'!B2774="",0,1)="",0,IF('Model inputs'!B2774="",0,1)),IF(IF('Model inputs'!B2775="",0,1)="",0,IF('Model inputs'!B2775="",0,1)),IF(IF('Model inputs'!B2776="",0,1)="",0,IF('Model inputs'!B2776="",0,1)),IF(IF('Model inputs'!B2777="",0,1)="",0,IF('Model inputs'!B2777="",0,1)),IF(IF('Model inputs'!B2778="",0,1)="",0,IF('Model inputs'!B2778="",0,1)),IF(IF('Model inputs'!B2779="",0,1)="",0,IF('Model inputs'!B2779="",0,1)),IF(IF('Model inputs'!B2780="",0,1)="",0,IF('Model inputs'!B2780="",0,1)),IF(IF('Model inputs'!B2781="",0,1)="",0,IF('Model inputs'!B2781="",0,1)),IF(IF('Model inputs'!B2782="",0,1)="",0,IF('Model inputs'!B2782="",0,1)),IF(IF('Model inputs'!B2783="",0,1)="",0,IF('Model inputs'!B2783="",0,1)),IF(IF('Model inputs'!B2784="",0,1)="",0,IF('Model inputs'!B2784="",0,1)),IF(IF('Model inputs'!B2785="",0,1)="",0,IF('Model inputs'!B2785="",0,1)),IF(IF('Model inputs'!B2786="",0,1)="",0,IF('Model inputs'!B2786="",0,1)),IF(IF('Model inputs'!B2787="",0,1)="",0,IF('Model inputs'!B2787="",0,1)),IF(IF('Model inputs'!B2788="",0,1)="",0,IF('Model inputs'!B2788="",0,1)),IF(IF('Model inputs'!B2789="",0,1)="",0,IF('Model inputs'!B2789="",0,1)))</f>
      </c>
    </row>
    <row r="2791">
      <c r="A2791" t="inlineStr" s="25">
        <is>
          <t xml:space="preserve">Calculation</t>
        </is>
      </c>
      <c r="B2791">
        <f>IF(IF(DATE(2026,10,1)=EDATE(DATE(2028,2,1),-'Model inputs'!AM13*1)="",FALSE,DATE(2026,10,1)=EDATE(DATE(2028,2,1),-'Model inputs'!AM13*1)),IF('Model inputs'!C85="","",'Model inputs'!C85),"")</f>
      </c>
    </row>
    <row r="2792">
      <c r="A2792" t="inlineStr" s="25">
        <is>
          <t xml:space="preserve">Calculation</t>
        </is>
      </c>
      <c r="B2792">
        <f>IF(IF(DATE(2026,11,1)=EDATE(DATE(2028,2,1),-'Model inputs'!AM13*1)="",FALSE,DATE(2026,11,1)=EDATE(DATE(2028,2,1),-'Model inputs'!AM13*1)),IF('Model inputs'!D85="","",'Model inputs'!D85),"")</f>
      </c>
    </row>
    <row r="2793">
      <c r="A2793" t="inlineStr" s="25">
        <is>
          <t xml:space="preserve">Calculation</t>
        </is>
      </c>
      <c r="B2793">
        <f>IF(IF(DATE(2026,12,1)=EDATE(DATE(2028,2,1),-'Model inputs'!AM13*1)="",FALSE,DATE(2026,12,1)=EDATE(DATE(2028,2,1),-'Model inputs'!AM13*1)),IF('Model inputs'!E85="","",'Model inputs'!E85),"")</f>
      </c>
    </row>
    <row r="2794">
      <c r="A2794" t="inlineStr" s="25">
        <is>
          <t xml:space="preserve">Calculation</t>
        </is>
      </c>
      <c r="B2794">
        <f>IF(IF(DATE(2027,1,1)=EDATE(DATE(2028,2,1),-'Model inputs'!AM13*1)="",FALSE,DATE(2027,1,1)=EDATE(DATE(2028,2,1),-'Model inputs'!AM13*1)),IF('Model inputs'!F85="","",'Model inputs'!F85),"")</f>
      </c>
    </row>
    <row r="2795">
      <c r="A2795" t="inlineStr" s="25">
        <is>
          <t xml:space="preserve">Calculation</t>
        </is>
      </c>
      <c r="B2795">
        <f>IF(IF(DATE(2027,2,1)=EDATE(DATE(2028,2,1),-'Model inputs'!AM13*1)="",FALSE,DATE(2027,2,1)=EDATE(DATE(2028,2,1),-'Model inputs'!AM13*1)),IF('Model inputs'!G85="","",'Model inputs'!G85),"")</f>
      </c>
    </row>
    <row r="2796">
      <c r="A2796" t="inlineStr" s="25">
        <is>
          <t xml:space="preserve">Calculation</t>
        </is>
      </c>
      <c r="B2796">
        <f>IF(IF(DATE(2027,3,1)=EDATE(DATE(2028,2,1),-'Model inputs'!AM13*1)="",FALSE,DATE(2027,3,1)=EDATE(DATE(2028,2,1),-'Model inputs'!AM13*1)),IF('Model inputs'!H85="","",'Model inputs'!H85),"")</f>
      </c>
    </row>
    <row r="2797">
      <c r="A2797" t="inlineStr" s="25">
        <is>
          <t xml:space="preserve">Calculation</t>
        </is>
      </c>
      <c r="B2797">
        <f>IF(IF(DATE(2027,4,1)=EDATE(DATE(2028,2,1),-'Model inputs'!AM13*1)="",FALSE,DATE(2027,4,1)=EDATE(DATE(2028,2,1),-'Model inputs'!AM13*1)),IF('Model inputs'!I85="","",'Model inputs'!I85),"")</f>
      </c>
    </row>
    <row r="2798">
      <c r="A2798" t="inlineStr" s="25">
        <is>
          <t xml:space="preserve">Calculation</t>
        </is>
      </c>
      <c r="B2798">
        <f>IF(IF(DATE(2027,5,1)=EDATE(DATE(2028,2,1),-'Model inputs'!AM13*1)="",FALSE,DATE(2027,5,1)=EDATE(DATE(2028,2,1),-'Model inputs'!AM13*1)),IF('Model inputs'!J85="","",'Model inputs'!J85),"")</f>
      </c>
    </row>
    <row r="2799">
      <c r="A2799" t="inlineStr" s="25">
        <is>
          <t xml:space="preserve">Calculation</t>
        </is>
      </c>
      <c r="B2799">
        <f>IF(IF(DATE(2027,6,1)=EDATE(DATE(2028,2,1),-'Model inputs'!AM13*1)="",FALSE,DATE(2027,6,1)=EDATE(DATE(2028,2,1),-'Model inputs'!AM13*1)),IF('Model inputs'!K85="","",'Model inputs'!K85),"")</f>
      </c>
    </row>
    <row r="2800">
      <c r="A2800" t="inlineStr" s="25">
        <is>
          <t xml:space="preserve">Calculation</t>
        </is>
      </c>
      <c r="B2800">
        <f>IF(IF(DATE(2027,7,1)=EDATE(DATE(2028,2,1),-'Model inputs'!AM13*1)="",FALSE,DATE(2027,7,1)=EDATE(DATE(2028,2,1),-'Model inputs'!AM13*1)),IF('Model inputs'!L85="","",'Model inputs'!L85),"")</f>
      </c>
    </row>
    <row r="2801">
      <c r="A2801" t="inlineStr" s="25">
        <is>
          <t xml:space="preserve">Calculation</t>
        </is>
      </c>
      <c r="B2801">
        <f>IF(IF(DATE(2027,8,1)=EDATE(DATE(2028,2,1),-'Model inputs'!AM13*1)="",FALSE,DATE(2027,8,1)=EDATE(DATE(2028,2,1),-'Model inputs'!AM13*1)),IF('Model inputs'!M85="","",'Model inputs'!M85),"")</f>
      </c>
    </row>
    <row r="2802">
      <c r="A2802" t="inlineStr" s="25">
        <is>
          <t xml:space="preserve">Calculation</t>
        </is>
      </c>
      <c r="B2802">
        <f>IF(IF(DATE(2027,9,1)=EDATE(DATE(2028,2,1),-'Model inputs'!AM13*1)="",FALSE,DATE(2027,9,1)=EDATE(DATE(2028,2,1),-'Model inputs'!AM13*1)),IF('Model inputs'!N85="","",'Model inputs'!N85),"")</f>
      </c>
    </row>
    <row r="2803">
      <c r="A2803" t="inlineStr" s="25">
        <is>
          <t xml:space="preserve">Calculation</t>
        </is>
      </c>
      <c r="B2803">
        <f>IF(IF(DATE(2027,10,1)=EDATE(DATE(2028,2,1),-'Model inputs'!AM13*1)="",FALSE,DATE(2027,10,1)=EDATE(DATE(2028,2,1),-'Model inputs'!AM13*1)),IF('Model inputs'!O85="","",'Model inputs'!O85),"")</f>
      </c>
    </row>
    <row r="2804">
      <c r="A2804" t="inlineStr" s="25">
        <is>
          <t xml:space="preserve">Calculation</t>
        </is>
      </c>
      <c r="B2804">
        <f>IF(IF(DATE(2027,11,1)=EDATE(DATE(2028,2,1),-'Model inputs'!AM13*1)="",FALSE,DATE(2027,11,1)=EDATE(DATE(2028,2,1),-'Model inputs'!AM13*1)),IF('Model inputs'!P85="","",'Model inputs'!P85),"")</f>
      </c>
    </row>
    <row r="2805">
      <c r="A2805" t="inlineStr" s="25">
        <is>
          <t xml:space="preserve">Calculation</t>
        </is>
      </c>
      <c r="B2805">
        <f>IF(IF(DATE(2027,12,1)=EDATE(DATE(2028,2,1),-'Model inputs'!AM13*1)="",FALSE,DATE(2027,12,1)=EDATE(DATE(2028,2,1),-'Model inputs'!AM13*1)),IF('Model inputs'!Q85="","",'Model inputs'!Q85),"")</f>
      </c>
    </row>
    <row r="2806">
      <c r="A2806" t="inlineStr" s="25">
        <is>
          <t xml:space="preserve">Calculation</t>
        </is>
      </c>
      <c r="B2806">
        <f>IF(IF(DATE(2028,1,1)=EDATE(DATE(2028,2,1),-'Model inputs'!AM13*1)="",FALSE,DATE(2028,1,1)=EDATE(DATE(2028,2,1),-'Model inputs'!AM13*1)),IF('Model inputs'!R85="","",'Model inputs'!R85),"")</f>
      </c>
    </row>
    <row r="2807">
      <c r="A2807" t="inlineStr" s="25">
        <is>
          <t xml:space="preserve">Calculation</t>
        </is>
      </c>
      <c r="B2807">
        <f>IF(IF(DATE(2028,2,1)=EDATE(DATE(2028,2,1),-'Model inputs'!AM13*1)="",FALSE,DATE(2028,2,1)=EDATE(DATE(2028,2,1),-'Model inputs'!AM13*1)),IF('Model inputs'!S85="","",'Model inputs'!S85),"")</f>
      </c>
    </row>
    <row r="2808">
      <c r="A2808" t="inlineStr" s="25">
        <is>
          <t xml:space="preserve">Calculation</t>
        </is>
      </c>
      <c r="B2808">
        <f>IF(IF(DATE(2028,3,1)=EDATE(DATE(2028,2,1),-'Model inputs'!AM13*1)="",FALSE,DATE(2028,3,1)=EDATE(DATE(2028,2,1),-'Model inputs'!AM13*1)),IF('Model inputs'!T85="","",'Model inputs'!T85),"")</f>
      </c>
    </row>
    <row r="2809">
      <c r="A2809" t="inlineStr" s="25">
        <is>
          <t xml:space="preserve">Calculation</t>
        </is>
      </c>
      <c r="B2809">
        <f>IF(IF(DATE(2028,4,1)=EDATE(DATE(2028,2,1),-'Model inputs'!AM13*1)="",FALSE,DATE(2028,4,1)=EDATE(DATE(2028,2,1),-'Model inputs'!AM13*1)),IF('Model inputs'!U85="","",'Model inputs'!U85),"")</f>
      </c>
    </row>
    <row r="2810">
      <c r="A2810" t="inlineStr" s="25">
        <is>
          <t xml:space="preserve">Calculation</t>
        </is>
      </c>
      <c r="B2810">
        <f>IF(IF(DATE(2028,5,1)=EDATE(DATE(2028,2,1),-'Model inputs'!AM13*1)="",FALSE,DATE(2028,5,1)=EDATE(DATE(2028,2,1),-'Model inputs'!AM13*1)),IF('Model inputs'!V85="","",'Model inputs'!V85),"")</f>
      </c>
    </row>
    <row r="2811">
      <c r="A2811" t="inlineStr" s="25">
        <is>
          <t xml:space="preserve">Calculation</t>
        </is>
      </c>
      <c r="B2811">
        <f>IF(IF(DATE(2028,6,1)=EDATE(DATE(2028,2,1),-'Model inputs'!AM13*1)="",FALSE,DATE(2028,6,1)=EDATE(DATE(2028,2,1),-'Model inputs'!AM13*1)),IF('Model inputs'!W85="","",'Model inputs'!W85),"")</f>
      </c>
    </row>
    <row r="2812">
      <c r="A2812" t="inlineStr" s="25">
        <is>
          <t xml:space="preserve">Calculation</t>
        </is>
      </c>
      <c r="B2812">
        <f>IF(IF(DATE(2028,7,1)=EDATE(DATE(2028,2,1),-'Model inputs'!AM13*1)="",FALSE,DATE(2028,7,1)=EDATE(DATE(2028,2,1),-'Model inputs'!AM13*1)),IF('Model inputs'!X85="","",'Model inputs'!X85),"")</f>
      </c>
    </row>
    <row r="2813">
      <c r="A2813" t="inlineStr" s="25">
        <is>
          <t xml:space="preserve">Calculation</t>
        </is>
      </c>
      <c r="B2813">
        <f>IF(IF(DATE(2028,8,1)=EDATE(DATE(2028,2,1),-'Model inputs'!AM13*1)="",FALSE,DATE(2028,8,1)=EDATE(DATE(2028,2,1),-'Model inputs'!AM13*1)),IF('Model inputs'!Y85="","",'Model inputs'!Y85),"")</f>
      </c>
    </row>
    <row r="2814">
      <c r="A2814" t="inlineStr" s="25">
        <is>
          <t xml:space="preserve">Calculation</t>
        </is>
      </c>
      <c r="B2814">
        <f>IF(IF(DATE(2028,9,1)=EDATE(DATE(2028,2,1),-'Model inputs'!AM13*1)="",FALSE,DATE(2028,9,1)=EDATE(DATE(2028,2,1),-'Model inputs'!AM13*1)),IF('Model inputs'!Z85="","",'Model inputs'!Z85),"")</f>
      </c>
    </row>
    <row r="2815">
      <c r="A2815" t="inlineStr" s="25">
        <is>
          <t xml:space="preserve">Calculation</t>
        </is>
      </c>
      <c r="B2815">
        <f>IF(IF(DATE(2028,10,1)=EDATE(DATE(2028,2,1),-'Model inputs'!AM13*1)="",FALSE,DATE(2028,10,1)=EDATE(DATE(2028,2,1),-'Model inputs'!AM13*1)),IF('Model inputs'!AA85="","",'Model inputs'!AA85),"")</f>
      </c>
    </row>
    <row r="2816">
      <c r="A2816" t="inlineStr" s="25">
        <is>
          <t xml:space="preserve">Calculation</t>
        </is>
      </c>
      <c r="B2816">
        <f>IF(IF(DATE(2028,11,1)=EDATE(DATE(2028,2,1),-'Model inputs'!AM13*1)="",FALSE,DATE(2028,11,1)=EDATE(DATE(2028,2,1),-'Model inputs'!AM13*1)),IF('Model inputs'!AB85="","",'Model inputs'!AB85),"")</f>
      </c>
    </row>
    <row r="2817">
      <c r="A2817" t="inlineStr" s="25">
        <is>
          <t xml:space="preserve">Calculation</t>
        </is>
      </c>
      <c r="B2817">
        <f>IF(IF(DATE(2028,12,1)=EDATE(DATE(2028,2,1),-'Model inputs'!AM13*1)="",FALSE,DATE(2028,12,1)=EDATE(DATE(2028,2,1),-'Model inputs'!AM13*1)),IF('Model inputs'!AC85="","",'Model inputs'!AC85),"")</f>
      </c>
    </row>
    <row r="2818">
      <c r="A2818" t="inlineStr" s="25">
        <is>
          <t xml:space="preserve">Calculation</t>
        </is>
      </c>
      <c r="B2818">
        <f>IF(IF(DATE(2029,1,1)=EDATE(DATE(2028,2,1),-'Model inputs'!AM13*1)="",FALSE,DATE(2029,1,1)=EDATE(DATE(2028,2,1),-'Model inputs'!AM13*1)),IF('Model inputs'!AD85="","",'Model inputs'!AD85),"")</f>
      </c>
    </row>
    <row r="2819">
      <c r="A2819" t="inlineStr" s="25">
        <is>
          <t xml:space="preserve">Calculation</t>
        </is>
      </c>
      <c r="B2819">
        <f>IF(IF(DATE(2029,2,1)=EDATE(DATE(2028,2,1),-'Model inputs'!AM13*1)="",FALSE,DATE(2029,2,1)=EDATE(DATE(2028,2,1),-'Model inputs'!AM13*1)),IF('Model inputs'!AE85="","",'Model inputs'!AE85),"")</f>
      </c>
    </row>
    <row r="2820">
      <c r="A2820" t="inlineStr" s="25">
        <is>
          <t xml:space="preserve">Calculation</t>
        </is>
      </c>
      <c r="B2820">
        <f>IF(IF(DATE(2029,3,1)=EDATE(DATE(2028,2,1),-'Model inputs'!AM13*1)="",FALSE,DATE(2029,3,1)=EDATE(DATE(2028,2,1),-'Model inputs'!AM13*1)),IF('Model inputs'!AF85="","",'Model inputs'!AF85),"")</f>
      </c>
    </row>
    <row r="2821">
      <c r="A2821" t="inlineStr" s="25">
        <is>
          <t xml:space="preserve">Calculation</t>
        </is>
      </c>
      <c r="B2821">
        <f>IF(IF(DATE(2029,4,1)=EDATE(DATE(2028,2,1),-'Model inputs'!AM13*1)="",FALSE,DATE(2029,4,1)=EDATE(DATE(2028,2,1),-'Model inputs'!AM13*1)),IF('Model inputs'!AG85="","",'Model inputs'!AG85),"")</f>
      </c>
    </row>
    <row r="2822">
      <c r="A2822" t="inlineStr" s="25">
        <is>
          <t xml:space="preserve">Calculation</t>
        </is>
      </c>
      <c r="B2822">
        <f>IF(IF(DATE(2029,5,1)=EDATE(DATE(2028,2,1),-'Model inputs'!AM13*1)="",FALSE,DATE(2029,5,1)=EDATE(DATE(2028,2,1),-'Model inputs'!AM13*1)),IF('Model inputs'!AH85="","",'Model inputs'!AH85),"")</f>
      </c>
    </row>
    <row r="2823">
      <c r="A2823" t="inlineStr" s="25">
        <is>
          <t xml:space="preserve">Calculation</t>
        </is>
      </c>
      <c r="B2823">
        <f>IF(IF(DATE(2029,6,1)=EDATE(DATE(2028,2,1),-'Model inputs'!AM13*1)="",FALSE,DATE(2029,6,1)=EDATE(DATE(2028,2,1),-'Model inputs'!AM13*1)),IF('Model inputs'!AI85="","",'Model inputs'!AI85),"")</f>
      </c>
    </row>
    <row r="2824">
      <c r="A2824" t="inlineStr" s="25">
        <is>
          <t xml:space="preserve">Calculation</t>
        </is>
      </c>
      <c r="B2824">
        <f>IF(IF(DATE(2029,7,1)=EDATE(DATE(2028,2,1),-'Model inputs'!AM13*1)="",FALSE,DATE(2029,7,1)=EDATE(DATE(2028,2,1),-'Model inputs'!AM13*1)),IF('Model inputs'!AJ85="","",'Model inputs'!AJ85),"")</f>
      </c>
    </row>
    <row r="2825">
      <c r="A2825" t="inlineStr" s="25">
        <is>
          <t xml:space="preserve">Calculation</t>
        </is>
      </c>
      <c r="B2825">
        <f>IF(IF(DATE(2029,8,1)=EDATE(DATE(2028,2,1),-'Model inputs'!AM13*1)="",FALSE,DATE(2029,8,1)=EDATE(DATE(2028,2,1),-'Model inputs'!AM13*1)),IF('Model inputs'!AK85="","",'Model inputs'!AK85),"")</f>
      </c>
    </row>
    <row r="2826">
      <c r="A2826" t="inlineStr" s="25">
        <is>
          <t xml:space="preserve">Calculation</t>
        </is>
      </c>
      <c r="B2826">
        <f>IF(IF(DATE(2029,9,1)=EDATE(DATE(2028,2,1),-'Model inputs'!AM13*1)="",FALSE,DATE(2029,9,1)=EDATE(DATE(2028,2,1),-'Model inputs'!AM13*1)),IF('Model inputs'!AL85="","",'Model inputs'!AL85),"")</f>
      </c>
    </row>
    <row r="2827">
      <c r="A2827" t="inlineStr" s="25">
        <is>
          <t xml:space="preserve">Calculation</t>
        </is>
      </c>
      <c r="B2827">
        <f>SUM(IF(IF('Model inputs'!B1439="",0,1)="",0,IF('Model inputs'!B1439="",0,1)),IF(IF('Model inputs'!B2791="",0,1)="",0,IF('Model inputs'!B2791="",0,1)),IF(IF('Model inputs'!B2792="",0,1)="",0,IF('Model inputs'!B2792="",0,1)),IF(IF('Model inputs'!B2793="",0,1)="",0,IF('Model inputs'!B2793="",0,1)),IF(IF('Model inputs'!B2794="",0,1)="",0,IF('Model inputs'!B2794="",0,1)),IF(IF('Model inputs'!B2795="",0,1)="",0,IF('Model inputs'!B2795="",0,1)),IF(IF('Model inputs'!B2796="",0,1)="",0,IF('Model inputs'!B2796="",0,1)),IF(IF('Model inputs'!B2797="",0,1)="",0,IF('Model inputs'!B2797="",0,1)),IF(IF('Model inputs'!B2798="",0,1)="",0,IF('Model inputs'!B2798="",0,1)),IF(IF('Model inputs'!B2799="",0,1)="",0,IF('Model inputs'!B2799="",0,1)),IF(IF('Model inputs'!B2800="",0,1)="",0,IF('Model inputs'!B2800="",0,1)),IF(IF('Model inputs'!B2801="",0,1)="",0,IF('Model inputs'!B2801="",0,1)),IF(IF('Model inputs'!B2802="",0,1)="",0,IF('Model inputs'!B2802="",0,1)),IF(IF('Model inputs'!B2803="",0,1)="",0,IF('Model inputs'!B2803="",0,1)),IF(IF('Model inputs'!B2804="",0,1)="",0,IF('Model inputs'!B2804="",0,1)),IF(IF('Model inputs'!B2805="",0,1)="",0,IF('Model inputs'!B2805="",0,1)),IF(IF('Model inputs'!B2806="",0,1)="",0,IF('Model inputs'!B2806="",0,1)),IF(IF('Model inputs'!B2807="",0,1)="",0,IF('Model inputs'!B2807="",0,1)),IF(IF('Model inputs'!B2808="",0,1)="",0,IF('Model inputs'!B2808="",0,1)),IF(IF('Model inputs'!B2809="",0,1)="",0,IF('Model inputs'!B2809="",0,1)),IF(IF('Model inputs'!B2810="",0,1)="",0,IF('Model inputs'!B2810="",0,1)),IF(IF('Model inputs'!B2811="",0,1)="",0,IF('Model inputs'!B2811="",0,1)),IF(IF('Model inputs'!B2812="",0,1)="",0,IF('Model inputs'!B2812="",0,1)),IF(IF('Model inputs'!B2813="",0,1)="",0,IF('Model inputs'!B2813="",0,1)),IF(IF('Model inputs'!B2814="",0,1)="",0,IF('Model inputs'!B2814="",0,1)),IF(IF('Model inputs'!B2815="",0,1)="",0,IF('Model inputs'!B2815="",0,1)),IF(IF('Model inputs'!B2816="",0,1)="",0,IF('Model inputs'!B2816="",0,1)),IF(IF('Model inputs'!B2817="",0,1)="",0,IF('Model inputs'!B2817="",0,1)),IF(IF('Model inputs'!B2818="",0,1)="",0,IF('Model inputs'!B2818="",0,1)),IF(IF('Model inputs'!B2819="",0,1)="",0,IF('Model inputs'!B2819="",0,1)),IF(IF('Model inputs'!B2820="",0,1)="",0,IF('Model inputs'!B2820="",0,1)),IF(IF('Model inputs'!B2821="",0,1)="",0,IF('Model inputs'!B2821="",0,1)),IF(IF('Model inputs'!B2822="",0,1)="",0,IF('Model inputs'!B2822="",0,1)),IF(IF('Model inputs'!B2823="",0,1)="",0,IF('Model inputs'!B2823="",0,1)),IF(IF('Model inputs'!B2824="",0,1)="",0,IF('Model inputs'!B2824="",0,1)),IF(IF('Model inputs'!B2825="",0,1)="",0,IF('Model inputs'!B2825="",0,1)),IF(IF('Model inputs'!B2826="",0,1)="",0,IF('Model inputs'!B2826="",0,1)))</f>
      </c>
    </row>
    <row r="2828">
      <c r="A2828" t="inlineStr" s="25">
        <is>
          <t xml:space="preserve">Calculation</t>
        </is>
      </c>
      <c r="B2828">
        <f>IF(IF(DATE(2026,10,1)=EDATE(DATE(2028,3,1),-'Model inputs'!AM13*1)="",FALSE,DATE(2026,10,1)=EDATE(DATE(2028,3,1),-'Model inputs'!AM13*1)),IF('Model inputs'!C85="","",'Model inputs'!C85),"")</f>
      </c>
    </row>
    <row r="2829">
      <c r="A2829" t="inlineStr" s="25">
        <is>
          <t xml:space="preserve">Calculation</t>
        </is>
      </c>
      <c r="B2829">
        <f>IF(IF(DATE(2026,11,1)=EDATE(DATE(2028,3,1),-'Model inputs'!AM13*1)="",FALSE,DATE(2026,11,1)=EDATE(DATE(2028,3,1),-'Model inputs'!AM13*1)),IF('Model inputs'!D85="","",'Model inputs'!D85),"")</f>
      </c>
    </row>
    <row r="2830">
      <c r="A2830" t="inlineStr" s="25">
        <is>
          <t xml:space="preserve">Calculation</t>
        </is>
      </c>
      <c r="B2830">
        <f>IF(IF(DATE(2026,12,1)=EDATE(DATE(2028,3,1),-'Model inputs'!AM13*1)="",FALSE,DATE(2026,12,1)=EDATE(DATE(2028,3,1),-'Model inputs'!AM13*1)),IF('Model inputs'!E85="","",'Model inputs'!E85),"")</f>
      </c>
    </row>
    <row r="2831">
      <c r="A2831" t="inlineStr" s="25">
        <is>
          <t xml:space="preserve">Calculation</t>
        </is>
      </c>
      <c r="B2831">
        <f>IF(IF(DATE(2027,1,1)=EDATE(DATE(2028,3,1),-'Model inputs'!AM13*1)="",FALSE,DATE(2027,1,1)=EDATE(DATE(2028,3,1),-'Model inputs'!AM13*1)),IF('Model inputs'!F85="","",'Model inputs'!F85),"")</f>
      </c>
    </row>
    <row r="2832">
      <c r="A2832" t="inlineStr" s="25">
        <is>
          <t xml:space="preserve">Calculation</t>
        </is>
      </c>
      <c r="B2832">
        <f>IF(IF(DATE(2027,2,1)=EDATE(DATE(2028,3,1),-'Model inputs'!AM13*1)="",FALSE,DATE(2027,2,1)=EDATE(DATE(2028,3,1),-'Model inputs'!AM13*1)),IF('Model inputs'!G85="","",'Model inputs'!G85),"")</f>
      </c>
    </row>
    <row r="2833">
      <c r="A2833" t="inlineStr" s="25">
        <is>
          <t xml:space="preserve">Calculation</t>
        </is>
      </c>
      <c r="B2833">
        <f>IF(IF(DATE(2027,3,1)=EDATE(DATE(2028,3,1),-'Model inputs'!AM13*1)="",FALSE,DATE(2027,3,1)=EDATE(DATE(2028,3,1),-'Model inputs'!AM13*1)),IF('Model inputs'!H85="","",'Model inputs'!H85),"")</f>
      </c>
    </row>
    <row r="2834">
      <c r="A2834" t="inlineStr" s="25">
        <is>
          <t xml:space="preserve">Calculation</t>
        </is>
      </c>
      <c r="B2834">
        <f>IF(IF(DATE(2027,4,1)=EDATE(DATE(2028,3,1),-'Model inputs'!AM13*1)="",FALSE,DATE(2027,4,1)=EDATE(DATE(2028,3,1),-'Model inputs'!AM13*1)),IF('Model inputs'!I85="","",'Model inputs'!I85),"")</f>
      </c>
    </row>
    <row r="2835">
      <c r="A2835" t="inlineStr" s="25">
        <is>
          <t xml:space="preserve">Calculation</t>
        </is>
      </c>
      <c r="B2835">
        <f>IF(IF(DATE(2027,5,1)=EDATE(DATE(2028,3,1),-'Model inputs'!AM13*1)="",FALSE,DATE(2027,5,1)=EDATE(DATE(2028,3,1),-'Model inputs'!AM13*1)),IF('Model inputs'!J85="","",'Model inputs'!J85),"")</f>
      </c>
    </row>
    <row r="2836">
      <c r="A2836" t="inlineStr" s="25">
        <is>
          <t xml:space="preserve">Calculation</t>
        </is>
      </c>
      <c r="B2836">
        <f>IF(IF(DATE(2027,6,1)=EDATE(DATE(2028,3,1),-'Model inputs'!AM13*1)="",FALSE,DATE(2027,6,1)=EDATE(DATE(2028,3,1),-'Model inputs'!AM13*1)),IF('Model inputs'!K85="","",'Model inputs'!K85),"")</f>
      </c>
    </row>
    <row r="2837">
      <c r="A2837" t="inlineStr" s="25">
        <is>
          <t xml:space="preserve">Calculation</t>
        </is>
      </c>
      <c r="B2837">
        <f>IF(IF(DATE(2027,7,1)=EDATE(DATE(2028,3,1),-'Model inputs'!AM13*1)="",FALSE,DATE(2027,7,1)=EDATE(DATE(2028,3,1),-'Model inputs'!AM13*1)),IF('Model inputs'!L85="","",'Model inputs'!L85),"")</f>
      </c>
    </row>
    <row r="2838">
      <c r="A2838" t="inlineStr" s="25">
        <is>
          <t xml:space="preserve">Calculation</t>
        </is>
      </c>
      <c r="B2838">
        <f>IF(IF(DATE(2027,8,1)=EDATE(DATE(2028,3,1),-'Model inputs'!AM13*1)="",FALSE,DATE(2027,8,1)=EDATE(DATE(2028,3,1),-'Model inputs'!AM13*1)),IF('Model inputs'!M85="","",'Model inputs'!M85),"")</f>
      </c>
    </row>
    <row r="2839">
      <c r="A2839" t="inlineStr" s="25">
        <is>
          <t xml:space="preserve">Calculation</t>
        </is>
      </c>
      <c r="B2839">
        <f>IF(IF(DATE(2027,9,1)=EDATE(DATE(2028,3,1),-'Model inputs'!AM13*1)="",FALSE,DATE(2027,9,1)=EDATE(DATE(2028,3,1),-'Model inputs'!AM13*1)),IF('Model inputs'!N85="","",'Model inputs'!N85),"")</f>
      </c>
    </row>
    <row r="2840">
      <c r="A2840" t="inlineStr" s="25">
        <is>
          <t xml:space="preserve">Calculation</t>
        </is>
      </c>
      <c r="B2840">
        <f>IF(IF(DATE(2027,10,1)=EDATE(DATE(2028,3,1),-'Model inputs'!AM13*1)="",FALSE,DATE(2027,10,1)=EDATE(DATE(2028,3,1),-'Model inputs'!AM13*1)),IF('Model inputs'!O85="","",'Model inputs'!O85),"")</f>
      </c>
    </row>
    <row r="2841">
      <c r="A2841" t="inlineStr" s="25">
        <is>
          <t xml:space="preserve">Calculation</t>
        </is>
      </c>
      <c r="B2841">
        <f>IF(IF(DATE(2027,11,1)=EDATE(DATE(2028,3,1),-'Model inputs'!AM13*1)="",FALSE,DATE(2027,11,1)=EDATE(DATE(2028,3,1),-'Model inputs'!AM13*1)),IF('Model inputs'!P85="","",'Model inputs'!P85),"")</f>
      </c>
    </row>
    <row r="2842">
      <c r="A2842" t="inlineStr" s="25">
        <is>
          <t xml:space="preserve">Calculation</t>
        </is>
      </c>
      <c r="B2842">
        <f>IF(IF(DATE(2027,12,1)=EDATE(DATE(2028,3,1),-'Model inputs'!AM13*1)="",FALSE,DATE(2027,12,1)=EDATE(DATE(2028,3,1),-'Model inputs'!AM13*1)),IF('Model inputs'!Q85="","",'Model inputs'!Q85),"")</f>
      </c>
    </row>
    <row r="2843">
      <c r="A2843" t="inlineStr" s="25">
        <is>
          <t xml:space="preserve">Calculation</t>
        </is>
      </c>
      <c r="B2843">
        <f>IF(IF(DATE(2028,1,1)=EDATE(DATE(2028,3,1),-'Model inputs'!AM13*1)="",FALSE,DATE(2028,1,1)=EDATE(DATE(2028,3,1),-'Model inputs'!AM13*1)),IF('Model inputs'!R85="","",'Model inputs'!R85),"")</f>
      </c>
    </row>
    <row r="2844">
      <c r="A2844" t="inlineStr" s="25">
        <is>
          <t xml:space="preserve">Calculation</t>
        </is>
      </c>
      <c r="B2844">
        <f>IF(IF(DATE(2028,2,1)=EDATE(DATE(2028,3,1),-'Model inputs'!AM13*1)="",FALSE,DATE(2028,2,1)=EDATE(DATE(2028,3,1),-'Model inputs'!AM13*1)),IF('Model inputs'!S85="","",'Model inputs'!S85),"")</f>
      </c>
    </row>
    <row r="2845">
      <c r="A2845" t="inlineStr" s="25">
        <is>
          <t xml:space="preserve">Calculation</t>
        </is>
      </c>
      <c r="B2845">
        <f>IF(IF(DATE(2028,3,1)=EDATE(DATE(2028,3,1),-'Model inputs'!AM13*1)="",FALSE,DATE(2028,3,1)=EDATE(DATE(2028,3,1),-'Model inputs'!AM13*1)),IF('Model inputs'!T85="","",'Model inputs'!T85),"")</f>
      </c>
    </row>
    <row r="2846">
      <c r="A2846" t="inlineStr" s="25">
        <is>
          <t xml:space="preserve">Calculation</t>
        </is>
      </c>
      <c r="B2846">
        <f>IF(IF(DATE(2028,4,1)=EDATE(DATE(2028,3,1),-'Model inputs'!AM13*1)="",FALSE,DATE(2028,4,1)=EDATE(DATE(2028,3,1),-'Model inputs'!AM13*1)),IF('Model inputs'!U85="","",'Model inputs'!U85),"")</f>
      </c>
    </row>
    <row r="2847">
      <c r="A2847" t="inlineStr" s="25">
        <is>
          <t xml:space="preserve">Calculation</t>
        </is>
      </c>
      <c r="B2847">
        <f>IF(IF(DATE(2028,5,1)=EDATE(DATE(2028,3,1),-'Model inputs'!AM13*1)="",FALSE,DATE(2028,5,1)=EDATE(DATE(2028,3,1),-'Model inputs'!AM13*1)),IF('Model inputs'!V85="","",'Model inputs'!V85),"")</f>
      </c>
    </row>
    <row r="2848">
      <c r="A2848" t="inlineStr" s="25">
        <is>
          <t xml:space="preserve">Calculation</t>
        </is>
      </c>
      <c r="B2848">
        <f>IF(IF(DATE(2028,6,1)=EDATE(DATE(2028,3,1),-'Model inputs'!AM13*1)="",FALSE,DATE(2028,6,1)=EDATE(DATE(2028,3,1),-'Model inputs'!AM13*1)),IF('Model inputs'!W85="","",'Model inputs'!W85),"")</f>
      </c>
    </row>
    <row r="2849">
      <c r="A2849" t="inlineStr" s="25">
        <is>
          <t xml:space="preserve">Calculation</t>
        </is>
      </c>
      <c r="B2849">
        <f>IF(IF(DATE(2028,7,1)=EDATE(DATE(2028,3,1),-'Model inputs'!AM13*1)="",FALSE,DATE(2028,7,1)=EDATE(DATE(2028,3,1),-'Model inputs'!AM13*1)),IF('Model inputs'!X85="","",'Model inputs'!X85),"")</f>
      </c>
    </row>
    <row r="2850">
      <c r="A2850" t="inlineStr" s="25">
        <is>
          <t xml:space="preserve">Calculation</t>
        </is>
      </c>
      <c r="B2850">
        <f>IF(IF(DATE(2028,8,1)=EDATE(DATE(2028,3,1),-'Model inputs'!AM13*1)="",FALSE,DATE(2028,8,1)=EDATE(DATE(2028,3,1),-'Model inputs'!AM13*1)),IF('Model inputs'!Y85="","",'Model inputs'!Y85),"")</f>
      </c>
    </row>
    <row r="2851">
      <c r="A2851" t="inlineStr" s="25">
        <is>
          <t xml:space="preserve">Calculation</t>
        </is>
      </c>
      <c r="B2851">
        <f>IF(IF(DATE(2028,9,1)=EDATE(DATE(2028,3,1),-'Model inputs'!AM13*1)="",FALSE,DATE(2028,9,1)=EDATE(DATE(2028,3,1),-'Model inputs'!AM13*1)),IF('Model inputs'!Z85="","",'Model inputs'!Z85),"")</f>
      </c>
    </row>
    <row r="2852">
      <c r="A2852" t="inlineStr" s="25">
        <is>
          <t xml:space="preserve">Calculation</t>
        </is>
      </c>
      <c r="B2852">
        <f>IF(IF(DATE(2028,10,1)=EDATE(DATE(2028,3,1),-'Model inputs'!AM13*1)="",FALSE,DATE(2028,10,1)=EDATE(DATE(2028,3,1),-'Model inputs'!AM13*1)),IF('Model inputs'!AA85="","",'Model inputs'!AA85),"")</f>
      </c>
    </row>
    <row r="2853">
      <c r="A2853" t="inlineStr" s="25">
        <is>
          <t xml:space="preserve">Calculation</t>
        </is>
      </c>
      <c r="B2853">
        <f>IF(IF(DATE(2028,11,1)=EDATE(DATE(2028,3,1),-'Model inputs'!AM13*1)="",FALSE,DATE(2028,11,1)=EDATE(DATE(2028,3,1),-'Model inputs'!AM13*1)),IF('Model inputs'!AB85="","",'Model inputs'!AB85),"")</f>
      </c>
    </row>
    <row r="2854">
      <c r="A2854" t="inlineStr" s="25">
        <is>
          <t xml:space="preserve">Calculation</t>
        </is>
      </c>
      <c r="B2854">
        <f>IF(IF(DATE(2028,12,1)=EDATE(DATE(2028,3,1),-'Model inputs'!AM13*1)="",FALSE,DATE(2028,12,1)=EDATE(DATE(2028,3,1),-'Model inputs'!AM13*1)),IF('Model inputs'!AC85="","",'Model inputs'!AC85),"")</f>
      </c>
    </row>
    <row r="2855">
      <c r="A2855" t="inlineStr" s="25">
        <is>
          <t xml:space="preserve">Calculation</t>
        </is>
      </c>
      <c r="B2855">
        <f>IF(IF(DATE(2029,1,1)=EDATE(DATE(2028,3,1),-'Model inputs'!AM13*1)="",FALSE,DATE(2029,1,1)=EDATE(DATE(2028,3,1),-'Model inputs'!AM13*1)),IF('Model inputs'!AD85="","",'Model inputs'!AD85),"")</f>
      </c>
    </row>
    <row r="2856">
      <c r="A2856" t="inlineStr" s="25">
        <is>
          <t xml:space="preserve">Calculation</t>
        </is>
      </c>
      <c r="B2856">
        <f>IF(IF(DATE(2029,2,1)=EDATE(DATE(2028,3,1),-'Model inputs'!AM13*1)="",FALSE,DATE(2029,2,1)=EDATE(DATE(2028,3,1),-'Model inputs'!AM13*1)),IF('Model inputs'!AE85="","",'Model inputs'!AE85),"")</f>
      </c>
    </row>
    <row r="2857">
      <c r="A2857" t="inlineStr" s="25">
        <is>
          <t xml:space="preserve">Calculation</t>
        </is>
      </c>
      <c r="B2857">
        <f>IF(IF(DATE(2029,3,1)=EDATE(DATE(2028,3,1),-'Model inputs'!AM13*1)="",FALSE,DATE(2029,3,1)=EDATE(DATE(2028,3,1),-'Model inputs'!AM13*1)),IF('Model inputs'!AF85="","",'Model inputs'!AF85),"")</f>
      </c>
    </row>
    <row r="2858">
      <c r="A2858" t="inlineStr" s="25">
        <is>
          <t xml:space="preserve">Calculation</t>
        </is>
      </c>
      <c r="B2858">
        <f>IF(IF(DATE(2029,4,1)=EDATE(DATE(2028,3,1),-'Model inputs'!AM13*1)="",FALSE,DATE(2029,4,1)=EDATE(DATE(2028,3,1),-'Model inputs'!AM13*1)),IF('Model inputs'!AG85="","",'Model inputs'!AG85),"")</f>
      </c>
    </row>
    <row r="2859">
      <c r="A2859" t="inlineStr" s="25">
        <is>
          <t xml:space="preserve">Calculation</t>
        </is>
      </c>
      <c r="B2859">
        <f>IF(IF(DATE(2029,5,1)=EDATE(DATE(2028,3,1),-'Model inputs'!AM13*1)="",FALSE,DATE(2029,5,1)=EDATE(DATE(2028,3,1),-'Model inputs'!AM13*1)),IF('Model inputs'!AH85="","",'Model inputs'!AH85),"")</f>
      </c>
    </row>
    <row r="2860">
      <c r="A2860" t="inlineStr" s="25">
        <is>
          <t xml:space="preserve">Calculation</t>
        </is>
      </c>
      <c r="B2860">
        <f>IF(IF(DATE(2029,6,1)=EDATE(DATE(2028,3,1),-'Model inputs'!AM13*1)="",FALSE,DATE(2029,6,1)=EDATE(DATE(2028,3,1),-'Model inputs'!AM13*1)),IF('Model inputs'!AI85="","",'Model inputs'!AI85),"")</f>
      </c>
    </row>
    <row r="2861">
      <c r="A2861" t="inlineStr" s="25">
        <is>
          <t xml:space="preserve">Calculation</t>
        </is>
      </c>
      <c r="B2861">
        <f>IF(IF(DATE(2029,7,1)=EDATE(DATE(2028,3,1),-'Model inputs'!AM13*1)="",FALSE,DATE(2029,7,1)=EDATE(DATE(2028,3,1),-'Model inputs'!AM13*1)),IF('Model inputs'!AJ85="","",'Model inputs'!AJ85),"")</f>
      </c>
    </row>
    <row r="2862">
      <c r="A2862" t="inlineStr" s="25">
        <is>
          <t xml:space="preserve">Calculation</t>
        </is>
      </c>
      <c r="B2862">
        <f>IF(IF(DATE(2029,8,1)=EDATE(DATE(2028,3,1),-'Model inputs'!AM13*1)="",FALSE,DATE(2029,8,1)=EDATE(DATE(2028,3,1),-'Model inputs'!AM13*1)),IF('Model inputs'!AK85="","",'Model inputs'!AK85),"")</f>
      </c>
    </row>
    <row r="2863">
      <c r="A2863" t="inlineStr" s="25">
        <is>
          <t xml:space="preserve">Calculation</t>
        </is>
      </c>
      <c r="B2863">
        <f>IF(IF(DATE(2029,9,1)=EDATE(DATE(2028,3,1),-'Model inputs'!AM13*1)="",FALSE,DATE(2029,9,1)=EDATE(DATE(2028,3,1),-'Model inputs'!AM13*1)),IF('Model inputs'!AL85="","",'Model inputs'!AL85),"")</f>
      </c>
    </row>
    <row r="2864">
      <c r="A2864" t="inlineStr" s="25">
        <is>
          <t xml:space="preserve">Calculation</t>
        </is>
      </c>
      <c r="B2864">
        <f>SUM(IF(IF('Model inputs'!B1477="",0,1)="",0,IF('Model inputs'!B1477="",0,1)),IF(IF('Model inputs'!B2828="",0,1)="",0,IF('Model inputs'!B2828="",0,1)),IF(IF('Model inputs'!B2829="",0,1)="",0,IF('Model inputs'!B2829="",0,1)),IF(IF('Model inputs'!B2830="",0,1)="",0,IF('Model inputs'!B2830="",0,1)),IF(IF('Model inputs'!B2831="",0,1)="",0,IF('Model inputs'!B2831="",0,1)),IF(IF('Model inputs'!B2832="",0,1)="",0,IF('Model inputs'!B2832="",0,1)),IF(IF('Model inputs'!B2833="",0,1)="",0,IF('Model inputs'!B2833="",0,1)),IF(IF('Model inputs'!B2834="",0,1)="",0,IF('Model inputs'!B2834="",0,1)),IF(IF('Model inputs'!B2835="",0,1)="",0,IF('Model inputs'!B2835="",0,1)),IF(IF('Model inputs'!B2836="",0,1)="",0,IF('Model inputs'!B2836="",0,1)),IF(IF('Model inputs'!B2837="",0,1)="",0,IF('Model inputs'!B2837="",0,1)),IF(IF('Model inputs'!B2838="",0,1)="",0,IF('Model inputs'!B2838="",0,1)),IF(IF('Model inputs'!B2839="",0,1)="",0,IF('Model inputs'!B2839="",0,1)),IF(IF('Model inputs'!B2840="",0,1)="",0,IF('Model inputs'!B2840="",0,1)),IF(IF('Model inputs'!B2841="",0,1)="",0,IF('Model inputs'!B2841="",0,1)),IF(IF('Model inputs'!B2842="",0,1)="",0,IF('Model inputs'!B2842="",0,1)),IF(IF('Model inputs'!B2843="",0,1)="",0,IF('Model inputs'!B2843="",0,1)),IF(IF('Model inputs'!B2844="",0,1)="",0,IF('Model inputs'!B2844="",0,1)),IF(IF('Model inputs'!B2845="",0,1)="",0,IF('Model inputs'!B2845="",0,1)),IF(IF('Model inputs'!B2846="",0,1)="",0,IF('Model inputs'!B2846="",0,1)),IF(IF('Model inputs'!B2847="",0,1)="",0,IF('Model inputs'!B2847="",0,1)),IF(IF('Model inputs'!B2848="",0,1)="",0,IF('Model inputs'!B2848="",0,1)),IF(IF('Model inputs'!B2849="",0,1)="",0,IF('Model inputs'!B2849="",0,1)),IF(IF('Model inputs'!B2850="",0,1)="",0,IF('Model inputs'!B2850="",0,1)),IF(IF('Model inputs'!B2851="",0,1)="",0,IF('Model inputs'!B2851="",0,1)),IF(IF('Model inputs'!B2852="",0,1)="",0,IF('Model inputs'!B2852="",0,1)),IF(IF('Model inputs'!B2853="",0,1)="",0,IF('Model inputs'!B2853="",0,1)),IF(IF('Model inputs'!B2854="",0,1)="",0,IF('Model inputs'!B2854="",0,1)),IF(IF('Model inputs'!B2855="",0,1)="",0,IF('Model inputs'!B2855="",0,1)),IF(IF('Model inputs'!B2856="",0,1)="",0,IF('Model inputs'!B2856="",0,1)),IF(IF('Model inputs'!B2857="",0,1)="",0,IF('Model inputs'!B2857="",0,1)),IF(IF('Model inputs'!B2858="",0,1)="",0,IF('Model inputs'!B2858="",0,1)),IF(IF('Model inputs'!B2859="",0,1)="",0,IF('Model inputs'!B2859="",0,1)),IF(IF('Model inputs'!B2860="",0,1)="",0,IF('Model inputs'!B2860="",0,1)),IF(IF('Model inputs'!B2861="",0,1)="",0,IF('Model inputs'!B2861="",0,1)),IF(IF('Model inputs'!B2862="",0,1)="",0,IF('Model inputs'!B2862="",0,1)),IF(IF('Model inputs'!B2863="",0,1)="",0,IF('Model inputs'!B2863="",0,1)))</f>
      </c>
    </row>
    <row r="2865">
      <c r="A2865" t="inlineStr" s="25">
        <is>
          <t xml:space="preserve">Calculation</t>
        </is>
      </c>
      <c r="B2865">
        <f>IF(IF(DATE(2026,10,1)=EDATE(DATE(2028,4,1),-'Model inputs'!AM13*1)="",FALSE,DATE(2026,10,1)=EDATE(DATE(2028,4,1),-'Model inputs'!AM13*1)),IF('Model inputs'!C85="","",'Model inputs'!C85),"")</f>
      </c>
    </row>
    <row r="2866">
      <c r="A2866" t="inlineStr" s="25">
        <is>
          <t xml:space="preserve">Calculation</t>
        </is>
      </c>
      <c r="B2866">
        <f>IF(IF(DATE(2026,11,1)=EDATE(DATE(2028,4,1),-'Model inputs'!AM13*1)="",FALSE,DATE(2026,11,1)=EDATE(DATE(2028,4,1),-'Model inputs'!AM13*1)),IF('Model inputs'!D85="","",'Model inputs'!D85),"")</f>
      </c>
    </row>
    <row r="2867">
      <c r="A2867" t="inlineStr" s="25">
        <is>
          <t xml:space="preserve">Calculation</t>
        </is>
      </c>
      <c r="B2867">
        <f>IF(IF(DATE(2026,12,1)=EDATE(DATE(2028,4,1),-'Model inputs'!AM13*1)="",FALSE,DATE(2026,12,1)=EDATE(DATE(2028,4,1),-'Model inputs'!AM13*1)),IF('Model inputs'!E85="","",'Model inputs'!E85),"")</f>
      </c>
    </row>
    <row r="2868">
      <c r="A2868" t="inlineStr" s="25">
        <is>
          <t xml:space="preserve">Calculation</t>
        </is>
      </c>
      <c r="B2868">
        <f>IF(IF(DATE(2027,1,1)=EDATE(DATE(2028,4,1),-'Model inputs'!AM13*1)="",FALSE,DATE(2027,1,1)=EDATE(DATE(2028,4,1),-'Model inputs'!AM13*1)),IF('Model inputs'!F85="","",'Model inputs'!F85),"")</f>
      </c>
    </row>
    <row r="2869">
      <c r="A2869" t="inlineStr" s="25">
        <is>
          <t xml:space="preserve">Calculation</t>
        </is>
      </c>
      <c r="B2869">
        <f>IF(IF(DATE(2027,2,1)=EDATE(DATE(2028,4,1),-'Model inputs'!AM13*1)="",FALSE,DATE(2027,2,1)=EDATE(DATE(2028,4,1),-'Model inputs'!AM13*1)),IF('Model inputs'!G85="","",'Model inputs'!G85),"")</f>
      </c>
    </row>
    <row r="2870">
      <c r="A2870" t="inlineStr" s="25">
        <is>
          <t xml:space="preserve">Calculation</t>
        </is>
      </c>
      <c r="B2870">
        <f>IF(IF(DATE(2027,3,1)=EDATE(DATE(2028,4,1),-'Model inputs'!AM13*1)="",FALSE,DATE(2027,3,1)=EDATE(DATE(2028,4,1),-'Model inputs'!AM13*1)),IF('Model inputs'!H85="","",'Model inputs'!H85),"")</f>
      </c>
    </row>
    <row r="2871">
      <c r="A2871" t="inlineStr" s="25">
        <is>
          <t xml:space="preserve">Calculation</t>
        </is>
      </c>
      <c r="B2871">
        <f>IF(IF(DATE(2027,4,1)=EDATE(DATE(2028,4,1),-'Model inputs'!AM13*1)="",FALSE,DATE(2027,4,1)=EDATE(DATE(2028,4,1),-'Model inputs'!AM13*1)),IF('Model inputs'!I85="","",'Model inputs'!I85),"")</f>
      </c>
    </row>
    <row r="2872">
      <c r="A2872" t="inlineStr" s="25">
        <is>
          <t xml:space="preserve">Calculation</t>
        </is>
      </c>
      <c r="B2872">
        <f>IF(IF(DATE(2027,5,1)=EDATE(DATE(2028,4,1),-'Model inputs'!AM13*1)="",FALSE,DATE(2027,5,1)=EDATE(DATE(2028,4,1),-'Model inputs'!AM13*1)),IF('Model inputs'!J85="","",'Model inputs'!J85),"")</f>
      </c>
    </row>
    <row r="2873">
      <c r="A2873" t="inlineStr" s="25">
        <is>
          <t xml:space="preserve">Calculation</t>
        </is>
      </c>
      <c r="B2873">
        <f>IF(IF(DATE(2027,6,1)=EDATE(DATE(2028,4,1),-'Model inputs'!AM13*1)="",FALSE,DATE(2027,6,1)=EDATE(DATE(2028,4,1),-'Model inputs'!AM13*1)),IF('Model inputs'!K85="","",'Model inputs'!K85),"")</f>
      </c>
    </row>
    <row r="2874">
      <c r="A2874" t="inlineStr" s="25">
        <is>
          <t xml:space="preserve">Calculation</t>
        </is>
      </c>
      <c r="B2874">
        <f>IF(IF(DATE(2027,7,1)=EDATE(DATE(2028,4,1),-'Model inputs'!AM13*1)="",FALSE,DATE(2027,7,1)=EDATE(DATE(2028,4,1),-'Model inputs'!AM13*1)),IF('Model inputs'!L85="","",'Model inputs'!L85),"")</f>
      </c>
    </row>
    <row r="2875">
      <c r="A2875" t="inlineStr" s="25">
        <is>
          <t xml:space="preserve">Calculation</t>
        </is>
      </c>
      <c r="B2875">
        <f>IF(IF(DATE(2027,8,1)=EDATE(DATE(2028,4,1),-'Model inputs'!AM13*1)="",FALSE,DATE(2027,8,1)=EDATE(DATE(2028,4,1),-'Model inputs'!AM13*1)),IF('Model inputs'!M85="","",'Model inputs'!M85),"")</f>
      </c>
    </row>
    <row r="2876">
      <c r="A2876" t="inlineStr" s="25">
        <is>
          <t xml:space="preserve">Calculation</t>
        </is>
      </c>
      <c r="B2876">
        <f>IF(IF(DATE(2027,9,1)=EDATE(DATE(2028,4,1),-'Model inputs'!AM13*1)="",FALSE,DATE(2027,9,1)=EDATE(DATE(2028,4,1),-'Model inputs'!AM13*1)),IF('Model inputs'!N85="","",'Model inputs'!N85),"")</f>
      </c>
    </row>
    <row r="2877">
      <c r="A2877" t="inlineStr" s="25">
        <is>
          <t xml:space="preserve">Calculation</t>
        </is>
      </c>
      <c r="B2877">
        <f>IF(IF(DATE(2027,10,1)=EDATE(DATE(2028,4,1),-'Model inputs'!AM13*1)="",FALSE,DATE(2027,10,1)=EDATE(DATE(2028,4,1),-'Model inputs'!AM13*1)),IF('Model inputs'!O85="","",'Model inputs'!O85),"")</f>
      </c>
    </row>
    <row r="2878">
      <c r="A2878" t="inlineStr" s="25">
        <is>
          <t xml:space="preserve">Calculation</t>
        </is>
      </c>
      <c r="B2878">
        <f>IF(IF(DATE(2027,11,1)=EDATE(DATE(2028,4,1),-'Model inputs'!AM13*1)="",FALSE,DATE(2027,11,1)=EDATE(DATE(2028,4,1),-'Model inputs'!AM13*1)),IF('Model inputs'!P85="","",'Model inputs'!P85),"")</f>
      </c>
    </row>
    <row r="2879">
      <c r="A2879" t="inlineStr" s="25">
        <is>
          <t xml:space="preserve">Calculation</t>
        </is>
      </c>
      <c r="B2879">
        <f>IF(IF(DATE(2027,12,1)=EDATE(DATE(2028,4,1),-'Model inputs'!AM13*1)="",FALSE,DATE(2027,12,1)=EDATE(DATE(2028,4,1),-'Model inputs'!AM13*1)),IF('Model inputs'!Q85="","",'Model inputs'!Q85),"")</f>
      </c>
    </row>
    <row r="2880">
      <c r="A2880" t="inlineStr" s="25">
        <is>
          <t xml:space="preserve">Calculation</t>
        </is>
      </c>
      <c r="B2880">
        <f>IF(IF(DATE(2028,1,1)=EDATE(DATE(2028,4,1),-'Model inputs'!AM13*1)="",FALSE,DATE(2028,1,1)=EDATE(DATE(2028,4,1),-'Model inputs'!AM13*1)),IF('Model inputs'!R85="","",'Model inputs'!R85),"")</f>
      </c>
    </row>
    <row r="2881">
      <c r="A2881" t="inlineStr" s="25">
        <is>
          <t xml:space="preserve">Calculation</t>
        </is>
      </c>
      <c r="B2881">
        <f>IF(IF(DATE(2028,2,1)=EDATE(DATE(2028,4,1),-'Model inputs'!AM13*1)="",FALSE,DATE(2028,2,1)=EDATE(DATE(2028,4,1),-'Model inputs'!AM13*1)),IF('Model inputs'!S85="","",'Model inputs'!S85),"")</f>
      </c>
    </row>
    <row r="2882">
      <c r="A2882" t="inlineStr" s="25">
        <is>
          <t xml:space="preserve">Calculation</t>
        </is>
      </c>
      <c r="B2882">
        <f>IF(IF(DATE(2028,3,1)=EDATE(DATE(2028,4,1),-'Model inputs'!AM13*1)="",FALSE,DATE(2028,3,1)=EDATE(DATE(2028,4,1),-'Model inputs'!AM13*1)),IF('Model inputs'!T85="","",'Model inputs'!T85),"")</f>
      </c>
    </row>
    <row r="2883">
      <c r="A2883" t="inlineStr" s="25">
        <is>
          <t xml:space="preserve">Calculation</t>
        </is>
      </c>
      <c r="B2883">
        <f>IF(IF(DATE(2028,4,1)=EDATE(DATE(2028,4,1),-'Model inputs'!AM13*1)="",FALSE,DATE(2028,4,1)=EDATE(DATE(2028,4,1),-'Model inputs'!AM13*1)),IF('Model inputs'!U85="","",'Model inputs'!U85),"")</f>
      </c>
    </row>
    <row r="2884">
      <c r="A2884" t="inlineStr" s="25">
        <is>
          <t xml:space="preserve">Calculation</t>
        </is>
      </c>
      <c r="B2884">
        <f>IF(IF(DATE(2028,5,1)=EDATE(DATE(2028,4,1),-'Model inputs'!AM13*1)="",FALSE,DATE(2028,5,1)=EDATE(DATE(2028,4,1),-'Model inputs'!AM13*1)),IF('Model inputs'!V85="","",'Model inputs'!V85),"")</f>
      </c>
    </row>
    <row r="2885">
      <c r="A2885" t="inlineStr" s="25">
        <is>
          <t xml:space="preserve">Calculation</t>
        </is>
      </c>
      <c r="B2885">
        <f>IF(IF(DATE(2028,6,1)=EDATE(DATE(2028,4,1),-'Model inputs'!AM13*1)="",FALSE,DATE(2028,6,1)=EDATE(DATE(2028,4,1),-'Model inputs'!AM13*1)),IF('Model inputs'!W85="","",'Model inputs'!W85),"")</f>
      </c>
    </row>
    <row r="2886">
      <c r="A2886" t="inlineStr" s="25">
        <is>
          <t xml:space="preserve">Calculation</t>
        </is>
      </c>
      <c r="B2886">
        <f>IF(IF(DATE(2028,7,1)=EDATE(DATE(2028,4,1),-'Model inputs'!AM13*1)="",FALSE,DATE(2028,7,1)=EDATE(DATE(2028,4,1),-'Model inputs'!AM13*1)),IF('Model inputs'!X85="","",'Model inputs'!X85),"")</f>
      </c>
    </row>
    <row r="2887">
      <c r="A2887" t="inlineStr" s="25">
        <is>
          <t xml:space="preserve">Calculation</t>
        </is>
      </c>
      <c r="B2887">
        <f>IF(IF(DATE(2028,8,1)=EDATE(DATE(2028,4,1),-'Model inputs'!AM13*1)="",FALSE,DATE(2028,8,1)=EDATE(DATE(2028,4,1),-'Model inputs'!AM13*1)),IF('Model inputs'!Y85="","",'Model inputs'!Y85),"")</f>
      </c>
    </row>
    <row r="2888">
      <c r="A2888" t="inlineStr" s="25">
        <is>
          <t xml:space="preserve">Calculation</t>
        </is>
      </c>
      <c r="B2888">
        <f>IF(IF(DATE(2028,9,1)=EDATE(DATE(2028,4,1),-'Model inputs'!AM13*1)="",FALSE,DATE(2028,9,1)=EDATE(DATE(2028,4,1),-'Model inputs'!AM13*1)),IF('Model inputs'!Z85="","",'Model inputs'!Z85),"")</f>
      </c>
    </row>
    <row r="2889">
      <c r="A2889" t="inlineStr" s="25">
        <is>
          <t xml:space="preserve">Calculation</t>
        </is>
      </c>
      <c r="B2889">
        <f>IF(IF(DATE(2028,10,1)=EDATE(DATE(2028,4,1),-'Model inputs'!AM13*1)="",FALSE,DATE(2028,10,1)=EDATE(DATE(2028,4,1),-'Model inputs'!AM13*1)),IF('Model inputs'!AA85="","",'Model inputs'!AA85),"")</f>
      </c>
    </row>
    <row r="2890">
      <c r="A2890" t="inlineStr" s="25">
        <is>
          <t xml:space="preserve">Calculation</t>
        </is>
      </c>
      <c r="B2890">
        <f>IF(IF(DATE(2028,11,1)=EDATE(DATE(2028,4,1),-'Model inputs'!AM13*1)="",FALSE,DATE(2028,11,1)=EDATE(DATE(2028,4,1),-'Model inputs'!AM13*1)),IF('Model inputs'!AB85="","",'Model inputs'!AB85),"")</f>
      </c>
    </row>
    <row r="2891">
      <c r="A2891" t="inlineStr" s="25">
        <is>
          <t xml:space="preserve">Calculation</t>
        </is>
      </c>
      <c r="B2891">
        <f>IF(IF(DATE(2028,12,1)=EDATE(DATE(2028,4,1),-'Model inputs'!AM13*1)="",FALSE,DATE(2028,12,1)=EDATE(DATE(2028,4,1),-'Model inputs'!AM13*1)),IF('Model inputs'!AC85="","",'Model inputs'!AC85),"")</f>
      </c>
    </row>
    <row r="2892">
      <c r="A2892" t="inlineStr" s="25">
        <is>
          <t xml:space="preserve">Calculation</t>
        </is>
      </c>
      <c r="B2892">
        <f>IF(IF(DATE(2029,1,1)=EDATE(DATE(2028,4,1),-'Model inputs'!AM13*1)="",FALSE,DATE(2029,1,1)=EDATE(DATE(2028,4,1),-'Model inputs'!AM13*1)),IF('Model inputs'!AD85="","",'Model inputs'!AD85),"")</f>
      </c>
    </row>
    <row r="2893">
      <c r="A2893" t="inlineStr" s="25">
        <is>
          <t xml:space="preserve">Calculation</t>
        </is>
      </c>
      <c r="B2893">
        <f>IF(IF(DATE(2029,2,1)=EDATE(DATE(2028,4,1),-'Model inputs'!AM13*1)="",FALSE,DATE(2029,2,1)=EDATE(DATE(2028,4,1),-'Model inputs'!AM13*1)),IF('Model inputs'!AE85="","",'Model inputs'!AE85),"")</f>
      </c>
    </row>
    <row r="2894">
      <c r="A2894" t="inlineStr" s="25">
        <is>
          <t xml:space="preserve">Calculation</t>
        </is>
      </c>
      <c r="B2894">
        <f>IF(IF(DATE(2029,3,1)=EDATE(DATE(2028,4,1),-'Model inputs'!AM13*1)="",FALSE,DATE(2029,3,1)=EDATE(DATE(2028,4,1),-'Model inputs'!AM13*1)),IF('Model inputs'!AF85="","",'Model inputs'!AF85),"")</f>
      </c>
    </row>
    <row r="2895">
      <c r="A2895" t="inlineStr" s="25">
        <is>
          <t xml:space="preserve">Calculation</t>
        </is>
      </c>
      <c r="B2895">
        <f>IF(IF(DATE(2029,4,1)=EDATE(DATE(2028,4,1),-'Model inputs'!AM13*1)="",FALSE,DATE(2029,4,1)=EDATE(DATE(2028,4,1),-'Model inputs'!AM13*1)),IF('Model inputs'!AG85="","",'Model inputs'!AG85),"")</f>
      </c>
    </row>
    <row r="2896">
      <c r="A2896" t="inlineStr" s="25">
        <is>
          <t xml:space="preserve">Calculation</t>
        </is>
      </c>
      <c r="B2896">
        <f>IF(IF(DATE(2029,5,1)=EDATE(DATE(2028,4,1),-'Model inputs'!AM13*1)="",FALSE,DATE(2029,5,1)=EDATE(DATE(2028,4,1),-'Model inputs'!AM13*1)),IF('Model inputs'!AH85="","",'Model inputs'!AH85),"")</f>
      </c>
    </row>
    <row r="2897">
      <c r="A2897" t="inlineStr" s="25">
        <is>
          <t xml:space="preserve">Calculation</t>
        </is>
      </c>
      <c r="B2897">
        <f>IF(IF(DATE(2029,6,1)=EDATE(DATE(2028,4,1),-'Model inputs'!AM13*1)="",FALSE,DATE(2029,6,1)=EDATE(DATE(2028,4,1),-'Model inputs'!AM13*1)),IF('Model inputs'!AI85="","",'Model inputs'!AI85),"")</f>
      </c>
    </row>
    <row r="2898">
      <c r="A2898" t="inlineStr" s="25">
        <is>
          <t xml:space="preserve">Calculation</t>
        </is>
      </c>
      <c r="B2898">
        <f>IF(IF(DATE(2029,7,1)=EDATE(DATE(2028,4,1),-'Model inputs'!AM13*1)="",FALSE,DATE(2029,7,1)=EDATE(DATE(2028,4,1),-'Model inputs'!AM13*1)),IF('Model inputs'!AJ85="","",'Model inputs'!AJ85),"")</f>
      </c>
    </row>
    <row r="2899">
      <c r="A2899" t="inlineStr" s="25">
        <is>
          <t xml:space="preserve">Calculation</t>
        </is>
      </c>
      <c r="B2899">
        <f>IF(IF(DATE(2029,8,1)=EDATE(DATE(2028,4,1),-'Model inputs'!AM13*1)="",FALSE,DATE(2029,8,1)=EDATE(DATE(2028,4,1),-'Model inputs'!AM13*1)),IF('Model inputs'!AK85="","",'Model inputs'!AK85),"")</f>
      </c>
    </row>
    <row r="2900">
      <c r="A2900" t="inlineStr" s="25">
        <is>
          <t xml:space="preserve">Calculation</t>
        </is>
      </c>
      <c r="B2900">
        <f>IF(IF(DATE(2029,9,1)=EDATE(DATE(2028,4,1),-'Model inputs'!AM13*1)="",FALSE,DATE(2029,9,1)=EDATE(DATE(2028,4,1),-'Model inputs'!AM13*1)),IF('Model inputs'!AL85="","",'Model inputs'!AL85),"")</f>
      </c>
    </row>
    <row r="2901">
      <c r="A2901" t="inlineStr" s="25">
        <is>
          <t xml:space="preserve">Calculation</t>
        </is>
      </c>
      <c r="B2901">
        <f>SUM(IF(IF('Model inputs'!B1515="",0,1)="",0,IF('Model inputs'!B1515="",0,1)),IF(IF('Model inputs'!B2865="",0,1)="",0,IF('Model inputs'!B2865="",0,1)),IF(IF('Model inputs'!B2866="",0,1)="",0,IF('Model inputs'!B2866="",0,1)),IF(IF('Model inputs'!B2867="",0,1)="",0,IF('Model inputs'!B2867="",0,1)),IF(IF('Model inputs'!B2868="",0,1)="",0,IF('Model inputs'!B2868="",0,1)),IF(IF('Model inputs'!B2869="",0,1)="",0,IF('Model inputs'!B2869="",0,1)),IF(IF('Model inputs'!B2870="",0,1)="",0,IF('Model inputs'!B2870="",0,1)),IF(IF('Model inputs'!B2871="",0,1)="",0,IF('Model inputs'!B2871="",0,1)),IF(IF('Model inputs'!B2872="",0,1)="",0,IF('Model inputs'!B2872="",0,1)),IF(IF('Model inputs'!B2873="",0,1)="",0,IF('Model inputs'!B2873="",0,1)),IF(IF('Model inputs'!B2874="",0,1)="",0,IF('Model inputs'!B2874="",0,1)),IF(IF('Model inputs'!B2875="",0,1)="",0,IF('Model inputs'!B2875="",0,1)),IF(IF('Model inputs'!B2876="",0,1)="",0,IF('Model inputs'!B2876="",0,1)),IF(IF('Model inputs'!B2877="",0,1)="",0,IF('Model inputs'!B2877="",0,1)),IF(IF('Model inputs'!B2878="",0,1)="",0,IF('Model inputs'!B2878="",0,1)),IF(IF('Model inputs'!B2879="",0,1)="",0,IF('Model inputs'!B2879="",0,1)),IF(IF('Model inputs'!B2880="",0,1)="",0,IF('Model inputs'!B2880="",0,1)),IF(IF('Model inputs'!B2881="",0,1)="",0,IF('Model inputs'!B2881="",0,1)),IF(IF('Model inputs'!B2882="",0,1)="",0,IF('Model inputs'!B2882="",0,1)),IF(IF('Model inputs'!B2883="",0,1)="",0,IF('Model inputs'!B2883="",0,1)),IF(IF('Model inputs'!B2884="",0,1)="",0,IF('Model inputs'!B2884="",0,1)),IF(IF('Model inputs'!B2885="",0,1)="",0,IF('Model inputs'!B2885="",0,1)),IF(IF('Model inputs'!B2886="",0,1)="",0,IF('Model inputs'!B2886="",0,1)),IF(IF('Model inputs'!B2887="",0,1)="",0,IF('Model inputs'!B2887="",0,1)),IF(IF('Model inputs'!B2888="",0,1)="",0,IF('Model inputs'!B2888="",0,1)),IF(IF('Model inputs'!B2889="",0,1)="",0,IF('Model inputs'!B2889="",0,1)),IF(IF('Model inputs'!B2890="",0,1)="",0,IF('Model inputs'!B2890="",0,1)),IF(IF('Model inputs'!B2891="",0,1)="",0,IF('Model inputs'!B2891="",0,1)),IF(IF('Model inputs'!B2892="",0,1)="",0,IF('Model inputs'!B2892="",0,1)),IF(IF('Model inputs'!B2893="",0,1)="",0,IF('Model inputs'!B2893="",0,1)),IF(IF('Model inputs'!B2894="",0,1)="",0,IF('Model inputs'!B2894="",0,1)),IF(IF('Model inputs'!B2895="",0,1)="",0,IF('Model inputs'!B2895="",0,1)),IF(IF('Model inputs'!B2896="",0,1)="",0,IF('Model inputs'!B2896="",0,1)),IF(IF('Model inputs'!B2897="",0,1)="",0,IF('Model inputs'!B2897="",0,1)),IF(IF('Model inputs'!B2898="",0,1)="",0,IF('Model inputs'!B2898="",0,1)),IF(IF('Model inputs'!B2899="",0,1)="",0,IF('Model inputs'!B2899="",0,1)),IF(IF('Model inputs'!B2900="",0,1)="",0,IF('Model inputs'!B2900="",0,1)))</f>
      </c>
    </row>
    <row r="2902">
      <c r="A2902" t="inlineStr" s="25">
        <is>
          <t xml:space="preserve">Calculation</t>
        </is>
      </c>
      <c r="B2902">
        <f>IF(IF(DATE(2026,10,1)=EDATE(DATE(2028,5,1),-'Model inputs'!AM13*1)="",FALSE,DATE(2026,10,1)=EDATE(DATE(2028,5,1),-'Model inputs'!AM13*1)),IF('Model inputs'!C85="","",'Model inputs'!C85),"")</f>
      </c>
    </row>
    <row r="2903">
      <c r="A2903" t="inlineStr" s="25">
        <is>
          <t xml:space="preserve">Calculation</t>
        </is>
      </c>
      <c r="B2903">
        <f>IF(IF(DATE(2026,11,1)=EDATE(DATE(2028,5,1),-'Model inputs'!AM13*1)="",FALSE,DATE(2026,11,1)=EDATE(DATE(2028,5,1),-'Model inputs'!AM13*1)),IF('Model inputs'!D85="","",'Model inputs'!D85),"")</f>
      </c>
    </row>
    <row r="2904">
      <c r="A2904" t="inlineStr" s="25">
        <is>
          <t xml:space="preserve">Calculation</t>
        </is>
      </c>
      <c r="B2904">
        <f>IF(IF(DATE(2026,12,1)=EDATE(DATE(2028,5,1),-'Model inputs'!AM13*1)="",FALSE,DATE(2026,12,1)=EDATE(DATE(2028,5,1),-'Model inputs'!AM13*1)),IF('Model inputs'!E85="","",'Model inputs'!E85),"")</f>
      </c>
    </row>
    <row r="2905">
      <c r="A2905" t="inlineStr" s="25">
        <is>
          <t xml:space="preserve">Calculation</t>
        </is>
      </c>
      <c r="B2905">
        <f>IF(IF(DATE(2027,1,1)=EDATE(DATE(2028,5,1),-'Model inputs'!AM13*1)="",FALSE,DATE(2027,1,1)=EDATE(DATE(2028,5,1),-'Model inputs'!AM13*1)),IF('Model inputs'!F85="","",'Model inputs'!F85),"")</f>
      </c>
    </row>
    <row r="2906">
      <c r="A2906" t="inlineStr" s="25">
        <is>
          <t xml:space="preserve">Calculation</t>
        </is>
      </c>
      <c r="B2906">
        <f>IF(IF(DATE(2027,2,1)=EDATE(DATE(2028,5,1),-'Model inputs'!AM13*1)="",FALSE,DATE(2027,2,1)=EDATE(DATE(2028,5,1),-'Model inputs'!AM13*1)),IF('Model inputs'!G85="","",'Model inputs'!G85),"")</f>
      </c>
    </row>
    <row r="2907">
      <c r="A2907" t="inlineStr" s="25">
        <is>
          <t xml:space="preserve">Calculation</t>
        </is>
      </c>
      <c r="B2907">
        <f>IF(IF(DATE(2027,3,1)=EDATE(DATE(2028,5,1),-'Model inputs'!AM13*1)="",FALSE,DATE(2027,3,1)=EDATE(DATE(2028,5,1),-'Model inputs'!AM13*1)),IF('Model inputs'!H85="","",'Model inputs'!H85),"")</f>
      </c>
    </row>
    <row r="2908">
      <c r="A2908" t="inlineStr" s="25">
        <is>
          <t xml:space="preserve">Calculation</t>
        </is>
      </c>
      <c r="B2908">
        <f>IF(IF(DATE(2027,4,1)=EDATE(DATE(2028,5,1),-'Model inputs'!AM13*1)="",FALSE,DATE(2027,4,1)=EDATE(DATE(2028,5,1),-'Model inputs'!AM13*1)),IF('Model inputs'!I85="","",'Model inputs'!I85),"")</f>
      </c>
    </row>
    <row r="2909">
      <c r="A2909" t="inlineStr" s="25">
        <is>
          <t xml:space="preserve">Calculation</t>
        </is>
      </c>
      <c r="B2909">
        <f>IF(IF(DATE(2027,5,1)=EDATE(DATE(2028,5,1),-'Model inputs'!AM13*1)="",FALSE,DATE(2027,5,1)=EDATE(DATE(2028,5,1),-'Model inputs'!AM13*1)),IF('Model inputs'!J85="","",'Model inputs'!J85),"")</f>
      </c>
    </row>
    <row r="2910">
      <c r="A2910" t="inlineStr" s="25">
        <is>
          <t xml:space="preserve">Calculation</t>
        </is>
      </c>
      <c r="B2910">
        <f>IF(IF(DATE(2027,6,1)=EDATE(DATE(2028,5,1),-'Model inputs'!AM13*1)="",FALSE,DATE(2027,6,1)=EDATE(DATE(2028,5,1),-'Model inputs'!AM13*1)),IF('Model inputs'!K85="","",'Model inputs'!K85),"")</f>
      </c>
    </row>
    <row r="2911">
      <c r="A2911" t="inlineStr" s="25">
        <is>
          <t xml:space="preserve">Calculation</t>
        </is>
      </c>
      <c r="B2911">
        <f>IF(IF(DATE(2027,7,1)=EDATE(DATE(2028,5,1),-'Model inputs'!AM13*1)="",FALSE,DATE(2027,7,1)=EDATE(DATE(2028,5,1),-'Model inputs'!AM13*1)),IF('Model inputs'!L85="","",'Model inputs'!L85),"")</f>
      </c>
    </row>
    <row r="2912">
      <c r="A2912" t="inlineStr" s="25">
        <is>
          <t xml:space="preserve">Calculation</t>
        </is>
      </c>
      <c r="B2912">
        <f>IF(IF(DATE(2027,8,1)=EDATE(DATE(2028,5,1),-'Model inputs'!AM13*1)="",FALSE,DATE(2027,8,1)=EDATE(DATE(2028,5,1),-'Model inputs'!AM13*1)),IF('Model inputs'!M85="","",'Model inputs'!M85),"")</f>
      </c>
    </row>
    <row r="2913">
      <c r="A2913" t="inlineStr" s="25">
        <is>
          <t xml:space="preserve">Calculation</t>
        </is>
      </c>
      <c r="B2913">
        <f>IF(IF(DATE(2027,9,1)=EDATE(DATE(2028,5,1),-'Model inputs'!AM13*1)="",FALSE,DATE(2027,9,1)=EDATE(DATE(2028,5,1),-'Model inputs'!AM13*1)),IF('Model inputs'!N85="","",'Model inputs'!N85),"")</f>
      </c>
    </row>
    <row r="2914">
      <c r="A2914" t="inlineStr" s="25">
        <is>
          <t xml:space="preserve">Calculation</t>
        </is>
      </c>
      <c r="B2914">
        <f>IF(IF(DATE(2027,10,1)=EDATE(DATE(2028,5,1),-'Model inputs'!AM13*1)="",FALSE,DATE(2027,10,1)=EDATE(DATE(2028,5,1),-'Model inputs'!AM13*1)),IF('Model inputs'!O85="","",'Model inputs'!O85),"")</f>
      </c>
    </row>
    <row r="2915">
      <c r="A2915" t="inlineStr" s="25">
        <is>
          <t xml:space="preserve">Calculation</t>
        </is>
      </c>
      <c r="B2915">
        <f>IF(IF(DATE(2027,11,1)=EDATE(DATE(2028,5,1),-'Model inputs'!AM13*1)="",FALSE,DATE(2027,11,1)=EDATE(DATE(2028,5,1),-'Model inputs'!AM13*1)),IF('Model inputs'!P85="","",'Model inputs'!P85),"")</f>
      </c>
    </row>
    <row r="2916">
      <c r="A2916" t="inlineStr" s="25">
        <is>
          <t xml:space="preserve">Calculation</t>
        </is>
      </c>
      <c r="B2916">
        <f>IF(IF(DATE(2027,12,1)=EDATE(DATE(2028,5,1),-'Model inputs'!AM13*1)="",FALSE,DATE(2027,12,1)=EDATE(DATE(2028,5,1),-'Model inputs'!AM13*1)),IF('Model inputs'!Q85="","",'Model inputs'!Q85),"")</f>
      </c>
    </row>
    <row r="2917">
      <c r="A2917" t="inlineStr" s="25">
        <is>
          <t xml:space="preserve">Calculation</t>
        </is>
      </c>
      <c r="B2917">
        <f>IF(IF(DATE(2028,1,1)=EDATE(DATE(2028,5,1),-'Model inputs'!AM13*1)="",FALSE,DATE(2028,1,1)=EDATE(DATE(2028,5,1),-'Model inputs'!AM13*1)),IF('Model inputs'!R85="","",'Model inputs'!R85),"")</f>
      </c>
    </row>
    <row r="2918">
      <c r="A2918" t="inlineStr" s="25">
        <is>
          <t xml:space="preserve">Calculation</t>
        </is>
      </c>
      <c r="B2918">
        <f>IF(IF(DATE(2028,2,1)=EDATE(DATE(2028,5,1),-'Model inputs'!AM13*1)="",FALSE,DATE(2028,2,1)=EDATE(DATE(2028,5,1),-'Model inputs'!AM13*1)),IF('Model inputs'!S85="","",'Model inputs'!S85),"")</f>
      </c>
    </row>
    <row r="2919">
      <c r="A2919" t="inlineStr" s="25">
        <is>
          <t xml:space="preserve">Calculation</t>
        </is>
      </c>
      <c r="B2919">
        <f>IF(IF(DATE(2028,3,1)=EDATE(DATE(2028,5,1),-'Model inputs'!AM13*1)="",FALSE,DATE(2028,3,1)=EDATE(DATE(2028,5,1),-'Model inputs'!AM13*1)),IF('Model inputs'!T85="","",'Model inputs'!T85),"")</f>
      </c>
    </row>
    <row r="2920">
      <c r="A2920" t="inlineStr" s="25">
        <is>
          <t xml:space="preserve">Calculation</t>
        </is>
      </c>
      <c r="B2920">
        <f>IF(IF(DATE(2028,4,1)=EDATE(DATE(2028,5,1),-'Model inputs'!AM13*1)="",FALSE,DATE(2028,4,1)=EDATE(DATE(2028,5,1),-'Model inputs'!AM13*1)),IF('Model inputs'!U85="","",'Model inputs'!U85),"")</f>
      </c>
    </row>
    <row r="2921">
      <c r="A2921" t="inlineStr" s="25">
        <is>
          <t xml:space="preserve">Calculation</t>
        </is>
      </c>
      <c r="B2921">
        <f>IF(IF(DATE(2028,5,1)=EDATE(DATE(2028,5,1),-'Model inputs'!AM13*1)="",FALSE,DATE(2028,5,1)=EDATE(DATE(2028,5,1),-'Model inputs'!AM13*1)),IF('Model inputs'!V85="","",'Model inputs'!V85),"")</f>
      </c>
    </row>
    <row r="2922">
      <c r="A2922" t="inlineStr" s="25">
        <is>
          <t xml:space="preserve">Calculation</t>
        </is>
      </c>
      <c r="B2922">
        <f>IF(IF(DATE(2028,6,1)=EDATE(DATE(2028,5,1),-'Model inputs'!AM13*1)="",FALSE,DATE(2028,6,1)=EDATE(DATE(2028,5,1),-'Model inputs'!AM13*1)),IF('Model inputs'!W85="","",'Model inputs'!W85),"")</f>
      </c>
    </row>
    <row r="2923">
      <c r="A2923" t="inlineStr" s="25">
        <is>
          <t xml:space="preserve">Calculation</t>
        </is>
      </c>
      <c r="B2923">
        <f>IF(IF(DATE(2028,7,1)=EDATE(DATE(2028,5,1),-'Model inputs'!AM13*1)="",FALSE,DATE(2028,7,1)=EDATE(DATE(2028,5,1),-'Model inputs'!AM13*1)),IF('Model inputs'!X85="","",'Model inputs'!X85),"")</f>
      </c>
    </row>
    <row r="2924">
      <c r="A2924" t="inlineStr" s="25">
        <is>
          <t xml:space="preserve">Calculation</t>
        </is>
      </c>
      <c r="B2924">
        <f>IF(IF(DATE(2028,8,1)=EDATE(DATE(2028,5,1),-'Model inputs'!AM13*1)="",FALSE,DATE(2028,8,1)=EDATE(DATE(2028,5,1),-'Model inputs'!AM13*1)),IF('Model inputs'!Y85="","",'Model inputs'!Y85),"")</f>
      </c>
    </row>
    <row r="2925">
      <c r="A2925" t="inlineStr" s="25">
        <is>
          <t xml:space="preserve">Calculation</t>
        </is>
      </c>
      <c r="B2925">
        <f>IF(IF(DATE(2028,9,1)=EDATE(DATE(2028,5,1),-'Model inputs'!AM13*1)="",FALSE,DATE(2028,9,1)=EDATE(DATE(2028,5,1),-'Model inputs'!AM13*1)),IF('Model inputs'!Z85="","",'Model inputs'!Z85),"")</f>
      </c>
    </row>
    <row r="2926">
      <c r="A2926" t="inlineStr" s="25">
        <is>
          <t xml:space="preserve">Calculation</t>
        </is>
      </c>
      <c r="B2926">
        <f>IF(IF(DATE(2028,10,1)=EDATE(DATE(2028,5,1),-'Model inputs'!AM13*1)="",FALSE,DATE(2028,10,1)=EDATE(DATE(2028,5,1),-'Model inputs'!AM13*1)),IF('Model inputs'!AA85="","",'Model inputs'!AA85),"")</f>
      </c>
    </row>
    <row r="2927">
      <c r="A2927" t="inlineStr" s="25">
        <is>
          <t xml:space="preserve">Calculation</t>
        </is>
      </c>
      <c r="B2927">
        <f>IF(IF(DATE(2028,11,1)=EDATE(DATE(2028,5,1),-'Model inputs'!AM13*1)="",FALSE,DATE(2028,11,1)=EDATE(DATE(2028,5,1),-'Model inputs'!AM13*1)),IF('Model inputs'!AB85="","",'Model inputs'!AB85),"")</f>
      </c>
    </row>
    <row r="2928">
      <c r="A2928" t="inlineStr" s="25">
        <is>
          <t xml:space="preserve">Calculation</t>
        </is>
      </c>
      <c r="B2928">
        <f>IF(IF(DATE(2028,12,1)=EDATE(DATE(2028,5,1),-'Model inputs'!AM13*1)="",FALSE,DATE(2028,12,1)=EDATE(DATE(2028,5,1),-'Model inputs'!AM13*1)),IF('Model inputs'!AC85="","",'Model inputs'!AC85),"")</f>
      </c>
    </row>
    <row r="2929">
      <c r="A2929" t="inlineStr" s="25">
        <is>
          <t xml:space="preserve">Calculation</t>
        </is>
      </c>
      <c r="B2929">
        <f>IF(IF(DATE(2029,1,1)=EDATE(DATE(2028,5,1),-'Model inputs'!AM13*1)="",FALSE,DATE(2029,1,1)=EDATE(DATE(2028,5,1),-'Model inputs'!AM13*1)),IF('Model inputs'!AD85="","",'Model inputs'!AD85),"")</f>
      </c>
    </row>
    <row r="2930">
      <c r="A2930" t="inlineStr" s="25">
        <is>
          <t xml:space="preserve">Calculation</t>
        </is>
      </c>
      <c r="B2930">
        <f>IF(IF(DATE(2029,2,1)=EDATE(DATE(2028,5,1),-'Model inputs'!AM13*1)="",FALSE,DATE(2029,2,1)=EDATE(DATE(2028,5,1),-'Model inputs'!AM13*1)),IF('Model inputs'!AE85="","",'Model inputs'!AE85),"")</f>
      </c>
    </row>
    <row r="2931">
      <c r="A2931" t="inlineStr" s="25">
        <is>
          <t xml:space="preserve">Calculation</t>
        </is>
      </c>
      <c r="B2931">
        <f>IF(IF(DATE(2029,3,1)=EDATE(DATE(2028,5,1),-'Model inputs'!AM13*1)="",FALSE,DATE(2029,3,1)=EDATE(DATE(2028,5,1),-'Model inputs'!AM13*1)),IF('Model inputs'!AF85="","",'Model inputs'!AF85),"")</f>
      </c>
    </row>
    <row r="2932">
      <c r="A2932" t="inlineStr" s="25">
        <is>
          <t xml:space="preserve">Calculation</t>
        </is>
      </c>
      <c r="B2932">
        <f>IF(IF(DATE(2029,4,1)=EDATE(DATE(2028,5,1),-'Model inputs'!AM13*1)="",FALSE,DATE(2029,4,1)=EDATE(DATE(2028,5,1),-'Model inputs'!AM13*1)),IF('Model inputs'!AG85="","",'Model inputs'!AG85),"")</f>
      </c>
    </row>
    <row r="2933">
      <c r="A2933" t="inlineStr" s="25">
        <is>
          <t xml:space="preserve">Calculation</t>
        </is>
      </c>
      <c r="B2933">
        <f>IF(IF(DATE(2029,5,1)=EDATE(DATE(2028,5,1),-'Model inputs'!AM13*1)="",FALSE,DATE(2029,5,1)=EDATE(DATE(2028,5,1),-'Model inputs'!AM13*1)),IF('Model inputs'!AH85="","",'Model inputs'!AH85),"")</f>
      </c>
    </row>
    <row r="2934">
      <c r="A2934" t="inlineStr" s="25">
        <is>
          <t xml:space="preserve">Calculation</t>
        </is>
      </c>
      <c r="B2934">
        <f>IF(IF(DATE(2029,6,1)=EDATE(DATE(2028,5,1),-'Model inputs'!AM13*1)="",FALSE,DATE(2029,6,1)=EDATE(DATE(2028,5,1),-'Model inputs'!AM13*1)),IF('Model inputs'!AI85="","",'Model inputs'!AI85),"")</f>
      </c>
    </row>
    <row r="2935">
      <c r="A2935" t="inlineStr" s="25">
        <is>
          <t xml:space="preserve">Calculation</t>
        </is>
      </c>
      <c r="B2935">
        <f>IF(IF(DATE(2029,7,1)=EDATE(DATE(2028,5,1),-'Model inputs'!AM13*1)="",FALSE,DATE(2029,7,1)=EDATE(DATE(2028,5,1),-'Model inputs'!AM13*1)),IF('Model inputs'!AJ85="","",'Model inputs'!AJ85),"")</f>
      </c>
    </row>
    <row r="2936">
      <c r="A2936" t="inlineStr" s="25">
        <is>
          <t xml:space="preserve">Calculation</t>
        </is>
      </c>
      <c r="B2936">
        <f>IF(IF(DATE(2029,8,1)=EDATE(DATE(2028,5,1),-'Model inputs'!AM13*1)="",FALSE,DATE(2029,8,1)=EDATE(DATE(2028,5,1),-'Model inputs'!AM13*1)),IF('Model inputs'!AK85="","",'Model inputs'!AK85),"")</f>
      </c>
    </row>
    <row r="2937">
      <c r="A2937" t="inlineStr" s="25">
        <is>
          <t xml:space="preserve">Calculation</t>
        </is>
      </c>
      <c r="B2937">
        <f>IF(IF(DATE(2029,9,1)=EDATE(DATE(2028,5,1),-'Model inputs'!AM13*1)="",FALSE,DATE(2029,9,1)=EDATE(DATE(2028,5,1),-'Model inputs'!AM13*1)),IF('Model inputs'!AL85="","",'Model inputs'!AL85),"")</f>
      </c>
    </row>
    <row r="2938">
      <c r="A2938" t="inlineStr" s="25">
        <is>
          <t xml:space="preserve">Calculation</t>
        </is>
      </c>
      <c r="B2938">
        <f>SUM(IF(IF('Model inputs'!B1553="",0,1)="",0,IF('Model inputs'!B1553="",0,1)),IF(IF('Model inputs'!B2902="",0,1)="",0,IF('Model inputs'!B2902="",0,1)),IF(IF('Model inputs'!B2903="",0,1)="",0,IF('Model inputs'!B2903="",0,1)),IF(IF('Model inputs'!B2904="",0,1)="",0,IF('Model inputs'!B2904="",0,1)),IF(IF('Model inputs'!B2905="",0,1)="",0,IF('Model inputs'!B2905="",0,1)),IF(IF('Model inputs'!B2906="",0,1)="",0,IF('Model inputs'!B2906="",0,1)),IF(IF('Model inputs'!B2907="",0,1)="",0,IF('Model inputs'!B2907="",0,1)),IF(IF('Model inputs'!B2908="",0,1)="",0,IF('Model inputs'!B2908="",0,1)),IF(IF('Model inputs'!B2909="",0,1)="",0,IF('Model inputs'!B2909="",0,1)),IF(IF('Model inputs'!B2910="",0,1)="",0,IF('Model inputs'!B2910="",0,1)),IF(IF('Model inputs'!B2911="",0,1)="",0,IF('Model inputs'!B2911="",0,1)),IF(IF('Model inputs'!B2912="",0,1)="",0,IF('Model inputs'!B2912="",0,1)),IF(IF('Model inputs'!B2913="",0,1)="",0,IF('Model inputs'!B2913="",0,1)),IF(IF('Model inputs'!B2914="",0,1)="",0,IF('Model inputs'!B2914="",0,1)),IF(IF('Model inputs'!B2915="",0,1)="",0,IF('Model inputs'!B2915="",0,1)),IF(IF('Model inputs'!B2916="",0,1)="",0,IF('Model inputs'!B2916="",0,1)),IF(IF('Model inputs'!B2917="",0,1)="",0,IF('Model inputs'!B2917="",0,1)),IF(IF('Model inputs'!B2918="",0,1)="",0,IF('Model inputs'!B2918="",0,1)),IF(IF('Model inputs'!B2919="",0,1)="",0,IF('Model inputs'!B2919="",0,1)),IF(IF('Model inputs'!B2920="",0,1)="",0,IF('Model inputs'!B2920="",0,1)),IF(IF('Model inputs'!B2921="",0,1)="",0,IF('Model inputs'!B2921="",0,1)),IF(IF('Model inputs'!B2922="",0,1)="",0,IF('Model inputs'!B2922="",0,1)),IF(IF('Model inputs'!B2923="",0,1)="",0,IF('Model inputs'!B2923="",0,1)),IF(IF('Model inputs'!B2924="",0,1)="",0,IF('Model inputs'!B2924="",0,1)),IF(IF('Model inputs'!B2925="",0,1)="",0,IF('Model inputs'!B2925="",0,1)),IF(IF('Model inputs'!B2926="",0,1)="",0,IF('Model inputs'!B2926="",0,1)),IF(IF('Model inputs'!B2927="",0,1)="",0,IF('Model inputs'!B2927="",0,1)),IF(IF('Model inputs'!B2928="",0,1)="",0,IF('Model inputs'!B2928="",0,1)),IF(IF('Model inputs'!B2929="",0,1)="",0,IF('Model inputs'!B2929="",0,1)),IF(IF('Model inputs'!B2930="",0,1)="",0,IF('Model inputs'!B2930="",0,1)),IF(IF('Model inputs'!B2931="",0,1)="",0,IF('Model inputs'!B2931="",0,1)),IF(IF('Model inputs'!B2932="",0,1)="",0,IF('Model inputs'!B2932="",0,1)),IF(IF('Model inputs'!B2933="",0,1)="",0,IF('Model inputs'!B2933="",0,1)),IF(IF('Model inputs'!B2934="",0,1)="",0,IF('Model inputs'!B2934="",0,1)),IF(IF('Model inputs'!B2935="",0,1)="",0,IF('Model inputs'!B2935="",0,1)),IF(IF('Model inputs'!B2936="",0,1)="",0,IF('Model inputs'!B2936="",0,1)),IF(IF('Model inputs'!B2937="",0,1)="",0,IF('Model inputs'!B2937="",0,1)))</f>
      </c>
    </row>
    <row r="2939">
      <c r="A2939" t="inlineStr" s="25">
        <is>
          <t xml:space="preserve">Calculation</t>
        </is>
      </c>
      <c r="B2939">
        <f>IF(IF(DATE(2026,10,1)=EDATE(DATE(2028,6,1),-'Model inputs'!AM13*1)="",FALSE,DATE(2026,10,1)=EDATE(DATE(2028,6,1),-'Model inputs'!AM13*1)),IF('Model inputs'!C85="","",'Model inputs'!C85),"")</f>
      </c>
    </row>
    <row r="2940">
      <c r="A2940" t="inlineStr" s="25">
        <is>
          <t xml:space="preserve">Calculation</t>
        </is>
      </c>
      <c r="B2940">
        <f>IF(IF(DATE(2026,11,1)=EDATE(DATE(2028,6,1),-'Model inputs'!AM13*1)="",FALSE,DATE(2026,11,1)=EDATE(DATE(2028,6,1),-'Model inputs'!AM13*1)),IF('Model inputs'!D85="","",'Model inputs'!D85),"")</f>
      </c>
    </row>
    <row r="2941">
      <c r="A2941" t="inlineStr" s="25">
        <is>
          <t xml:space="preserve">Calculation</t>
        </is>
      </c>
      <c r="B2941">
        <f>IF(IF(DATE(2026,12,1)=EDATE(DATE(2028,6,1),-'Model inputs'!AM13*1)="",FALSE,DATE(2026,12,1)=EDATE(DATE(2028,6,1),-'Model inputs'!AM13*1)),IF('Model inputs'!E85="","",'Model inputs'!E85),"")</f>
      </c>
    </row>
    <row r="2942">
      <c r="A2942" t="inlineStr" s="25">
        <is>
          <t xml:space="preserve">Calculation</t>
        </is>
      </c>
      <c r="B2942">
        <f>IF(IF(DATE(2027,1,1)=EDATE(DATE(2028,6,1),-'Model inputs'!AM13*1)="",FALSE,DATE(2027,1,1)=EDATE(DATE(2028,6,1),-'Model inputs'!AM13*1)),IF('Model inputs'!F85="","",'Model inputs'!F85),"")</f>
      </c>
    </row>
    <row r="2943">
      <c r="A2943" t="inlineStr" s="25">
        <is>
          <t xml:space="preserve">Calculation</t>
        </is>
      </c>
      <c r="B2943">
        <f>IF(IF(DATE(2027,2,1)=EDATE(DATE(2028,6,1),-'Model inputs'!AM13*1)="",FALSE,DATE(2027,2,1)=EDATE(DATE(2028,6,1),-'Model inputs'!AM13*1)),IF('Model inputs'!G85="","",'Model inputs'!G85),"")</f>
      </c>
    </row>
    <row r="2944">
      <c r="A2944" t="inlineStr" s="25">
        <is>
          <t xml:space="preserve">Calculation</t>
        </is>
      </c>
      <c r="B2944">
        <f>IF(IF(DATE(2027,3,1)=EDATE(DATE(2028,6,1),-'Model inputs'!AM13*1)="",FALSE,DATE(2027,3,1)=EDATE(DATE(2028,6,1),-'Model inputs'!AM13*1)),IF('Model inputs'!H85="","",'Model inputs'!H85),"")</f>
      </c>
    </row>
    <row r="2945">
      <c r="A2945" t="inlineStr" s="25">
        <is>
          <t xml:space="preserve">Calculation</t>
        </is>
      </c>
      <c r="B2945">
        <f>IF(IF(DATE(2027,4,1)=EDATE(DATE(2028,6,1),-'Model inputs'!AM13*1)="",FALSE,DATE(2027,4,1)=EDATE(DATE(2028,6,1),-'Model inputs'!AM13*1)),IF('Model inputs'!I85="","",'Model inputs'!I85),"")</f>
      </c>
    </row>
    <row r="2946">
      <c r="A2946" t="inlineStr" s="25">
        <is>
          <t xml:space="preserve">Calculation</t>
        </is>
      </c>
      <c r="B2946">
        <f>IF(IF(DATE(2027,5,1)=EDATE(DATE(2028,6,1),-'Model inputs'!AM13*1)="",FALSE,DATE(2027,5,1)=EDATE(DATE(2028,6,1),-'Model inputs'!AM13*1)),IF('Model inputs'!J85="","",'Model inputs'!J85),"")</f>
      </c>
    </row>
    <row r="2947">
      <c r="A2947" t="inlineStr" s="25">
        <is>
          <t xml:space="preserve">Calculation</t>
        </is>
      </c>
      <c r="B2947">
        <f>IF(IF(DATE(2027,6,1)=EDATE(DATE(2028,6,1),-'Model inputs'!AM13*1)="",FALSE,DATE(2027,6,1)=EDATE(DATE(2028,6,1),-'Model inputs'!AM13*1)),IF('Model inputs'!K85="","",'Model inputs'!K85),"")</f>
      </c>
    </row>
    <row r="2948">
      <c r="A2948" t="inlineStr" s="25">
        <is>
          <t xml:space="preserve">Calculation</t>
        </is>
      </c>
      <c r="B2948">
        <f>IF(IF(DATE(2027,7,1)=EDATE(DATE(2028,6,1),-'Model inputs'!AM13*1)="",FALSE,DATE(2027,7,1)=EDATE(DATE(2028,6,1),-'Model inputs'!AM13*1)),IF('Model inputs'!L85="","",'Model inputs'!L85),"")</f>
      </c>
    </row>
    <row r="2949">
      <c r="A2949" t="inlineStr" s="25">
        <is>
          <t xml:space="preserve">Calculation</t>
        </is>
      </c>
      <c r="B2949">
        <f>IF(IF(DATE(2027,8,1)=EDATE(DATE(2028,6,1),-'Model inputs'!AM13*1)="",FALSE,DATE(2027,8,1)=EDATE(DATE(2028,6,1),-'Model inputs'!AM13*1)),IF('Model inputs'!M85="","",'Model inputs'!M85),"")</f>
      </c>
    </row>
    <row r="2950">
      <c r="A2950" t="inlineStr" s="25">
        <is>
          <t xml:space="preserve">Calculation</t>
        </is>
      </c>
      <c r="B2950">
        <f>IF(IF(DATE(2027,9,1)=EDATE(DATE(2028,6,1),-'Model inputs'!AM13*1)="",FALSE,DATE(2027,9,1)=EDATE(DATE(2028,6,1),-'Model inputs'!AM13*1)),IF('Model inputs'!N85="","",'Model inputs'!N85),"")</f>
      </c>
    </row>
    <row r="2951">
      <c r="A2951" t="inlineStr" s="25">
        <is>
          <t xml:space="preserve">Calculation</t>
        </is>
      </c>
      <c r="B2951">
        <f>IF(IF(DATE(2027,10,1)=EDATE(DATE(2028,6,1),-'Model inputs'!AM13*1)="",FALSE,DATE(2027,10,1)=EDATE(DATE(2028,6,1),-'Model inputs'!AM13*1)),IF('Model inputs'!O85="","",'Model inputs'!O85),"")</f>
      </c>
    </row>
    <row r="2952">
      <c r="A2952" t="inlineStr" s="25">
        <is>
          <t xml:space="preserve">Calculation</t>
        </is>
      </c>
      <c r="B2952">
        <f>IF(IF(DATE(2027,11,1)=EDATE(DATE(2028,6,1),-'Model inputs'!AM13*1)="",FALSE,DATE(2027,11,1)=EDATE(DATE(2028,6,1),-'Model inputs'!AM13*1)),IF('Model inputs'!P85="","",'Model inputs'!P85),"")</f>
      </c>
    </row>
    <row r="2953">
      <c r="A2953" t="inlineStr" s="25">
        <is>
          <t xml:space="preserve">Calculation</t>
        </is>
      </c>
      <c r="B2953">
        <f>IF(IF(DATE(2027,12,1)=EDATE(DATE(2028,6,1),-'Model inputs'!AM13*1)="",FALSE,DATE(2027,12,1)=EDATE(DATE(2028,6,1),-'Model inputs'!AM13*1)),IF('Model inputs'!Q85="","",'Model inputs'!Q85),"")</f>
      </c>
    </row>
    <row r="2954">
      <c r="A2954" t="inlineStr" s="25">
        <is>
          <t xml:space="preserve">Calculation</t>
        </is>
      </c>
      <c r="B2954">
        <f>IF(IF(DATE(2028,1,1)=EDATE(DATE(2028,6,1),-'Model inputs'!AM13*1)="",FALSE,DATE(2028,1,1)=EDATE(DATE(2028,6,1),-'Model inputs'!AM13*1)),IF('Model inputs'!R85="","",'Model inputs'!R85),"")</f>
      </c>
    </row>
    <row r="2955">
      <c r="A2955" t="inlineStr" s="25">
        <is>
          <t xml:space="preserve">Calculation</t>
        </is>
      </c>
      <c r="B2955">
        <f>IF(IF(DATE(2028,2,1)=EDATE(DATE(2028,6,1),-'Model inputs'!AM13*1)="",FALSE,DATE(2028,2,1)=EDATE(DATE(2028,6,1),-'Model inputs'!AM13*1)),IF('Model inputs'!S85="","",'Model inputs'!S85),"")</f>
      </c>
    </row>
    <row r="2956">
      <c r="A2956" t="inlineStr" s="25">
        <is>
          <t xml:space="preserve">Calculation</t>
        </is>
      </c>
      <c r="B2956">
        <f>IF(IF(DATE(2028,3,1)=EDATE(DATE(2028,6,1),-'Model inputs'!AM13*1)="",FALSE,DATE(2028,3,1)=EDATE(DATE(2028,6,1),-'Model inputs'!AM13*1)),IF('Model inputs'!T85="","",'Model inputs'!T85),"")</f>
      </c>
    </row>
    <row r="2957">
      <c r="A2957" t="inlineStr" s="25">
        <is>
          <t xml:space="preserve">Calculation</t>
        </is>
      </c>
      <c r="B2957">
        <f>IF(IF(DATE(2028,4,1)=EDATE(DATE(2028,6,1),-'Model inputs'!AM13*1)="",FALSE,DATE(2028,4,1)=EDATE(DATE(2028,6,1),-'Model inputs'!AM13*1)),IF('Model inputs'!U85="","",'Model inputs'!U85),"")</f>
      </c>
    </row>
    <row r="2958">
      <c r="A2958" t="inlineStr" s="25">
        <is>
          <t xml:space="preserve">Calculation</t>
        </is>
      </c>
      <c r="B2958">
        <f>IF(IF(DATE(2028,5,1)=EDATE(DATE(2028,6,1),-'Model inputs'!AM13*1)="",FALSE,DATE(2028,5,1)=EDATE(DATE(2028,6,1),-'Model inputs'!AM13*1)),IF('Model inputs'!V85="","",'Model inputs'!V85),"")</f>
      </c>
    </row>
    <row r="2959">
      <c r="A2959" t="inlineStr" s="25">
        <is>
          <t xml:space="preserve">Calculation</t>
        </is>
      </c>
      <c r="B2959">
        <f>IF(IF(DATE(2028,6,1)=EDATE(DATE(2028,6,1),-'Model inputs'!AM13*1)="",FALSE,DATE(2028,6,1)=EDATE(DATE(2028,6,1),-'Model inputs'!AM13*1)),IF('Model inputs'!W85="","",'Model inputs'!W85),"")</f>
      </c>
    </row>
    <row r="2960">
      <c r="A2960" t="inlineStr" s="25">
        <is>
          <t xml:space="preserve">Calculation</t>
        </is>
      </c>
      <c r="B2960">
        <f>IF(IF(DATE(2028,7,1)=EDATE(DATE(2028,6,1),-'Model inputs'!AM13*1)="",FALSE,DATE(2028,7,1)=EDATE(DATE(2028,6,1),-'Model inputs'!AM13*1)),IF('Model inputs'!X85="","",'Model inputs'!X85),"")</f>
      </c>
    </row>
    <row r="2961">
      <c r="A2961" t="inlineStr" s="25">
        <is>
          <t xml:space="preserve">Calculation</t>
        </is>
      </c>
      <c r="B2961">
        <f>IF(IF(DATE(2028,8,1)=EDATE(DATE(2028,6,1),-'Model inputs'!AM13*1)="",FALSE,DATE(2028,8,1)=EDATE(DATE(2028,6,1),-'Model inputs'!AM13*1)),IF('Model inputs'!Y85="","",'Model inputs'!Y85),"")</f>
      </c>
    </row>
    <row r="2962">
      <c r="A2962" t="inlineStr" s="25">
        <is>
          <t xml:space="preserve">Calculation</t>
        </is>
      </c>
      <c r="B2962">
        <f>IF(IF(DATE(2028,9,1)=EDATE(DATE(2028,6,1),-'Model inputs'!AM13*1)="",FALSE,DATE(2028,9,1)=EDATE(DATE(2028,6,1),-'Model inputs'!AM13*1)),IF('Model inputs'!Z85="","",'Model inputs'!Z85),"")</f>
      </c>
    </row>
    <row r="2963">
      <c r="A2963" t="inlineStr" s="25">
        <is>
          <t xml:space="preserve">Calculation</t>
        </is>
      </c>
      <c r="B2963">
        <f>IF(IF(DATE(2028,10,1)=EDATE(DATE(2028,6,1),-'Model inputs'!AM13*1)="",FALSE,DATE(2028,10,1)=EDATE(DATE(2028,6,1),-'Model inputs'!AM13*1)),IF('Model inputs'!AA85="","",'Model inputs'!AA85),"")</f>
      </c>
    </row>
    <row r="2964">
      <c r="A2964" t="inlineStr" s="25">
        <is>
          <t xml:space="preserve">Calculation</t>
        </is>
      </c>
      <c r="B2964">
        <f>IF(IF(DATE(2028,11,1)=EDATE(DATE(2028,6,1),-'Model inputs'!AM13*1)="",FALSE,DATE(2028,11,1)=EDATE(DATE(2028,6,1),-'Model inputs'!AM13*1)),IF('Model inputs'!AB85="","",'Model inputs'!AB85),"")</f>
      </c>
    </row>
    <row r="2965">
      <c r="A2965" t="inlineStr" s="25">
        <is>
          <t xml:space="preserve">Calculation</t>
        </is>
      </c>
      <c r="B2965">
        <f>IF(IF(DATE(2028,12,1)=EDATE(DATE(2028,6,1),-'Model inputs'!AM13*1)="",FALSE,DATE(2028,12,1)=EDATE(DATE(2028,6,1),-'Model inputs'!AM13*1)),IF('Model inputs'!AC85="","",'Model inputs'!AC85),"")</f>
      </c>
    </row>
    <row r="2966">
      <c r="A2966" t="inlineStr" s="25">
        <is>
          <t xml:space="preserve">Calculation</t>
        </is>
      </c>
      <c r="B2966">
        <f>IF(IF(DATE(2029,1,1)=EDATE(DATE(2028,6,1),-'Model inputs'!AM13*1)="",FALSE,DATE(2029,1,1)=EDATE(DATE(2028,6,1),-'Model inputs'!AM13*1)),IF('Model inputs'!AD85="","",'Model inputs'!AD85),"")</f>
      </c>
    </row>
    <row r="2967">
      <c r="A2967" t="inlineStr" s="25">
        <is>
          <t xml:space="preserve">Calculation</t>
        </is>
      </c>
      <c r="B2967">
        <f>IF(IF(DATE(2029,2,1)=EDATE(DATE(2028,6,1),-'Model inputs'!AM13*1)="",FALSE,DATE(2029,2,1)=EDATE(DATE(2028,6,1),-'Model inputs'!AM13*1)),IF('Model inputs'!AE85="","",'Model inputs'!AE85),"")</f>
      </c>
    </row>
    <row r="2968">
      <c r="A2968" t="inlineStr" s="25">
        <is>
          <t xml:space="preserve">Calculation</t>
        </is>
      </c>
      <c r="B2968">
        <f>IF(IF(DATE(2029,3,1)=EDATE(DATE(2028,6,1),-'Model inputs'!AM13*1)="",FALSE,DATE(2029,3,1)=EDATE(DATE(2028,6,1),-'Model inputs'!AM13*1)),IF('Model inputs'!AF85="","",'Model inputs'!AF85),"")</f>
      </c>
    </row>
    <row r="2969">
      <c r="A2969" t="inlineStr" s="25">
        <is>
          <t xml:space="preserve">Calculation</t>
        </is>
      </c>
      <c r="B2969">
        <f>IF(IF(DATE(2029,4,1)=EDATE(DATE(2028,6,1),-'Model inputs'!AM13*1)="",FALSE,DATE(2029,4,1)=EDATE(DATE(2028,6,1),-'Model inputs'!AM13*1)),IF('Model inputs'!AG85="","",'Model inputs'!AG85),"")</f>
      </c>
    </row>
    <row r="2970">
      <c r="A2970" t="inlineStr" s="25">
        <is>
          <t xml:space="preserve">Calculation</t>
        </is>
      </c>
      <c r="B2970">
        <f>IF(IF(DATE(2029,5,1)=EDATE(DATE(2028,6,1),-'Model inputs'!AM13*1)="",FALSE,DATE(2029,5,1)=EDATE(DATE(2028,6,1),-'Model inputs'!AM13*1)),IF('Model inputs'!AH85="","",'Model inputs'!AH85),"")</f>
      </c>
    </row>
    <row r="2971">
      <c r="A2971" t="inlineStr" s="25">
        <is>
          <t xml:space="preserve">Calculation</t>
        </is>
      </c>
      <c r="B2971">
        <f>IF(IF(DATE(2029,6,1)=EDATE(DATE(2028,6,1),-'Model inputs'!AM13*1)="",FALSE,DATE(2029,6,1)=EDATE(DATE(2028,6,1),-'Model inputs'!AM13*1)),IF('Model inputs'!AI85="","",'Model inputs'!AI85),"")</f>
      </c>
    </row>
    <row r="2972">
      <c r="A2972" t="inlineStr" s="25">
        <is>
          <t xml:space="preserve">Calculation</t>
        </is>
      </c>
      <c r="B2972">
        <f>IF(IF(DATE(2029,7,1)=EDATE(DATE(2028,6,1),-'Model inputs'!AM13*1)="",FALSE,DATE(2029,7,1)=EDATE(DATE(2028,6,1),-'Model inputs'!AM13*1)),IF('Model inputs'!AJ85="","",'Model inputs'!AJ85),"")</f>
      </c>
    </row>
    <row r="2973">
      <c r="A2973" t="inlineStr" s="25">
        <is>
          <t xml:space="preserve">Calculation</t>
        </is>
      </c>
      <c r="B2973">
        <f>IF(IF(DATE(2029,8,1)=EDATE(DATE(2028,6,1),-'Model inputs'!AM13*1)="",FALSE,DATE(2029,8,1)=EDATE(DATE(2028,6,1),-'Model inputs'!AM13*1)),IF('Model inputs'!AK85="","",'Model inputs'!AK85),"")</f>
      </c>
    </row>
    <row r="2974">
      <c r="A2974" t="inlineStr" s="25">
        <is>
          <t xml:space="preserve">Calculation</t>
        </is>
      </c>
      <c r="B2974">
        <f>IF(IF(DATE(2029,9,1)=EDATE(DATE(2028,6,1),-'Model inputs'!AM13*1)="",FALSE,DATE(2029,9,1)=EDATE(DATE(2028,6,1),-'Model inputs'!AM13*1)),IF('Model inputs'!AL85="","",'Model inputs'!AL85),"")</f>
      </c>
    </row>
    <row r="2975">
      <c r="A2975" t="inlineStr" s="25">
        <is>
          <t xml:space="preserve">Calculation</t>
        </is>
      </c>
      <c r="B2975">
        <f>SUM(IF(IF('Model inputs'!B1591="",0,1)="",0,IF('Model inputs'!B1591="",0,1)),IF(IF('Model inputs'!B2939="",0,1)="",0,IF('Model inputs'!B2939="",0,1)),IF(IF('Model inputs'!B2940="",0,1)="",0,IF('Model inputs'!B2940="",0,1)),IF(IF('Model inputs'!B2941="",0,1)="",0,IF('Model inputs'!B2941="",0,1)),IF(IF('Model inputs'!B2942="",0,1)="",0,IF('Model inputs'!B2942="",0,1)),IF(IF('Model inputs'!B2943="",0,1)="",0,IF('Model inputs'!B2943="",0,1)),IF(IF('Model inputs'!B2944="",0,1)="",0,IF('Model inputs'!B2944="",0,1)),IF(IF('Model inputs'!B2945="",0,1)="",0,IF('Model inputs'!B2945="",0,1)),IF(IF('Model inputs'!B2946="",0,1)="",0,IF('Model inputs'!B2946="",0,1)),IF(IF('Model inputs'!B2947="",0,1)="",0,IF('Model inputs'!B2947="",0,1)),IF(IF('Model inputs'!B2948="",0,1)="",0,IF('Model inputs'!B2948="",0,1)),IF(IF('Model inputs'!B2949="",0,1)="",0,IF('Model inputs'!B2949="",0,1)),IF(IF('Model inputs'!B2950="",0,1)="",0,IF('Model inputs'!B2950="",0,1)),IF(IF('Model inputs'!B2951="",0,1)="",0,IF('Model inputs'!B2951="",0,1)),IF(IF('Model inputs'!B2952="",0,1)="",0,IF('Model inputs'!B2952="",0,1)),IF(IF('Model inputs'!B2953="",0,1)="",0,IF('Model inputs'!B2953="",0,1)),IF(IF('Model inputs'!B2954="",0,1)="",0,IF('Model inputs'!B2954="",0,1)),IF(IF('Model inputs'!B2955="",0,1)="",0,IF('Model inputs'!B2955="",0,1)),IF(IF('Model inputs'!B2956="",0,1)="",0,IF('Model inputs'!B2956="",0,1)),IF(IF('Model inputs'!B2957="",0,1)="",0,IF('Model inputs'!B2957="",0,1)),IF(IF('Model inputs'!B2958="",0,1)="",0,IF('Model inputs'!B2958="",0,1)),IF(IF('Model inputs'!B2959="",0,1)="",0,IF('Model inputs'!B2959="",0,1)),IF(IF('Model inputs'!B2960="",0,1)="",0,IF('Model inputs'!B2960="",0,1)),IF(IF('Model inputs'!B2961="",0,1)="",0,IF('Model inputs'!B2961="",0,1)),IF(IF('Model inputs'!B2962="",0,1)="",0,IF('Model inputs'!B2962="",0,1)),IF(IF('Model inputs'!B2963="",0,1)="",0,IF('Model inputs'!B2963="",0,1)),IF(IF('Model inputs'!B2964="",0,1)="",0,IF('Model inputs'!B2964="",0,1)),IF(IF('Model inputs'!B2965="",0,1)="",0,IF('Model inputs'!B2965="",0,1)),IF(IF('Model inputs'!B2966="",0,1)="",0,IF('Model inputs'!B2966="",0,1)),IF(IF('Model inputs'!B2967="",0,1)="",0,IF('Model inputs'!B2967="",0,1)),IF(IF('Model inputs'!B2968="",0,1)="",0,IF('Model inputs'!B2968="",0,1)),IF(IF('Model inputs'!B2969="",0,1)="",0,IF('Model inputs'!B2969="",0,1)),IF(IF('Model inputs'!B2970="",0,1)="",0,IF('Model inputs'!B2970="",0,1)),IF(IF('Model inputs'!B2971="",0,1)="",0,IF('Model inputs'!B2971="",0,1)),IF(IF('Model inputs'!B2972="",0,1)="",0,IF('Model inputs'!B2972="",0,1)),IF(IF('Model inputs'!B2973="",0,1)="",0,IF('Model inputs'!B2973="",0,1)),IF(IF('Model inputs'!B2974="",0,1)="",0,IF('Model inputs'!B2974="",0,1)))</f>
      </c>
    </row>
    <row r="2976">
      <c r="A2976" t="inlineStr" s="25">
        <is>
          <t xml:space="preserve">Calculation</t>
        </is>
      </c>
      <c r="B2976">
        <f>IF(IF(DATE(2026,10,1)=EDATE(DATE(2028,7,1),-'Model inputs'!AM13*1)="",FALSE,DATE(2026,10,1)=EDATE(DATE(2028,7,1),-'Model inputs'!AM13*1)),IF('Model inputs'!C85="","",'Model inputs'!C85),"")</f>
      </c>
    </row>
    <row r="2977">
      <c r="A2977" t="inlineStr" s="25">
        <is>
          <t xml:space="preserve">Calculation</t>
        </is>
      </c>
      <c r="B2977">
        <f>IF(IF(DATE(2026,11,1)=EDATE(DATE(2028,7,1),-'Model inputs'!AM13*1)="",FALSE,DATE(2026,11,1)=EDATE(DATE(2028,7,1),-'Model inputs'!AM13*1)),IF('Model inputs'!D85="","",'Model inputs'!D85),"")</f>
      </c>
    </row>
    <row r="2978">
      <c r="A2978" t="inlineStr" s="25">
        <is>
          <t xml:space="preserve">Calculation</t>
        </is>
      </c>
      <c r="B2978">
        <f>IF(IF(DATE(2026,12,1)=EDATE(DATE(2028,7,1),-'Model inputs'!AM13*1)="",FALSE,DATE(2026,12,1)=EDATE(DATE(2028,7,1),-'Model inputs'!AM13*1)),IF('Model inputs'!E85="","",'Model inputs'!E85),"")</f>
      </c>
    </row>
    <row r="2979">
      <c r="A2979" t="inlineStr" s="25">
        <is>
          <t xml:space="preserve">Calculation</t>
        </is>
      </c>
      <c r="B2979">
        <f>IF(IF(DATE(2027,1,1)=EDATE(DATE(2028,7,1),-'Model inputs'!AM13*1)="",FALSE,DATE(2027,1,1)=EDATE(DATE(2028,7,1),-'Model inputs'!AM13*1)),IF('Model inputs'!F85="","",'Model inputs'!F85),"")</f>
      </c>
    </row>
    <row r="2980">
      <c r="A2980" t="inlineStr" s="25">
        <is>
          <t xml:space="preserve">Calculation</t>
        </is>
      </c>
      <c r="B2980">
        <f>IF(IF(DATE(2027,2,1)=EDATE(DATE(2028,7,1),-'Model inputs'!AM13*1)="",FALSE,DATE(2027,2,1)=EDATE(DATE(2028,7,1),-'Model inputs'!AM13*1)),IF('Model inputs'!G85="","",'Model inputs'!G85),"")</f>
      </c>
    </row>
    <row r="2981">
      <c r="A2981" t="inlineStr" s="25">
        <is>
          <t xml:space="preserve">Calculation</t>
        </is>
      </c>
      <c r="B2981">
        <f>IF(IF(DATE(2027,3,1)=EDATE(DATE(2028,7,1),-'Model inputs'!AM13*1)="",FALSE,DATE(2027,3,1)=EDATE(DATE(2028,7,1),-'Model inputs'!AM13*1)),IF('Model inputs'!H85="","",'Model inputs'!H85),"")</f>
      </c>
    </row>
    <row r="2982">
      <c r="A2982" t="inlineStr" s="25">
        <is>
          <t xml:space="preserve">Calculation</t>
        </is>
      </c>
      <c r="B2982">
        <f>IF(IF(DATE(2027,4,1)=EDATE(DATE(2028,7,1),-'Model inputs'!AM13*1)="",FALSE,DATE(2027,4,1)=EDATE(DATE(2028,7,1),-'Model inputs'!AM13*1)),IF('Model inputs'!I85="","",'Model inputs'!I85),"")</f>
      </c>
    </row>
    <row r="2983">
      <c r="A2983" t="inlineStr" s="25">
        <is>
          <t xml:space="preserve">Calculation</t>
        </is>
      </c>
      <c r="B2983">
        <f>IF(IF(DATE(2027,5,1)=EDATE(DATE(2028,7,1),-'Model inputs'!AM13*1)="",FALSE,DATE(2027,5,1)=EDATE(DATE(2028,7,1),-'Model inputs'!AM13*1)),IF('Model inputs'!J85="","",'Model inputs'!J85),"")</f>
      </c>
    </row>
    <row r="2984">
      <c r="A2984" t="inlineStr" s="25">
        <is>
          <t xml:space="preserve">Calculation</t>
        </is>
      </c>
      <c r="B2984">
        <f>IF(IF(DATE(2027,6,1)=EDATE(DATE(2028,7,1),-'Model inputs'!AM13*1)="",FALSE,DATE(2027,6,1)=EDATE(DATE(2028,7,1),-'Model inputs'!AM13*1)),IF('Model inputs'!K85="","",'Model inputs'!K85),"")</f>
      </c>
    </row>
    <row r="2985">
      <c r="A2985" t="inlineStr" s="25">
        <is>
          <t xml:space="preserve">Calculation</t>
        </is>
      </c>
      <c r="B2985">
        <f>IF(IF(DATE(2027,7,1)=EDATE(DATE(2028,7,1),-'Model inputs'!AM13*1)="",FALSE,DATE(2027,7,1)=EDATE(DATE(2028,7,1),-'Model inputs'!AM13*1)),IF('Model inputs'!L85="","",'Model inputs'!L85),"")</f>
      </c>
    </row>
    <row r="2986">
      <c r="A2986" t="inlineStr" s="25">
        <is>
          <t xml:space="preserve">Calculation</t>
        </is>
      </c>
      <c r="B2986">
        <f>IF(IF(DATE(2027,8,1)=EDATE(DATE(2028,7,1),-'Model inputs'!AM13*1)="",FALSE,DATE(2027,8,1)=EDATE(DATE(2028,7,1),-'Model inputs'!AM13*1)),IF('Model inputs'!M85="","",'Model inputs'!M85),"")</f>
      </c>
    </row>
    <row r="2987">
      <c r="A2987" t="inlineStr" s="25">
        <is>
          <t xml:space="preserve">Calculation</t>
        </is>
      </c>
      <c r="B2987">
        <f>IF(IF(DATE(2027,9,1)=EDATE(DATE(2028,7,1),-'Model inputs'!AM13*1)="",FALSE,DATE(2027,9,1)=EDATE(DATE(2028,7,1),-'Model inputs'!AM13*1)),IF('Model inputs'!N85="","",'Model inputs'!N85),"")</f>
      </c>
    </row>
    <row r="2988">
      <c r="A2988" t="inlineStr" s="25">
        <is>
          <t xml:space="preserve">Calculation</t>
        </is>
      </c>
      <c r="B2988">
        <f>IF(IF(DATE(2027,10,1)=EDATE(DATE(2028,7,1),-'Model inputs'!AM13*1)="",FALSE,DATE(2027,10,1)=EDATE(DATE(2028,7,1),-'Model inputs'!AM13*1)),IF('Model inputs'!O85="","",'Model inputs'!O85),"")</f>
      </c>
    </row>
    <row r="2989">
      <c r="A2989" t="inlineStr" s="25">
        <is>
          <t xml:space="preserve">Calculation</t>
        </is>
      </c>
      <c r="B2989">
        <f>IF(IF(DATE(2027,11,1)=EDATE(DATE(2028,7,1),-'Model inputs'!AM13*1)="",FALSE,DATE(2027,11,1)=EDATE(DATE(2028,7,1),-'Model inputs'!AM13*1)),IF('Model inputs'!P85="","",'Model inputs'!P85),"")</f>
      </c>
    </row>
    <row r="2990">
      <c r="A2990" t="inlineStr" s="25">
        <is>
          <t xml:space="preserve">Calculation</t>
        </is>
      </c>
      <c r="B2990">
        <f>IF(IF(DATE(2027,12,1)=EDATE(DATE(2028,7,1),-'Model inputs'!AM13*1)="",FALSE,DATE(2027,12,1)=EDATE(DATE(2028,7,1),-'Model inputs'!AM13*1)),IF('Model inputs'!Q85="","",'Model inputs'!Q85),"")</f>
      </c>
    </row>
    <row r="2991">
      <c r="A2991" t="inlineStr" s="25">
        <is>
          <t xml:space="preserve">Calculation</t>
        </is>
      </c>
      <c r="B2991">
        <f>IF(IF(DATE(2028,1,1)=EDATE(DATE(2028,7,1),-'Model inputs'!AM13*1)="",FALSE,DATE(2028,1,1)=EDATE(DATE(2028,7,1),-'Model inputs'!AM13*1)),IF('Model inputs'!R85="","",'Model inputs'!R85),"")</f>
      </c>
    </row>
    <row r="2992">
      <c r="A2992" t="inlineStr" s="25">
        <is>
          <t xml:space="preserve">Calculation</t>
        </is>
      </c>
      <c r="B2992">
        <f>IF(IF(DATE(2028,2,1)=EDATE(DATE(2028,7,1),-'Model inputs'!AM13*1)="",FALSE,DATE(2028,2,1)=EDATE(DATE(2028,7,1),-'Model inputs'!AM13*1)),IF('Model inputs'!S85="","",'Model inputs'!S85),"")</f>
      </c>
    </row>
    <row r="2993">
      <c r="A2993" t="inlineStr" s="25">
        <is>
          <t xml:space="preserve">Calculation</t>
        </is>
      </c>
      <c r="B2993">
        <f>IF(IF(DATE(2028,3,1)=EDATE(DATE(2028,7,1),-'Model inputs'!AM13*1)="",FALSE,DATE(2028,3,1)=EDATE(DATE(2028,7,1),-'Model inputs'!AM13*1)),IF('Model inputs'!T85="","",'Model inputs'!T85),"")</f>
      </c>
    </row>
    <row r="2994">
      <c r="A2994" t="inlineStr" s="25">
        <is>
          <t xml:space="preserve">Calculation</t>
        </is>
      </c>
      <c r="B2994">
        <f>IF(IF(DATE(2028,4,1)=EDATE(DATE(2028,7,1),-'Model inputs'!AM13*1)="",FALSE,DATE(2028,4,1)=EDATE(DATE(2028,7,1),-'Model inputs'!AM13*1)),IF('Model inputs'!U85="","",'Model inputs'!U85),"")</f>
      </c>
    </row>
    <row r="2995">
      <c r="A2995" t="inlineStr" s="25">
        <is>
          <t xml:space="preserve">Calculation</t>
        </is>
      </c>
      <c r="B2995">
        <f>IF(IF(DATE(2028,5,1)=EDATE(DATE(2028,7,1),-'Model inputs'!AM13*1)="",FALSE,DATE(2028,5,1)=EDATE(DATE(2028,7,1),-'Model inputs'!AM13*1)),IF('Model inputs'!V85="","",'Model inputs'!V85),"")</f>
      </c>
    </row>
    <row r="2996">
      <c r="A2996" t="inlineStr" s="25">
        <is>
          <t xml:space="preserve">Calculation</t>
        </is>
      </c>
      <c r="B2996">
        <f>IF(IF(DATE(2028,6,1)=EDATE(DATE(2028,7,1),-'Model inputs'!AM13*1)="",FALSE,DATE(2028,6,1)=EDATE(DATE(2028,7,1),-'Model inputs'!AM13*1)),IF('Model inputs'!W85="","",'Model inputs'!W85),"")</f>
      </c>
    </row>
    <row r="2997">
      <c r="A2997" t="inlineStr" s="25">
        <is>
          <t xml:space="preserve">Calculation</t>
        </is>
      </c>
      <c r="B2997">
        <f>IF(IF(DATE(2028,7,1)=EDATE(DATE(2028,7,1),-'Model inputs'!AM13*1)="",FALSE,DATE(2028,7,1)=EDATE(DATE(2028,7,1),-'Model inputs'!AM13*1)),IF('Model inputs'!X85="","",'Model inputs'!X85),"")</f>
      </c>
    </row>
    <row r="2998">
      <c r="A2998" t="inlineStr" s="25">
        <is>
          <t xml:space="preserve">Calculation</t>
        </is>
      </c>
      <c r="B2998">
        <f>IF(IF(DATE(2028,8,1)=EDATE(DATE(2028,7,1),-'Model inputs'!AM13*1)="",FALSE,DATE(2028,8,1)=EDATE(DATE(2028,7,1),-'Model inputs'!AM13*1)),IF('Model inputs'!Y85="","",'Model inputs'!Y85),"")</f>
      </c>
    </row>
    <row r="2999">
      <c r="A2999" t="inlineStr" s="25">
        <is>
          <t xml:space="preserve">Calculation</t>
        </is>
      </c>
      <c r="B2999">
        <f>IF(IF(DATE(2028,9,1)=EDATE(DATE(2028,7,1),-'Model inputs'!AM13*1)="",FALSE,DATE(2028,9,1)=EDATE(DATE(2028,7,1),-'Model inputs'!AM13*1)),IF('Model inputs'!Z85="","",'Model inputs'!Z85),"")</f>
      </c>
    </row>
    <row r="3000">
      <c r="A3000" t="inlineStr" s="25">
        <is>
          <t xml:space="preserve">Calculation</t>
        </is>
      </c>
      <c r="B3000">
        <f>IF(IF(DATE(2028,10,1)=EDATE(DATE(2028,7,1),-'Model inputs'!AM13*1)="",FALSE,DATE(2028,10,1)=EDATE(DATE(2028,7,1),-'Model inputs'!AM13*1)),IF('Model inputs'!AA85="","",'Model inputs'!AA85),"")</f>
      </c>
    </row>
    <row r="3001">
      <c r="A3001" t="inlineStr" s="25">
        <is>
          <t xml:space="preserve">Calculation</t>
        </is>
      </c>
      <c r="B3001">
        <f>IF(IF(DATE(2028,11,1)=EDATE(DATE(2028,7,1),-'Model inputs'!AM13*1)="",FALSE,DATE(2028,11,1)=EDATE(DATE(2028,7,1),-'Model inputs'!AM13*1)),IF('Model inputs'!AB85="","",'Model inputs'!AB85),"")</f>
      </c>
    </row>
    <row r="3002">
      <c r="A3002" t="inlineStr" s="25">
        <is>
          <t xml:space="preserve">Calculation</t>
        </is>
      </c>
      <c r="B3002">
        <f>IF(IF(DATE(2028,12,1)=EDATE(DATE(2028,7,1),-'Model inputs'!AM13*1)="",FALSE,DATE(2028,12,1)=EDATE(DATE(2028,7,1),-'Model inputs'!AM13*1)),IF('Model inputs'!AC85="","",'Model inputs'!AC85),"")</f>
      </c>
    </row>
    <row r="3003">
      <c r="A3003" t="inlineStr" s="25">
        <is>
          <t xml:space="preserve">Calculation</t>
        </is>
      </c>
      <c r="B3003">
        <f>IF(IF(DATE(2029,1,1)=EDATE(DATE(2028,7,1),-'Model inputs'!AM13*1)="",FALSE,DATE(2029,1,1)=EDATE(DATE(2028,7,1),-'Model inputs'!AM13*1)),IF('Model inputs'!AD85="","",'Model inputs'!AD85),"")</f>
      </c>
    </row>
    <row r="3004">
      <c r="A3004" t="inlineStr" s="25">
        <is>
          <t xml:space="preserve">Calculation</t>
        </is>
      </c>
      <c r="B3004">
        <f>IF(IF(DATE(2029,2,1)=EDATE(DATE(2028,7,1),-'Model inputs'!AM13*1)="",FALSE,DATE(2029,2,1)=EDATE(DATE(2028,7,1),-'Model inputs'!AM13*1)),IF('Model inputs'!AE85="","",'Model inputs'!AE85),"")</f>
      </c>
    </row>
    <row r="3005">
      <c r="A3005" t="inlineStr" s="25">
        <is>
          <t xml:space="preserve">Calculation</t>
        </is>
      </c>
      <c r="B3005">
        <f>IF(IF(DATE(2029,3,1)=EDATE(DATE(2028,7,1),-'Model inputs'!AM13*1)="",FALSE,DATE(2029,3,1)=EDATE(DATE(2028,7,1),-'Model inputs'!AM13*1)),IF('Model inputs'!AF85="","",'Model inputs'!AF85),"")</f>
      </c>
    </row>
    <row r="3006">
      <c r="A3006" t="inlineStr" s="25">
        <is>
          <t xml:space="preserve">Calculation</t>
        </is>
      </c>
      <c r="B3006">
        <f>IF(IF(DATE(2029,4,1)=EDATE(DATE(2028,7,1),-'Model inputs'!AM13*1)="",FALSE,DATE(2029,4,1)=EDATE(DATE(2028,7,1),-'Model inputs'!AM13*1)),IF('Model inputs'!AG85="","",'Model inputs'!AG85),"")</f>
      </c>
    </row>
    <row r="3007">
      <c r="A3007" t="inlineStr" s="25">
        <is>
          <t xml:space="preserve">Calculation</t>
        </is>
      </c>
      <c r="B3007">
        <f>IF(IF(DATE(2029,5,1)=EDATE(DATE(2028,7,1),-'Model inputs'!AM13*1)="",FALSE,DATE(2029,5,1)=EDATE(DATE(2028,7,1),-'Model inputs'!AM13*1)),IF('Model inputs'!AH85="","",'Model inputs'!AH85),"")</f>
      </c>
    </row>
    <row r="3008">
      <c r="A3008" t="inlineStr" s="25">
        <is>
          <t xml:space="preserve">Calculation</t>
        </is>
      </c>
      <c r="B3008">
        <f>IF(IF(DATE(2029,6,1)=EDATE(DATE(2028,7,1),-'Model inputs'!AM13*1)="",FALSE,DATE(2029,6,1)=EDATE(DATE(2028,7,1),-'Model inputs'!AM13*1)),IF('Model inputs'!AI85="","",'Model inputs'!AI85),"")</f>
      </c>
    </row>
    <row r="3009">
      <c r="A3009" t="inlineStr" s="25">
        <is>
          <t xml:space="preserve">Calculation</t>
        </is>
      </c>
      <c r="B3009">
        <f>IF(IF(DATE(2029,7,1)=EDATE(DATE(2028,7,1),-'Model inputs'!AM13*1)="",FALSE,DATE(2029,7,1)=EDATE(DATE(2028,7,1),-'Model inputs'!AM13*1)),IF('Model inputs'!AJ85="","",'Model inputs'!AJ85),"")</f>
      </c>
    </row>
    <row r="3010">
      <c r="A3010" t="inlineStr" s="25">
        <is>
          <t xml:space="preserve">Calculation</t>
        </is>
      </c>
      <c r="B3010">
        <f>IF(IF(DATE(2029,8,1)=EDATE(DATE(2028,7,1),-'Model inputs'!AM13*1)="",FALSE,DATE(2029,8,1)=EDATE(DATE(2028,7,1),-'Model inputs'!AM13*1)),IF('Model inputs'!AK85="","",'Model inputs'!AK85),"")</f>
      </c>
    </row>
    <row r="3011">
      <c r="A3011" t="inlineStr" s="25">
        <is>
          <t xml:space="preserve">Calculation</t>
        </is>
      </c>
      <c r="B3011">
        <f>IF(IF(DATE(2029,9,1)=EDATE(DATE(2028,7,1),-'Model inputs'!AM13*1)="",FALSE,DATE(2029,9,1)=EDATE(DATE(2028,7,1),-'Model inputs'!AM13*1)),IF('Model inputs'!AL85="","",'Model inputs'!AL85),"")</f>
      </c>
    </row>
    <row r="3012">
      <c r="A3012" t="inlineStr" s="25">
        <is>
          <t xml:space="preserve">Calculation</t>
        </is>
      </c>
      <c r="B3012">
        <f>SUM(IF(IF('Model inputs'!B1629="",0,1)="",0,IF('Model inputs'!B1629="",0,1)),IF(IF('Model inputs'!B2976="",0,1)="",0,IF('Model inputs'!B2976="",0,1)),IF(IF('Model inputs'!B2977="",0,1)="",0,IF('Model inputs'!B2977="",0,1)),IF(IF('Model inputs'!B2978="",0,1)="",0,IF('Model inputs'!B2978="",0,1)),IF(IF('Model inputs'!B2979="",0,1)="",0,IF('Model inputs'!B2979="",0,1)),IF(IF('Model inputs'!B2980="",0,1)="",0,IF('Model inputs'!B2980="",0,1)),IF(IF('Model inputs'!B2981="",0,1)="",0,IF('Model inputs'!B2981="",0,1)),IF(IF('Model inputs'!B2982="",0,1)="",0,IF('Model inputs'!B2982="",0,1)),IF(IF('Model inputs'!B2983="",0,1)="",0,IF('Model inputs'!B2983="",0,1)),IF(IF('Model inputs'!B2984="",0,1)="",0,IF('Model inputs'!B2984="",0,1)),IF(IF('Model inputs'!B2985="",0,1)="",0,IF('Model inputs'!B2985="",0,1)),IF(IF('Model inputs'!B2986="",0,1)="",0,IF('Model inputs'!B2986="",0,1)),IF(IF('Model inputs'!B2987="",0,1)="",0,IF('Model inputs'!B2987="",0,1)),IF(IF('Model inputs'!B2988="",0,1)="",0,IF('Model inputs'!B2988="",0,1)),IF(IF('Model inputs'!B2989="",0,1)="",0,IF('Model inputs'!B2989="",0,1)),IF(IF('Model inputs'!B2990="",0,1)="",0,IF('Model inputs'!B2990="",0,1)),IF(IF('Model inputs'!B2991="",0,1)="",0,IF('Model inputs'!B2991="",0,1)),IF(IF('Model inputs'!B2992="",0,1)="",0,IF('Model inputs'!B2992="",0,1)),IF(IF('Model inputs'!B2993="",0,1)="",0,IF('Model inputs'!B2993="",0,1)),IF(IF('Model inputs'!B2994="",0,1)="",0,IF('Model inputs'!B2994="",0,1)),IF(IF('Model inputs'!B2995="",0,1)="",0,IF('Model inputs'!B2995="",0,1)),IF(IF('Model inputs'!B2996="",0,1)="",0,IF('Model inputs'!B2996="",0,1)),IF(IF('Model inputs'!B2997="",0,1)="",0,IF('Model inputs'!B2997="",0,1)),IF(IF('Model inputs'!B2998="",0,1)="",0,IF('Model inputs'!B2998="",0,1)),IF(IF('Model inputs'!B2999="",0,1)="",0,IF('Model inputs'!B2999="",0,1)),IF(IF('Model inputs'!B3000="",0,1)="",0,IF('Model inputs'!B3000="",0,1)),IF(IF('Model inputs'!B3001="",0,1)="",0,IF('Model inputs'!B3001="",0,1)),IF(IF('Model inputs'!B3002="",0,1)="",0,IF('Model inputs'!B3002="",0,1)),IF(IF('Model inputs'!B3003="",0,1)="",0,IF('Model inputs'!B3003="",0,1)),IF(IF('Model inputs'!B3004="",0,1)="",0,IF('Model inputs'!B3004="",0,1)),IF(IF('Model inputs'!B3005="",0,1)="",0,IF('Model inputs'!B3005="",0,1)),IF(IF('Model inputs'!B3006="",0,1)="",0,IF('Model inputs'!B3006="",0,1)),IF(IF('Model inputs'!B3007="",0,1)="",0,IF('Model inputs'!B3007="",0,1)),IF(IF('Model inputs'!B3008="",0,1)="",0,IF('Model inputs'!B3008="",0,1)),IF(IF('Model inputs'!B3009="",0,1)="",0,IF('Model inputs'!B3009="",0,1)),IF(IF('Model inputs'!B3010="",0,1)="",0,IF('Model inputs'!B3010="",0,1)),IF(IF('Model inputs'!B3011="",0,1)="",0,IF('Model inputs'!B3011="",0,1)))</f>
      </c>
    </row>
    <row r="3013">
      <c r="A3013" t="inlineStr" s="25">
        <is>
          <t xml:space="preserve">Calculation</t>
        </is>
      </c>
      <c r="B3013">
        <f>IF(IF(DATE(2026,10,1)=EDATE(DATE(2028,8,1),-'Model inputs'!AM13*1)="",FALSE,DATE(2026,10,1)=EDATE(DATE(2028,8,1),-'Model inputs'!AM13*1)),IF('Model inputs'!C85="","",'Model inputs'!C85),"")</f>
      </c>
    </row>
    <row r="3014">
      <c r="A3014" t="inlineStr" s="25">
        <is>
          <t xml:space="preserve">Calculation</t>
        </is>
      </c>
      <c r="B3014">
        <f>IF(IF(DATE(2026,11,1)=EDATE(DATE(2028,8,1),-'Model inputs'!AM13*1)="",FALSE,DATE(2026,11,1)=EDATE(DATE(2028,8,1),-'Model inputs'!AM13*1)),IF('Model inputs'!D85="","",'Model inputs'!D85),"")</f>
      </c>
    </row>
    <row r="3015">
      <c r="A3015" t="inlineStr" s="25">
        <is>
          <t xml:space="preserve">Calculation</t>
        </is>
      </c>
      <c r="B3015">
        <f>IF(IF(DATE(2026,12,1)=EDATE(DATE(2028,8,1),-'Model inputs'!AM13*1)="",FALSE,DATE(2026,12,1)=EDATE(DATE(2028,8,1),-'Model inputs'!AM13*1)),IF('Model inputs'!E85="","",'Model inputs'!E85),"")</f>
      </c>
    </row>
    <row r="3016">
      <c r="A3016" t="inlineStr" s="25">
        <is>
          <t xml:space="preserve">Calculation</t>
        </is>
      </c>
      <c r="B3016">
        <f>IF(IF(DATE(2027,1,1)=EDATE(DATE(2028,8,1),-'Model inputs'!AM13*1)="",FALSE,DATE(2027,1,1)=EDATE(DATE(2028,8,1),-'Model inputs'!AM13*1)),IF('Model inputs'!F85="","",'Model inputs'!F85),"")</f>
      </c>
    </row>
    <row r="3017">
      <c r="A3017" t="inlineStr" s="25">
        <is>
          <t xml:space="preserve">Calculation</t>
        </is>
      </c>
      <c r="B3017">
        <f>IF(IF(DATE(2027,2,1)=EDATE(DATE(2028,8,1),-'Model inputs'!AM13*1)="",FALSE,DATE(2027,2,1)=EDATE(DATE(2028,8,1),-'Model inputs'!AM13*1)),IF('Model inputs'!G85="","",'Model inputs'!G85),"")</f>
      </c>
    </row>
    <row r="3018">
      <c r="A3018" t="inlineStr" s="25">
        <is>
          <t xml:space="preserve">Calculation</t>
        </is>
      </c>
      <c r="B3018">
        <f>IF(IF(DATE(2027,3,1)=EDATE(DATE(2028,8,1),-'Model inputs'!AM13*1)="",FALSE,DATE(2027,3,1)=EDATE(DATE(2028,8,1),-'Model inputs'!AM13*1)),IF('Model inputs'!H85="","",'Model inputs'!H85),"")</f>
      </c>
    </row>
    <row r="3019">
      <c r="A3019" t="inlineStr" s="25">
        <is>
          <t xml:space="preserve">Calculation</t>
        </is>
      </c>
      <c r="B3019">
        <f>IF(IF(DATE(2027,4,1)=EDATE(DATE(2028,8,1),-'Model inputs'!AM13*1)="",FALSE,DATE(2027,4,1)=EDATE(DATE(2028,8,1),-'Model inputs'!AM13*1)),IF('Model inputs'!I85="","",'Model inputs'!I85),"")</f>
      </c>
    </row>
    <row r="3020">
      <c r="A3020" t="inlineStr" s="25">
        <is>
          <t xml:space="preserve">Calculation</t>
        </is>
      </c>
      <c r="B3020">
        <f>IF(IF(DATE(2027,5,1)=EDATE(DATE(2028,8,1),-'Model inputs'!AM13*1)="",FALSE,DATE(2027,5,1)=EDATE(DATE(2028,8,1),-'Model inputs'!AM13*1)),IF('Model inputs'!J85="","",'Model inputs'!J85),"")</f>
      </c>
    </row>
    <row r="3021">
      <c r="A3021" t="inlineStr" s="25">
        <is>
          <t xml:space="preserve">Calculation</t>
        </is>
      </c>
      <c r="B3021">
        <f>IF(IF(DATE(2027,6,1)=EDATE(DATE(2028,8,1),-'Model inputs'!AM13*1)="",FALSE,DATE(2027,6,1)=EDATE(DATE(2028,8,1),-'Model inputs'!AM13*1)),IF('Model inputs'!K85="","",'Model inputs'!K85),"")</f>
      </c>
    </row>
    <row r="3022">
      <c r="A3022" t="inlineStr" s="25">
        <is>
          <t xml:space="preserve">Calculation</t>
        </is>
      </c>
      <c r="B3022">
        <f>IF(IF(DATE(2027,7,1)=EDATE(DATE(2028,8,1),-'Model inputs'!AM13*1)="",FALSE,DATE(2027,7,1)=EDATE(DATE(2028,8,1),-'Model inputs'!AM13*1)),IF('Model inputs'!L85="","",'Model inputs'!L85),"")</f>
      </c>
    </row>
    <row r="3023">
      <c r="A3023" t="inlineStr" s="25">
        <is>
          <t xml:space="preserve">Calculation</t>
        </is>
      </c>
      <c r="B3023">
        <f>IF(IF(DATE(2027,8,1)=EDATE(DATE(2028,8,1),-'Model inputs'!AM13*1)="",FALSE,DATE(2027,8,1)=EDATE(DATE(2028,8,1),-'Model inputs'!AM13*1)),IF('Model inputs'!M85="","",'Model inputs'!M85),"")</f>
      </c>
    </row>
    <row r="3024">
      <c r="A3024" t="inlineStr" s="25">
        <is>
          <t xml:space="preserve">Calculation</t>
        </is>
      </c>
      <c r="B3024">
        <f>IF(IF(DATE(2027,9,1)=EDATE(DATE(2028,8,1),-'Model inputs'!AM13*1)="",FALSE,DATE(2027,9,1)=EDATE(DATE(2028,8,1),-'Model inputs'!AM13*1)),IF('Model inputs'!N85="","",'Model inputs'!N85),"")</f>
      </c>
    </row>
    <row r="3025">
      <c r="A3025" t="inlineStr" s="25">
        <is>
          <t xml:space="preserve">Calculation</t>
        </is>
      </c>
      <c r="B3025">
        <f>IF(IF(DATE(2027,10,1)=EDATE(DATE(2028,8,1),-'Model inputs'!AM13*1)="",FALSE,DATE(2027,10,1)=EDATE(DATE(2028,8,1),-'Model inputs'!AM13*1)),IF('Model inputs'!O85="","",'Model inputs'!O85),"")</f>
      </c>
    </row>
    <row r="3026">
      <c r="A3026" t="inlineStr" s="25">
        <is>
          <t xml:space="preserve">Calculation</t>
        </is>
      </c>
      <c r="B3026">
        <f>IF(IF(DATE(2027,11,1)=EDATE(DATE(2028,8,1),-'Model inputs'!AM13*1)="",FALSE,DATE(2027,11,1)=EDATE(DATE(2028,8,1),-'Model inputs'!AM13*1)),IF('Model inputs'!P85="","",'Model inputs'!P85),"")</f>
      </c>
    </row>
    <row r="3027">
      <c r="A3027" t="inlineStr" s="25">
        <is>
          <t xml:space="preserve">Calculation</t>
        </is>
      </c>
      <c r="B3027">
        <f>IF(IF(DATE(2027,12,1)=EDATE(DATE(2028,8,1),-'Model inputs'!AM13*1)="",FALSE,DATE(2027,12,1)=EDATE(DATE(2028,8,1),-'Model inputs'!AM13*1)),IF('Model inputs'!Q85="","",'Model inputs'!Q85),"")</f>
      </c>
    </row>
    <row r="3028">
      <c r="A3028" t="inlineStr" s="25">
        <is>
          <t xml:space="preserve">Calculation</t>
        </is>
      </c>
      <c r="B3028">
        <f>IF(IF(DATE(2028,1,1)=EDATE(DATE(2028,8,1),-'Model inputs'!AM13*1)="",FALSE,DATE(2028,1,1)=EDATE(DATE(2028,8,1),-'Model inputs'!AM13*1)),IF('Model inputs'!R85="","",'Model inputs'!R85),"")</f>
      </c>
    </row>
    <row r="3029">
      <c r="A3029" t="inlineStr" s="25">
        <is>
          <t xml:space="preserve">Calculation</t>
        </is>
      </c>
      <c r="B3029">
        <f>IF(IF(DATE(2028,2,1)=EDATE(DATE(2028,8,1),-'Model inputs'!AM13*1)="",FALSE,DATE(2028,2,1)=EDATE(DATE(2028,8,1),-'Model inputs'!AM13*1)),IF('Model inputs'!S85="","",'Model inputs'!S85),"")</f>
      </c>
    </row>
    <row r="3030">
      <c r="A3030" t="inlineStr" s="25">
        <is>
          <t xml:space="preserve">Calculation</t>
        </is>
      </c>
      <c r="B3030">
        <f>IF(IF(DATE(2028,3,1)=EDATE(DATE(2028,8,1),-'Model inputs'!AM13*1)="",FALSE,DATE(2028,3,1)=EDATE(DATE(2028,8,1),-'Model inputs'!AM13*1)),IF('Model inputs'!T85="","",'Model inputs'!T85),"")</f>
      </c>
    </row>
    <row r="3031">
      <c r="A3031" t="inlineStr" s="25">
        <is>
          <t xml:space="preserve">Calculation</t>
        </is>
      </c>
      <c r="B3031">
        <f>IF(IF(DATE(2028,4,1)=EDATE(DATE(2028,8,1),-'Model inputs'!AM13*1)="",FALSE,DATE(2028,4,1)=EDATE(DATE(2028,8,1),-'Model inputs'!AM13*1)),IF('Model inputs'!U85="","",'Model inputs'!U85),"")</f>
      </c>
    </row>
    <row r="3032">
      <c r="A3032" t="inlineStr" s="25">
        <is>
          <t xml:space="preserve">Calculation</t>
        </is>
      </c>
      <c r="B3032">
        <f>IF(IF(DATE(2028,5,1)=EDATE(DATE(2028,8,1),-'Model inputs'!AM13*1)="",FALSE,DATE(2028,5,1)=EDATE(DATE(2028,8,1),-'Model inputs'!AM13*1)),IF('Model inputs'!V85="","",'Model inputs'!V85),"")</f>
      </c>
    </row>
    <row r="3033">
      <c r="A3033" t="inlineStr" s="25">
        <is>
          <t xml:space="preserve">Calculation</t>
        </is>
      </c>
      <c r="B3033">
        <f>IF(IF(DATE(2028,6,1)=EDATE(DATE(2028,8,1),-'Model inputs'!AM13*1)="",FALSE,DATE(2028,6,1)=EDATE(DATE(2028,8,1),-'Model inputs'!AM13*1)),IF('Model inputs'!W85="","",'Model inputs'!W85),"")</f>
      </c>
    </row>
    <row r="3034">
      <c r="A3034" t="inlineStr" s="25">
        <is>
          <t xml:space="preserve">Calculation</t>
        </is>
      </c>
      <c r="B3034">
        <f>IF(IF(DATE(2028,7,1)=EDATE(DATE(2028,8,1),-'Model inputs'!AM13*1)="",FALSE,DATE(2028,7,1)=EDATE(DATE(2028,8,1),-'Model inputs'!AM13*1)),IF('Model inputs'!X85="","",'Model inputs'!X85),"")</f>
      </c>
    </row>
    <row r="3035">
      <c r="A3035" t="inlineStr" s="25">
        <is>
          <t xml:space="preserve">Calculation</t>
        </is>
      </c>
      <c r="B3035">
        <f>IF(IF(DATE(2028,8,1)=EDATE(DATE(2028,8,1),-'Model inputs'!AM13*1)="",FALSE,DATE(2028,8,1)=EDATE(DATE(2028,8,1),-'Model inputs'!AM13*1)),IF('Model inputs'!Y85="","",'Model inputs'!Y85),"")</f>
      </c>
    </row>
    <row r="3036">
      <c r="A3036" t="inlineStr" s="25">
        <is>
          <t xml:space="preserve">Calculation</t>
        </is>
      </c>
      <c r="B3036">
        <f>IF(IF(DATE(2028,9,1)=EDATE(DATE(2028,8,1),-'Model inputs'!AM13*1)="",FALSE,DATE(2028,9,1)=EDATE(DATE(2028,8,1),-'Model inputs'!AM13*1)),IF('Model inputs'!Z85="","",'Model inputs'!Z85),"")</f>
      </c>
    </row>
    <row r="3037">
      <c r="A3037" t="inlineStr" s="25">
        <is>
          <t xml:space="preserve">Calculation</t>
        </is>
      </c>
      <c r="B3037">
        <f>IF(IF(DATE(2028,10,1)=EDATE(DATE(2028,8,1),-'Model inputs'!AM13*1)="",FALSE,DATE(2028,10,1)=EDATE(DATE(2028,8,1),-'Model inputs'!AM13*1)),IF('Model inputs'!AA85="","",'Model inputs'!AA85),"")</f>
      </c>
    </row>
    <row r="3038">
      <c r="A3038" t="inlineStr" s="25">
        <is>
          <t xml:space="preserve">Calculation</t>
        </is>
      </c>
      <c r="B3038">
        <f>IF(IF(DATE(2028,11,1)=EDATE(DATE(2028,8,1),-'Model inputs'!AM13*1)="",FALSE,DATE(2028,11,1)=EDATE(DATE(2028,8,1),-'Model inputs'!AM13*1)),IF('Model inputs'!AB85="","",'Model inputs'!AB85),"")</f>
      </c>
    </row>
    <row r="3039">
      <c r="A3039" t="inlineStr" s="25">
        <is>
          <t xml:space="preserve">Calculation</t>
        </is>
      </c>
      <c r="B3039">
        <f>IF(IF(DATE(2028,12,1)=EDATE(DATE(2028,8,1),-'Model inputs'!AM13*1)="",FALSE,DATE(2028,12,1)=EDATE(DATE(2028,8,1),-'Model inputs'!AM13*1)),IF('Model inputs'!AC85="","",'Model inputs'!AC85),"")</f>
      </c>
    </row>
    <row r="3040">
      <c r="A3040" t="inlineStr" s="25">
        <is>
          <t xml:space="preserve">Calculation</t>
        </is>
      </c>
      <c r="B3040">
        <f>IF(IF(DATE(2029,1,1)=EDATE(DATE(2028,8,1),-'Model inputs'!AM13*1)="",FALSE,DATE(2029,1,1)=EDATE(DATE(2028,8,1),-'Model inputs'!AM13*1)),IF('Model inputs'!AD85="","",'Model inputs'!AD85),"")</f>
      </c>
    </row>
    <row r="3041">
      <c r="A3041" t="inlineStr" s="25">
        <is>
          <t xml:space="preserve">Calculation</t>
        </is>
      </c>
      <c r="B3041">
        <f>IF(IF(DATE(2029,2,1)=EDATE(DATE(2028,8,1),-'Model inputs'!AM13*1)="",FALSE,DATE(2029,2,1)=EDATE(DATE(2028,8,1),-'Model inputs'!AM13*1)),IF('Model inputs'!AE85="","",'Model inputs'!AE85),"")</f>
      </c>
    </row>
    <row r="3042">
      <c r="A3042" t="inlineStr" s="25">
        <is>
          <t xml:space="preserve">Calculation</t>
        </is>
      </c>
      <c r="B3042">
        <f>IF(IF(DATE(2029,3,1)=EDATE(DATE(2028,8,1),-'Model inputs'!AM13*1)="",FALSE,DATE(2029,3,1)=EDATE(DATE(2028,8,1),-'Model inputs'!AM13*1)),IF('Model inputs'!AF85="","",'Model inputs'!AF85),"")</f>
      </c>
    </row>
    <row r="3043">
      <c r="A3043" t="inlineStr" s="25">
        <is>
          <t xml:space="preserve">Calculation</t>
        </is>
      </c>
      <c r="B3043">
        <f>IF(IF(DATE(2029,4,1)=EDATE(DATE(2028,8,1),-'Model inputs'!AM13*1)="",FALSE,DATE(2029,4,1)=EDATE(DATE(2028,8,1),-'Model inputs'!AM13*1)),IF('Model inputs'!AG85="","",'Model inputs'!AG85),"")</f>
      </c>
    </row>
    <row r="3044">
      <c r="A3044" t="inlineStr" s="25">
        <is>
          <t xml:space="preserve">Calculation</t>
        </is>
      </c>
      <c r="B3044">
        <f>IF(IF(DATE(2029,5,1)=EDATE(DATE(2028,8,1),-'Model inputs'!AM13*1)="",FALSE,DATE(2029,5,1)=EDATE(DATE(2028,8,1),-'Model inputs'!AM13*1)),IF('Model inputs'!AH85="","",'Model inputs'!AH85),"")</f>
      </c>
    </row>
    <row r="3045">
      <c r="A3045" t="inlineStr" s="25">
        <is>
          <t xml:space="preserve">Calculation</t>
        </is>
      </c>
      <c r="B3045">
        <f>IF(IF(DATE(2029,6,1)=EDATE(DATE(2028,8,1),-'Model inputs'!AM13*1)="",FALSE,DATE(2029,6,1)=EDATE(DATE(2028,8,1),-'Model inputs'!AM13*1)),IF('Model inputs'!AI85="","",'Model inputs'!AI85),"")</f>
      </c>
    </row>
    <row r="3046">
      <c r="A3046" t="inlineStr" s="25">
        <is>
          <t xml:space="preserve">Calculation</t>
        </is>
      </c>
      <c r="B3046">
        <f>IF(IF(DATE(2029,7,1)=EDATE(DATE(2028,8,1),-'Model inputs'!AM13*1)="",FALSE,DATE(2029,7,1)=EDATE(DATE(2028,8,1),-'Model inputs'!AM13*1)),IF('Model inputs'!AJ85="","",'Model inputs'!AJ85),"")</f>
      </c>
    </row>
    <row r="3047">
      <c r="A3047" t="inlineStr" s="25">
        <is>
          <t xml:space="preserve">Calculation</t>
        </is>
      </c>
      <c r="B3047">
        <f>IF(IF(DATE(2029,8,1)=EDATE(DATE(2028,8,1),-'Model inputs'!AM13*1)="",FALSE,DATE(2029,8,1)=EDATE(DATE(2028,8,1),-'Model inputs'!AM13*1)),IF('Model inputs'!AK85="","",'Model inputs'!AK85),"")</f>
      </c>
    </row>
    <row r="3048">
      <c r="A3048" t="inlineStr" s="25">
        <is>
          <t xml:space="preserve">Calculation</t>
        </is>
      </c>
      <c r="B3048">
        <f>IF(IF(DATE(2029,9,1)=EDATE(DATE(2028,8,1),-'Model inputs'!AM13*1)="",FALSE,DATE(2029,9,1)=EDATE(DATE(2028,8,1),-'Model inputs'!AM13*1)),IF('Model inputs'!AL85="","",'Model inputs'!AL85),"")</f>
      </c>
    </row>
    <row r="3049">
      <c r="A3049" t="inlineStr" s="25">
        <is>
          <t xml:space="preserve">Calculation</t>
        </is>
      </c>
      <c r="B3049">
        <f>SUM(IF(IF('Model inputs'!B1667="",0,1)="",0,IF('Model inputs'!B1667="",0,1)),IF(IF('Model inputs'!B3013="",0,1)="",0,IF('Model inputs'!B3013="",0,1)),IF(IF('Model inputs'!B3014="",0,1)="",0,IF('Model inputs'!B3014="",0,1)),IF(IF('Model inputs'!B3015="",0,1)="",0,IF('Model inputs'!B3015="",0,1)),IF(IF('Model inputs'!B3016="",0,1)="",0,IF('Model inputs'!B3016="",0,1)),IF(IF('Model inputs'!B3017="",0,1)="",0,IF('Model inputs'!B3017="",0,1)),IF(IF('Model inputs'!B3018="",0,1)="",0,IF('Model inputs'!B3018="",0,1)),IF(IF('Model inputs'!B3019="",0,1)="",0,IF('Model inputs'!B3019="",0,1)),IF(IF('Model inputs'!B3020="",0,1)="",0,IF('Model inputs'!B3020="",0,1)),IF(IF('Model inputs'!B3021="",0,1)="",0,IF('Model inputs'!B3021="",0,1)),IF(IF('Model inputs'!B3022="",0,1)="",0,IF('Model inputs'!B3022="",0,1)),IF(IF('Model inputs'!B3023="",0,1)="",0,IF('Model inputs'!B3023="",0,1)),IF(IF('Model inputs'!B3024="",0,1)="",0,IF('Model inputs'!B3024="",0,1)),IF(IF('Model inputs'!B3025="",0,1)="",0,IF('Model inputs'!B3025="",0,1)),IF(IF('Model inputs'!B3026="",0,1)="",0,IF('Model inputs'!B3026="",0,1)),IF(IF('Model inputs'!B3027="",0,1)="",0,IF('Model inputs'!B3027="",0,1)),IF(IF('Model inputs'!B3028="",0,1)="",0,IF('Model inputs'!B3028="",0,1)),IF(IF('Model inputs'!B3029="",0,1)="",0,IF('Model inputs'!B3029="",0,1)),IF(IF('Model inputs'!B3030="",0,1)="",0,IF('Model inputs'!B3030="",0,1)),IF(IF('Model inputs'!B3031="",0,1)="",0,IF('Model inputs'!B3031="",0,1)),IF(IF('Model inputs'!B3032="",0,1)="",0,IF('Model inputs'!B3032="",0,1)),IF(IF('Model inputs'!B3033="",0,1)="",0,IF('Model inputs'!B3033="",0,1)),IF(IF('Model inputs'!B3034="",0,1)="",0,IF('Model inputs'!B3034="",0,1)),IF(IF('Model inputs'!B3035="",0,1)="",0,IF('Model inputs'!B3035="",0,1)),IF(IF('Model inputs'!B3036="",0,1)="",0,IF('Model inputs'!B3036="",0,1)),IF(IF('Model inputs'!B3037="",0,1)="",0,IF('Model inputs'!B3037="",0,1)),IF(IF('Model inputs'!B3038="",0,1)="",0,IF('Model inputs'!B3038="",0,1)),IF(IF('Model inputs'!B3039="",0,1)="",0,IF('Model inputs'!B3039="",0,1)),IF(IF('Model inputs'!B3040="",0,1)="",0,IF('Model inputs'!B3040="",0,1)),IF(IF('Model inputs'!B3041="",0,1)="",0,IF('Model inputs'!B3041="",0,1)),IF(IF('Model inputs'!B3042="",0,1)="",0,IF('Model inputs'!B3042="",0,1)),IF(IF('Model inputs'!B3043="",0,1)="",0,IF('Model inputs'!B3043="",0,1)),IF(IF('Model inputs'!B3044="",0,1)="",0,IF('Model inputs'!B3044="",0,1)),IF(IF('Model inputs'!B3045="",0,1)="",0,IF('Model inputs'!B3045="",0,1)),IF(IF('Model inputs'!B3046="",0,1)="",0,IF('Model inputs'!B3046="",0,1)),IF(IF('Model inputs'!B3047="",0,1)="",0,IF('Model inputs'!B3047="",0,1)),IF(IF('Model inputs'!B3048="",0,1)="",0,IF('Model inputs'!B3048="",0,1)))</f>
      </c>
    </row>
    <row r="3050">
      <c r="A3050" t="inlineStr" s="25">
        <is>
          <t xml:space="preserve">Calculation</t>
        </is>
      </c>
      <c r="B3050">
        <f>IF(IF(DATE(2026,10,1)=EDATE(DATE(2028,9,1),-'Model inputs'!AM13*1)="",FALSE,DATE(2026,10,1)=EDATE(DATE(2028,9,1),-'Model inputs'!AM13*1)),IF('Model inputs'!C85="","",'Model inputs'!C85),"")</f>
      </c>
    </row>
    <row r="3051">
      <c r="A3051" t="inlineStr" s="25">
        <is>
          <t xml:space="preserve">Calculation</t>
        </is>
      </c>
      <c r="B3051">
        <f>IF(IF(DATE(2026,11,1)=EDATE(DATE(2028,9,1),-'Model inputs'!AM13*1)="",FALSE,DATE(2026,11,1)=EDATE(DATE(2028,9,1),-'Model inputs'!AM13*1)),IF('Model inputs'!D85="","",'Model inputs'!D85),"")</f>
      </c>
    </row>
    <row r="3052">
      <c r="A3052" t="inlineStr" s="25">
        <is>
          <t xml:space="preserve">Calculation</t>
        </is>
      </c>
      <c r="B3052">
        <f>IF(IF(DATE(2026,12,1)=EDATE(DATE(2028,9,1),-'Model inputs'!AM13*1)="",FALSE,DATE(2026,12,1)=EDATE(DATE(2028,9,1),-'Model inputs'!AM13*1)),IF('Model inputs'!E85="","",'Model inputs'!E85),"")</f>
      </c>
    </row>
    <row r="3053">
      <c r="A3053" t="inlineStr" s="25">
        <is>
          <t xml:space="preserve">Calculation</t>
        </is>
      </c>
      <c r="B3053">
        <f>IF(IF(DATE(2027,1,1)=EDATE(DATE(2028,9,1),-'Model inputs'!AM13*1)="",FALSE,DATE(2027,1,1)=EDATE(DATE(2028,9,1),-'Model inputs'!AM13*1)),IF('Model inputs'!F85="","",'Model inputs'!F85),"")</f>
      </c>
    </row>
    <row r="3054">
      <c r="A3054" t="inlineStr" s="25">
        <is>
          <t xml:space="preserve">Calculation</t>
        </is>
      </c>
      <c r="B3054">
        <f>IF(IF(DATE(2027,2,1)=EDATE(DATE(2028,9,1),-'Model inputs'!AM13*1)="",FALSE,DATE(2027,2,1)=EDATE(DATE(2028,9,1),-'Model inputs'!AM13*1)),IF('Model inputs'!G85="","",'Model inputs'!G85),"")</f>
      </c>
    </row>
    <row r="3055">
      <c r="A3055" t="inlineStr" s="25">
        <is>
          <t xml:space="preserve">Calculation</t>
        </is>
      </c>
      <c r="B3055">
        <f>IF(IF(DATE(2027,3,1)=EDATE(DATE(2028,9,1),-'Model inputs'!AM13*1)="",FALSE,DATE(2027,3,1)=EDATE(DATE(2028,9,1),-'Model inputs'!AM13*1)),IF('Model inputs'!H85="","",'Model inputs'!H85),"")</f>
      </c>
    </row>
    <row r="3056">
      <c r="A3056" t="inlineStr" s="25">
        <is>
          <t xml:space="preserve">Calculation</t>
        </is>
      </c>
      <c r="B3056">
        <f>IF(IF(DATE(2027,4,1)=EDATE(DATE(2028,9,1),-'Model inputs'!AM13*1)="",FALSE,DATE(2027,4,1)=EDATE(DATE(2028,9,1),-'Model inputs'!AM13*1)),IF('Model inputs'!I85="","",'Model inputs'!I85),"")</f>
      </c>
    </row>
    <row r="3057">
      <c r="A3057" t="inlineStr" s="25">
        <is>
          <t xml:space="preserve">Calculation</t>
        </is>
      </c>
      <c r="B3057">
        <f>IF(IF(DATE(2027,5,1)=EDATE(DATE(2028,9,1),-'Model inputs'!AM13*1)="",FALSE,DATE(2027,5,1)=EDATE(DATE(2028,9,1),-'Model inputs'!AM13*1)),IF('Model inputs'!J85="","",'Model inputs'!J85),"")</f>
      </c>
    </row>
    <row r="3058">
      <c r="A3058" t="inlineStr" s="25">
        <is>
          <t xml:space="preserve">Calculation</t>
        </is>
      </c>
      <c r="B3058">
        <f>IF(IF(DATE(2027,6,1)=EDATE(DATE(2028,9,1),-'Model inputs'!AM13*1)="",FALSE,DATE(2027,6,1)=EDATE(DATE(2028,9,1),-'Model inputs'!AM13*1)),IF('Model inputs'!K85="","",'Model inputs'!K85),"")</f>
      </c>
    </row>
    <row r="3059">
      <c r="A3059" t="inlineStr" s="25">
        <is>
          <t xml:space="preserve">Calculation</t>
        </is>
      </c>
      <c r="B3059">
        <f>IF(IF(DATE(2027,7,1)=EDATE(DATE(2028,9,1),-'Model inputs'!AM13*1)="",FALSE,DATE(2027,7,1)=EDATE(DATE(2028,9,1),-'Model inputs'!AM13*1)),IF('Model inputs'!L85="","",'Model inputs'!L85),"")</f>
      </c>
    </row>
    <row r="3060">
      <c r="A3060" t="inlineStr" s="25">
        <is>
          <t xml:space="preserve">Calculation</t>
        </is>
      </c>
      <c r="B3060">
        <f>IF(IF(DATE(2027,8,1)=EDATE(DATE(2028,9,1),-'Model inputs'!AM13*1)="",FALSE,DATE(2027,8,1)=EDATE(DATE(2028,9,1),-'Model inputs'!AM13*1)),IF('Model inputs'!M85="","",'Model inputs'!M85),"")</f>
      </c>
    </row>
    <row r="3061">
      <c r="A3061" t="inlineStr" s="25">
        <is>
          <t xml:space="preserve">Calculation</t>
        </is>
      </c>
      <c r="B3061">
        <f>IF(IF(DATE(2027,9,1)=EDATE(DATE(2028,9,1),-'Model inputs'!AM13*1)="",FALSE,DATE(2027,9,1)=EDATE(DATE(2028,9,1),-'Model inputs'!AM13*1)),IF('Model inputs'!N85="","",'Model inputs'!N85),"")</f>
      </c>
    </row>
    <row r="3062">
      <c r="A3062" t="inlineStr" s="25">
        <is>
          <t xml:space="preserve">Calculation</t>
        </is>
      </c>
      <c r="B3062">
        <f>IF(IF(DATE(2027,10,1)=EDATE(DATE(2028,9,1),-'Model inputs'!AM13*1)="",FALSE,DATE(2027,10,1)=EDATE(DATE(2028,9,1),-'Model inputs'!AM13*1)),IF('Model inputs'!O85="","",'Model inputs'!O85),"")</f>
      </c>
    </row>
    <row r="3063">
      <c r="A3063" t="inlineStr" s="25">
        <is>
          <t xml:space="preserve">Calculation</t>
        </is>
      </c>
      <c r="B3063">
        <f>IF(IF(DATE(2027,11,1)=EDATE(DATE(2028,9,1),-'Model inputs'!AM13*1)="",FALSE,DATE(2027,11,1)=EDATE(DATE(2028,9,1),-'Model inputs'!AM13*1)),IF('Model inputs'!P85="","",'Model inputs'!P85),"")</f>
      </c>
    </row>
    <row r="3064">
      <c r="A3064" t="inlineStr" s="25">
        <is>
          <t xml:space="preserve">Calculation</t>
        </is>
      </c>
      <c r="B3064">
        <f>IF(IF(DATE(2027,12,1)=EDATE(DATE(2028,9,1),-'Model inputs'!AM13*1)="",FALSE,DATE(2027,12,1)=EDATE(DATE(2028,9,1),-'Model inputs'!AM13*1)),IF('Model inputs'!Q85="","",'Model inputs'!Q85),"")</f>
      </c>
    </row>
    <row r="3065">
      <c r="A3065" t="inlineStr" s="25">
        <is>
          <t xml:space="preserve">Calculation</t>
        </is>
      </c>
      <c r="B3065">
        <f>IF(IF(DATE(2028,1,1)=EDATE(DATE(2028,9,1),-'Model inputs'!AM13*1)="",FALSE,DATE(2028,1,1)=EDATE(DATE(2028,9,1),-'Model inputs'!AM13*1)),IF('Model inputs'!R85="","",'Model inputs'!R85),"")</f>
      </c>
    </row>
    <row r="3066">
      <c r="A3066" t="inlineStr" s="25">
        <is>
          <t xml:space="preserve">Calculation</t>
        </is>
      </c>
      <c r="B3066">
        <f>IF(IF(DATE(2028,2,1)=EDATE(DATE(2028,9,1),-'Model inputs'!AM13*1)="",FALSE,DATE(2028,2,1)=EDATE(DATE(2028,9,1),-'Model inputs'!AM13*1)),IF('Model inputs'!S85="","",'Model inputs'!S85),"")</f>
      </c>
    </row>
    <row r="3067">
      <c r="A3067" t="inlineStr" s="25">
        <is>
          <t xml:space="preserve">Calculation</t>
        </is>
      </c>
      <c r="B3067">
        <f>IF(IF(DATE(2028,3,1)=EDATE(DATE(2028,9,1),-'Model inputs'!AM13*1)="",FALSE,DATE(2028,3,1)=EDATE(DATE(2028,9,1),-'Model inputs'!AM13*1)),IF('Model inputs'!T85="","",'Model inputs'!T85),"")</f>
      </c>
    </row>
    <row r="3068">
      <c r="A3068" t="inlineStr" s="25">
        <is>
          <t xml:space="preserve">Calculation</t>
        </is>
      </c>
      <c r="B3068">
        <f>IF(IF(DATE(2028,4,1)=EDATE(DATE(2028,9,1),-'Model inputs'!AM13*1)="",FALSE,DATE(2028,4,1)=EDATE(DATE(2028,9,1),-'Model inputs'!AM13*1)),IF('Model inputs'!U85="","",'Model inputs'!U85),"")</f>
      </c>
    </row>
    <row r="3069">
      <c r="A3069" t="inlineStr" s="25">
        <is>
          <t xml:space="preserve">Calculation</t>
        </is>
      </c>
      <c r="B3069">
        <f>IF(IF(DATE(2028,5,1)=EDATE(DATE(2028,9,1),-'Model inputs'!AM13*1)="",FALSE,DATE(2028,5,1)=EDATE(DATE(2028,9,1),-'Model inputs'!AM13*1)),IF('Model inputs'!V85="","",'Model inputs'!V85),"")</f>
      </c>
    </row>
    <row r="3070">
      <c r="A3070" t="inlineStr" s="25">
        <is>
          <t xml:space="preserve">Calculation</t>
        </is>
      </c>
      <c r="B3070">
        <f>IF(IF(DATE(2028,6,1)=EDATE(DATE(2028,9,1),-'Model inputs'!AM13*1)="",FALSE,DATE(2028,6,1)=EDATE(DATE(2028,9,1),-'Model inputs'!AM13*1)),IF('Model inputs'!W85="","",'Model inputs'!W85),"")</f>
      </c>
    </row>
    <row r="3071">
      <c r="A3071" t="inlineStr" s="25">
        <is>
          <t xml:space="preserve">Calculation</t>
        </is>
      </c>
      <c r="B3071">
        <f>IF(IF(DATE(2028,7,1)=EDATE(DATE(2028,9,1),-'Model inputs'!AM13*1)="",FALSE,DATE(2028,7,1)=EDATE(DATE(2028,9,1),-'Model inputs'!AM13*1)),IF('Model inputs'!X85="","",'Model inputs'!X85),"")</f>
      </c>
    </row>
    <row r="3072">
      <c r="A3072" t="inlineStr" s="25">
        <is>
          <t xml:space="preserve">Calculation</t>
        </is>
      </c>
      <c r="B3072">
        <f>IF(IF(DATE(2028,8,1)=EDATE(DATE(2028,9,1),-'Model inputs'!AM13*1)="",FALSE,DATE(2028,8,1)=EDATE(DATE(2028,9,1),-'Model inputs'!AM13*1)),IF('Model inputs'!Y85="","",'Model inputs'!Y85),"")</f>
      </c>
    </row>
    <row r="3073">
      <c r="A3073" t="inlineStr" s="25">
        <is>
          <t xml:space="preserve">Calculation</t>
        </is>
      </c>
      <c r="B3073">
        <f>IF(IF(DATE(2028,9,1)=EDATE(DATE(2028,9,1),-'Model inputs'!AM13*1)="",FALSE,DATE(2028,9,1)=EDATE(DATE(2028,9,1),-'Model inputs'!AM13*1)),IF('Model inputs'!Z85="","",'Model inputs'!Z85),"")</f>
      </c>
    </row>
    <row r="3074">
      <c r="A3074" t="inlineStr" s="25">
        <is>
          <t xml:space="preserve">Calculation</t>
        </is>
      </c>
      <c r="B3074">
        <f>IF(IF(DATE(2028,10,1)=EDATE(DATE(2028,9,1),-'Model inputs'!AM13*1)="",FALSE,DATE(2028,10,1)=EDATE(DATE(2028,9,1),-'Model inputs'!AM13*1)),IF('Model inputs'!AA85="","",'Model inputs'!AA85),"")</f>
      </c>
    </row>
    <row r="3075">
      <c r="A3075" t="inlineStr" s="25">
        <is>
          <t xml:space="preserve">Calculation</t>
        </is>
      </c>
      <c r="B3075">
        <f>IF(IF(DATE(2028,11,1)=EDATE(DATE(2028,9,1),-'Model inputs'!AM13*1)="",FALSE,DATE(2028,11,1)=EDATE(DATE(2028,9,1),-'Model inputs'!AM13*1)),IF('Model inputs'!AB85="","",'Model inputs'!AB85),"")</f>
      </c>
    </row>
    <row r="3076">
      <c r="A3076" t="inlineStr" s="25">
        <is>
          <t xml:space="preserve">Calculation</t>
        </is>
      </c>
      <c r="B3076">
        <f>IF(IF(DATE(2028,12,1)=EDATE(DATE(2028,9,1),-'Model inputs'!AM13*1)="",FALSE,DATE(2028,12,1)=EDATE(DATE(2028,9,1),-'Model inputs'!AM13*1)),IF('Model inputs'!AC85="","",'Model inputs'!AC85),"")</f>
      </c>
    </row>
    <row r="3077">
      <c r="A3077" t="inlineStr" s="25">
        <is>
          <t xml:space="preserve">Calculation</t>
        </is>
      </c>
      <c r="B3077">
        <f>IF(IF(DATE(2029,1,1)=EDATE(DATE(2028,9,1),-'Model inputs'!AM13*1)="",FALSE,DATE(2029,1,1)=EDATE(DATE(2028,9,1),-'Model inputs'!AM13*1)),IF('Model inputs'!AD85="","",'Model inputs'!AD85),"")</f>
      </c>
    </row>
    <row r="3078">
      <c r="A3078" t="inlineStr" s="25">
        <is>
          <t xml:space="preserve">Calculation</t>
        </is>
      </c>
      <c r="B3078">
        <f>IF(IF(DATE(2029,2,1)=EDATE(DATE(2028,9,1),-'Model inputs'!AM13*1)="",FALSE,DATE(2029,2,1)=EDATE(DATE(2028,9,1),-'Model inputs'!AM13*1)),IF('Model inputs'!AE85="","",'Model inputs'!AE85),"")</f>
      </c>
    </row>
    <row r="3079">
      <c r="A3079" t="inlineStr" s="25">
        <is>
          <t xml:space="preserve">Calculation</t>
        </is>
      </c>
      <c r="B3079">
        <f>IF(IF(DATE(2029,3,1)=EDATE(DATE(2028,9,1),-'Model inputs'!AM13*1)="",FALSE,DATE(2029,3,1)=EDATE(DATE(2028,9,1),-'Model inputs'!AM13*1)),IF('Model inputs'!AF85="","",'Model inputs'!AF85),"")</f>
      </c>
    </row>
    <row r="3080">
      <c r="A3080" t="inlineStr" s="25">
        <is>
          <t xml:space="preserve">Calculation</t>
        </is>
      </c>
      <c r="B3080">
        <f>IF(IF(DATE(2029,4,1)=EDATE(DATE(2028,9,1),-'Model inputs'!AM13*1)="",FALSE,DATE(2029,4,1)=EDATE(DATE(2028,9,1),-'Model inputs'!AM13*1)),IF('Model inputs'!AG85="","",'Model inputs'!AG85),"")</f>
      </c>
    </row>
    <row r="3081">
      <c r="A3081" t="inlineStr" s="25">
        <is>
          <t xml:space="preserve">Calculation</t>
        </is>
      </c>
      <c r="B3081">
        <f>IF(IF(DATE(2029,5,1)=EDATE(DATE(2028,9,1),-'Model inputs'!AM13*1)="",FALSE,DATE(2029,5,1)=EDATE(DATE(2028,9,1),-'Model inputs'!AM13*1)),IF('Model inputs'!AH85="","",'Model inputs'!AH85),"")</f>
      </c>
    </row>
    <row r="3082">
      <c r="A3082" t="inlineStr" s="25">
        <is>
          <t xml:space="preserve">Calculation</t>
        </is>
      </c>
      <c r="B3082">
        <f>IF(IF(DATE(2029,6,1)=EDATE(DATE(2028,9,1),-'Model inputs'!AM13*1)="",FALSE,DATE(2029,6,1)=EDATE(DATE(2028,9,1),-'Model inputs'!AM13*1)),IF('Model inputs'!AI85="","",'Model inputs'!AI85),"")</f>
      </c>
    </row>
    <row r="3083">
      <c r="A3083" t="inlineStr" s="25">
        <is>
          <t xml:space="preserve">Calculation</t>
        </is>
      </c>
      <c r="B3083">
        <f>IF(IF(DATE(2029,7,1)=EDATE(DATE(2028,9,1),-'Model inputs'!AM13*1)="",FALSE,DATE(2029,7,1)=EDATE(DATE(2028,9,1),-'Model inputs'!AM13*1)),IF('Model inputs'!AJ85="","",'Model inputs'!AJ85),"")</f>
      </c>
    </row>
    <row r="3084">
      <c r="A3084" t="inlineStr" s="25">
        <is>
          <t xml:space="preserve">Calculation</t>
        </is>
      </c>
      <c r="B3084">
        <f>IF(IF(DATE(2029,8,1)=EDATE(DATE(2028,9,1),-'Model inputs'!AM13*1)="",FALSE,DATE(2029,8,1)=EDATE(DATE(2028,9,1),-'Model inputs'!AM13*1)),IF('Model inputs'!AK85="","",'Model inputs'!AK85),"")</f>
      </c>
    </row>
    <row r="3085">
      <c r="A3085" t="inlineStr" s="25">
        <is>
          <t xml:space="preserve">Calculation</t>
        </is>
      </c>
      <c r="B3085">
        <f>IF(IF(DATE(2029,9,1)=EDATE(DATE(2028,9,1),-'Model inputs'!AM13*1)="",FALSE,DATE(2029,9,1)=EDATE(DATE(2028,9,1),-'Model inputs'!AM13*1)),IF('Model inputs'!AL85="","",'Model inputs'!AL85),"")</f>
      </c>
    </row>
    <row r="3086">
      <c r="A3086" t="inlineStr" s="25">
        <is>
          <t xml:space="preserve">Calculation</t>
        </is>
      </c>
      <c r="B3086">
        <f>SUM(IF(IF('Model inputs'!B1705="",0,1)="",0,IF('Model inputs'!B1705="",0,1)),IF(IF('Model inputs'!B3050="",0,1)="",0,IF('Model inputs'!B3050="",0,1)),IF(IF('Model inputs'!B3051="",0,1)="",0,IF('Model inputs'!B3051="",0,1)),IF(IF('Model inputs'!B3052="",0,1)="",0,IF('Model inputs'!B3052="",0,1)),IF(IF('Model inputs'!B3053="",0,1)="",0,IF('Model inputs'!B3053="",0,1)),IF(IF('Model inputs'!B3054="",0,1)="",0,IF('Model inputs'!B3054="",0,1)),IF(IF('Model inputs'!B3055="",0,1)="",0,IF('Model inputs'!B3055="",0,1)),IF(IF('Model inputs'!B3056="",0,1)="",0,IF('Model inputs'!B3056="",0,1)),IF(IF('Model inputs'!B3057="",0,1)="",0,IF('Model inputs'!B3057="",0,1)),IF(IF('Model inputs'!B3058="",0,1)="",0,IF('Model inputs'!B3058="",0,1)),IF(IF('Model inputs'!B3059="",0,1)="",0,IF('Model inputs'!B3059="",0,1)),IF(IF('Model inputs'!B3060="",0,1)="",0,IF('Model inputs'!B3060="",0,1)),IF(IF('Model inputs'!B3061="",0,1)="",0,IF('Model inputs'!B3061="",0,1)),IF(IF('Model inputs'!B3062="",0,1)="",0,IF('Model inputs'!B3062="",0,1)),IF(IF('Model inputs'!B3063="",0,1)="",0,IF('Model inputs'!B3063="",0,1)),IF(IF('Model inputs'!B3064="",0,1)="",0,IF('Model inputs'!B3064="",0,1)),IF(IF('Model inputs'!B3065="",0,1)="",0,IF('Model inputs'!B3065="",0,1)),IF(IF('Model inputs'!B3066="",0,1)="",0,IF('Model inputs'!B3066="",0,1)),IF(IF('Model inputs'!B3067="",0,1)="",0,IF('Model inputs'!B3067="",0,1)),IF(IF('Model inputs'!B3068="",0,1)="",0,IF('Model inputs'!B3068="",0,1)),IF(IF('Model inputs'!B3069="",0,1)="",0,IF('Model inputs'!B3069="",0,1)),IF(IF('Model inputs'!B3070="",0,1)="",0,IF('Model inputs'!B3070="",0,1)),IF(IF('Model inputs'!B3071="",0,1)="",0,IF('Model inputs'!B3071="",0,1)),IF(IF('Model inputs'!B3072="",0,1)="",0,IF('Model inputs'!B3072="",0,1)),IF(IF('Model inputs'!B3073="",0,1)="",0,IF('Model inputs'!B3073="",0,1)),IF(IF('Model inputs'!B3074="",0,1)="",0,IF('Model inputs'!B3074="",0,1)),IF(IF('Model inputs'!B3075="",0,1)="",0,IF('Model inputs'!B3075="",0,1)),IF(IF('Model inputs'!B3076="",0,1)="",0,IF('Model inputs'!B3076="",0,1)),IF(IF('Model inputs'!B3077="",0,1)="",0,IF('Model inputs'!B3077="",0,1)),IF(IF('Model inputs'!B3078="",0,1)="",0,IF('Model inputs'!B3078="",0,1)),IF(IF('Model inputs'!B3079="",0,1)="",0,IF('Model inputs'!B3079="",0,1)),IF(IF('Model inputs'!B3080="",0,1)="",0,IF('Model inputs'!B3080="",0,1)),IF(IF('Model inputs'!B3081="",0,1)="",0,IF('Model inputs'!B3081="",0,1)),IF(IF('Model inputs'!B3082="",0,1)="",0,IF('Model inputs'!B3082="",0,1)),IF(IF('Model inputs'!B3083="",0,1)="",0,IF('Model inputs'!B3083="",0,1)),IF(IF('Model inputs'!B3084="",0,1)="",0,IF('Model inputs'!B3084="",0,1)),IF(IF('Model inputs'!B3085="",0,1)="",0,IF('Model inputs'!B3085="",0,1)))</f>
      </c>
    </row>
    <row r="3087">
      <c r="A3087" t="inlineStr" s="25">
        <is>
          <t xml:space="preserve">Calculation</t>
        </is>
      </c>
      <c r="B3087">
        <f>IF(IF(DATE(2026,10,1)=EDATE(DATE(2028,10,1),-'Model inputs'!AM13*1)="",FALSE,DATE(2026,10,1)=EDATE(DATE(2028,10,1),-'Model inputs'!AM13*1)),IF('Model inputs'!C85="","",'Model inputs'!C85),"")</f>
      </c>
    </row>
    <row r="3088">
      <c r="A3088" t="inlineStr" s="25">
        <is>
          <t xml:space="preserve">Calculation</t>
        </is>
      </c>
      <c r="B3088">
        <f>IF(IF(DATE(2026,11,1)=EDATE(DATE(2028,10,1),-'Model inputs'!AM13*1)="",FALSE,DATE(2026,11,1)=EDATE(DATE(2028,10,1),-'Model inputs'!AM13*1)),IF('Model inputs'!D85="","",'Model inputs'!D85),"")</f>
      </c>
    </row>
    <row r="3089">
      <c r="A3089" t="inlineStr" s="25">
        <is>
          <t xml:space="preserve">Calculation</t>
        </is>
      </c>
      <c r="B3089">
        <f>IF(IF(DATE(2026,12,1)=EDATE(DATE(2028,10,1),-'Model inputs'!AM13*1)="",FALSE,DATE(2026,12,1)=EDATE(DATE(2028,10,1),-'Model inputs'!AM13*1)),IF('Model inputs'!E85="","",'Model inputs'!E85),"")</f>
      </c>
    </row>
    <row r="3090">
      <c r="A3090" t="inlineStr" s="25">
        <is>
          <t xml:space="preserve">Calculation</t>
        </is>
      </c>
      <c r="B3090">
        <f>IF(IF(DATE(2027,1,1)=EDATE(DATE(2028,10,1),-'Model inputs'!AM13*1)="",FALSE,DATE(2027,1,1)=EDATE(DATE(2028,10,1),-'Model inputs'!AM13*1)),IF('Model inputs'!F85="","",'Model inputs'!F85),"")</f>
      </c>
    </row>
    <row r="3091">
      <c r="A3091" t="inlineStr" s="25">
        <is>
          <t xml:space="preserve">Calculation</t>
        </is>
      </c>
      <c r="B3091">
        <f>IF(IF(DATE(2027,2,1)=EDATE(DATE(2028,10,1),-'Model inputs'!AM13*1)="",FALSE,DATE(2027,2,1)=EDATE(DATE(2028,10,1),-'Model inputs'!AM13*1)),IF('Model inputs'!G85="","",'Model inputs'!G85),"")</f>
      </c>
    </row>
    <row r="3092">
      <c r="A3092" t="inlineStr" s="25">
        <is>
          <t xml:space="preserve">Calculation</t>
        </is>
      </c>
      <c r="B3092">
        <f>IF(IF(DATE(2027,3,1)=EDATE(DATE(2028,10,1),-'Model inputs'!AM13*1)="",FALSE,DATE(2027,3,1)=EDATE(DATE(2028,10,1),-'Model inputs'!AM13*1)),IF('Model inputs'!H85="","",'Model inputs'!H85),"")</f>
      </c>
    </row>
    <row r="3093">
      <c r="A3093" t="inlineStr" s="25">
        <is>
          <t xml:space="preserve">Calculation</t>
        </is>
      </c>
      <c r="B3093">
        <f>IF(IF(DATE(2027,4,1)=EDATE(DATE(2028,10,1),-'Model inputs'!AM13*1)="",FALSE,DATE(2027,4,1)=EDATE(DATE(2028,10,1),-'Model inputs'!AM13*1)),IF('Model inputs'!I85="","",'Model inputs'!I85),"")</f>
      </c>
    </row>
    <row r="3094">
      <c r="A3094" t="inlineStr" s="25">
        <is>
          <t xml:space="preserve">Calculation</t>
        </is>
      </c>
      <c r="B3094">
        <f>IF(IF(DATE(2027,5,1)=EDATE(DATE(2028,10,1),-'Model inputs'!AM13*1)="",FALSE,DATE(2027,5,1)=EDATE(DATE(2028,10,1),-'Model inputs'!AM13*1)),IF('Model inputs'!J85="","",'Model inputs'!J85),"")</f>
      </c>
    </row>
    <row r="3095">
      <c r="A3095" t="inlineStr" s="25">
        <is>
          <t xml:space="preserve">Calculation</t>
        </is>
      </c>
      <c r="B3095">
        <f>IF(IF(DATE(2027,6,1)=EDATE(DATE(2028,10,1),-'Model inputs'!AM13*1)="",FALSE,DATE(2027,6,1)=EDATE(DATE(2028,10,1),-'Model inputs'!AM13*1)),IF('Model inputs'!K85="","",'Model inputs'!K85),"")</f>
      </c>
    </row>
    <row r="3096">
      <c r="A3096" t="inlineStr" s="25">
        <is>
          <t xml:space="preserve">Calculation</t>
        </is>
      </c>
      <c r="B3096">
        <f>IF(IF(DATE(2027,7,1)=EDATE(DATE(2028,10,1),-'Model inputs'!AM13*1)="",FALSE,DATE(2027,7,1)=EDATE(DATE(2028,10,1),-'Model inputs'!AM13*1)),IF('Model inputs'!L85="","",'Model inputs'!L85),"")</f>
      </c>
    </row>
    <row r="3097">
      <c r="A3097" t="inlineStr" s="25">
        <is>
          <t xml:space="preserve">Calculation</t>
        </is>
      </c>
      <c r="B3097">
        <f>IF(IF(DATE(2027,8,1)=EDATE(DATE(2028,10,1),-'Model inputs'!AM13*1)="",FALSE,DATE(2027,8,1)=EDATE(DATE(2028,10,1),-'Model inputs'!AM13*1)),IF('Model inputs'!M85="","",'Model inputs'!M85),"")</f>
      </c>
    </row>
    <row r="3098">
      <c r="A3098" t="inlineStr" s="25">
        <is>
          <t xml:space="preserve">Calculation</t>
        </is>
      </c>
      <c r="B3098">
        <f>IF(IF(DATE(2027,9,1)=EDATE(DATE(2028,10,1),-'Model inputs'!AM13*1)="",FALSE,DATE(2027,9,1)=EDATE(DATE(2028,10,1),-'Model inputs'!AM13*1)),IF('Model inputs'!N85="","",'Model inputs'!N85),"")</f>
      </c>
    </row>
    <row r="3099">
      <c r="A3099" t="inlineStr" s="25">
        <is>
          <t xml:space="preserve">Calculation</t>
        </is>
      </c>
      <c r="B3099">
        <f>IF(IF(DATE(2027,10,1)=EDATE(DATE(2028,10,1),-'Model inputs'!AM13*1)="",FALSE,DATE(2027,10,1)=EDATE(DATE(2028,10,1),-'Model inputs'!AM13*1)),IF('Model inputs'!O85="","",'Model inputs'!O85),"")</f>
      </c>
    </row>
    <row r="3100">
      <c r="A3100" t="inlineStr" s="25">
        <is>
          <t xml:space="preserve">Calculation</t>
        </is>
      </c>
      <c r="B3100">
        <f>IF(IF(DATE(2027,11,1)=EDATE(DATE(2028,10,1),-'Model inputs'!AM13*1)="",FALSE,DATE(2027,11,1)=EDATE(DATE(2028,10,1),-'Model inputs'!AM13*1)),IF('Model inputs'!P85="","",'Model inputs'!P85),"")</f>
      </c>
    </row>
    <row r="3101">
      <c r="A3101" t="inlineStr" s="25">
        <is>
          <t xml:space="preserve">Calculation</t>
        </is>
      </c>
      <c r="B3101">
        <f>IF(IF(DATE(2027,12,1)=EDATE(DATE(2028,10,1),-'Model inputs'!AM13*1)="",FALSE,DATE(2027,12,1)=EDATE(DATE(2028,10,1),-'Model inputs'!AM13*1)),IF('Model inputs'!Q85="","",'Model inputs'!Q85),"")</f>
      </c>
    </row>
    <row r="3102">
      <c r="A3102" t="inlineStr" s="25">
        <is>
          <t xml:space="preserve">Calculation</t>
        </is>
      </c>
      <c r="B3102">
        <f>IF(IF(DATE(2028,1,1)=EDATE(DATE(2028,10,1),-'Model inputs'!AM13*1)="",FALSE,DATE(2028,1,1)=EDATE(DATE(2028,10,1),-'Model inputs'!AM13*1)),IF('Model inputs'!R85="","",'Model inputs'!R85),"")</f>
      </c>
    </row>
    <row r="3103">
      <c r="A3103" t="inlineStr" s="25">
        <is>
          <t xml:space="preserve">Calculation</t>
        </is>
      </c>
      <c r="B3103">
        <f>IF(IF(DATE(2028,2,1)=EDATE(DATE(2028,10,1),-'Model inputs'!AM13*1)="",FALSE,DATE(2028,2,1)=EDATE(DATE(2028,10,1),-'Model inputs'!AM13*1)),IF('Model inputs'!S85="","",'Model inputs'!S85),"")</f>
      </c>
    </row>
    <row r="3104">
      <c r="A3104" t="inlineStr" s="25">
        <is>
          <t xml:space="preserve">Calculation</t>
        </is>
      </c>
      <c r="B3104">
        <f>IF(IF(DATE(2028,3,1)=EDATE(DATE(2028,10,1),-'Model inputs'!AM13*1)="",FALSE,DATE(2028,3,1)=EDATE(DATE(2028,10,1),-'Model inputs'!AM13*1)),IF('Model inputs'!T85="","",'Model inputs'!T85),"")</f>
      </c>
    </row>
    <row r="3105">
      <c r="A3105" t="inlineStr" s="25">
        <is>
          <t xml:space="preserve">Calculation</t>
        </is>
      </c>
      <c r="B3105">
        <f>IF(IF(DATE(2028,4,1)=EDATE(DATE(2028,10,1),-'Model inputs'!AM13*1)="",FALSE,DATE(2028,4,1)=EDATE(DATE(2028,10,1),-'Model inputs'!AM13*1)),IF('Model inputs'!U85="","",'Model inputs'!U85),"")</f>
      </c>
    </row>
    <row r="3106">
      <c r="A3106" t="inlineStr" s="25">
        <is>
          <t xml:space="preserve">Calculation</t>
        </is>
      </c>
      <c r="B3106">
        <f>IF(IF(DATE(2028,5,1)=EDATE(DATE(2028,10,1),-'Model inputs'!AM13*1)="",FALSE,DATE(2028,5,1)=EDATE(DATE(2028,10,1),-'Model inputs'!AM13*1)),IF('Model inputs'!V85="","",'Model inputs'!V85),"")</f>
      </c>
    </row>
    <row r="3107">
      <c r="A3107" t="inlineStr" s="25">
        <is>
          <t xml:space="preserve">Calculation</t>
        </is>
      </c>
      <c r="B3107">
        <f>IF(IF(DATE(2028,6,1)=EDATE(DATE(2028,10,1),-'Model inputs'!AM13*1)="",FALSE,DATE(2028,6,1)=EDATE(DATE(2028,10,1),-'Model inputs'!AM13*1)),IF('Model inputs'!W85="","",'Model inputs'!W85),"")</f>
      </c>
    </row>
    <row r="3108">
      <c r="A3108" t="inlineStr" s="25">
        <is>
          <t xml:space="preserve">Calculation</t>
        </is>
      </c>
      <c r="B3108">
        <f>IF(IF(DATE(2028,7,1)=EDATE(DATE(2028,10,1),-'Model inputs'!AM13*1)="",FALSE,DATE(2028,7,1)=EDATE(DATE(2028,10,1),-'Model inputs'!AM13*1)),IF('Model inputs'!X85="","",'Model inputs'!X85),"")</f>
      </c>
    </row>
    <row r="3109">
      <c r="A3109" t="inlineStr" s="25">
        <is>
          <t xml:space="preserve">Calculation</t>
        </is>
      </c>
      <c r="B3109">
        <f>IF(IF(DATE(2028,8,1)=EDATE(DATE(2028,10,1),-'Model inputs'!AM13*1)="",FALSE,DATE(2028,8,1)=EDATE(DATE(2028,10,1),-'Model inputs'!AM13*1)),IF('Model inputs'!Y85="","",'Model inputs'!Y85),"")</f>
      </c>
    </row>
    <row r="3110">
      <c r="A3110" t="inlineStr" s="25">
        <is>
          <t xml:space="preserve">Calculation</t>
        </is>
      </c>
      <c r="B3110">
        <f>IF(IF(DATE(2028,9,1)=EDATE(DATE(2028,10,1),-'Model inputs'!AM13*1)="",FALSE,DATE(2028,9,1)=EDATE(DATE(2028,10,1),-'Model inputs'!AM13*1)),IF('Model inputs'!Z85="","",'Model inputs'!Z85),"")</f>
      </c>
    </row>
    <row r="3111">
      <c r="A3111" t="inlineStr" s="25">
        <is>
          <t xml:space="preserve">Calculation</t>
        </is>
      </c>
      <c r="B3111">
        <f>IF(IF(DATE(2028,10,1)=EDATE(DATE(2028,10,1),-'Model inputs'!AM13*1)="",FALSE,DATE(2028,10,1)=EDATE(DATE(2028,10,1),-'Model inputs'!AM13*1)),IF('Model inputs'!AA85="","",'Model inputs'!AA85),"")</f>
      </c>
    </row>
    <row r="3112">
      <c r="A3112" t="inlineStr" s="25">
        <is>
          <t xml:space="preserve">Calculation</t>
        </is>
      </c>
      <c r="B3112">
        <f>IF(IF(DATE(2028,11,1)=EDATE(DATE(2028,10,1),-'Model inputs'!AM13*1)="",FALSE,DATE(2028,11,1)=EDATE(DATE(2028,10,1),-'Model inputs'!AM13*1)),IF('Model inputs'!AB85="","",'Model inputs'!AB85),"")</f>
      </c>
    </row>
    <row r="3113">
      <c r="A3113" t="inlineStr" s="25">
        <is>
          <t xml:space="preserve">Calculation</t>
        </is>
      </c>
      <c r="B3113">
        <f>IF(IF(DATE(2028,12,1)=EDATE(DATE(2028,10,1),-'Model inputs'!AM13*1)="",FALSE,DATE(2028,12,1)=EDATE(DATE(2028,10,1),-'Model inputs'!AM13*1)),IF('Model inputs'!AC85="","",'Model inputs'!AC85),"")</f>
      </c>
    </row>
    <row r="3114">
      <c r="A3114" t="inlineStr" s="25">
        <is>
          <t xml:space="preserve">Calculation</t>
        </is>
      </c>
      <c r="B3114">
        <f>IF(IF(DATE(2029,1,1)=EDATE(DATE(2028,10,1),-'Model inputs'!AM13*1)="",FALSE,DATE(2029,1,1)=EDATE(DATE(2028,10,1),-'Model inputs'!AM13*1)),IF('Model inputs'!AD85="","",'Model inputs'!AD85),"")</f>
      </c>
    </row>
    <row r="3115">
      <c r="A3115" t="inlineStr" s="25">
        <is>
          <t xml:space="preserve">Calculation</t>
        </is>
      </c>
      <c r="B3115">
        <f>IF(IF(DATE(2029,2,1)=EDATE(DATE(2028,10,1),-'Model inputs'!AM13*1)="",FALSE,DATE(2029,2,1)=EDATE(DATE(2028,10,1),-'Model inputs'!AM13*1)),IF('Model inputs'!AE85="","",'Model inputs'!AE85),"")</f>
      </c>
    </row>
    <row r="3116">
      <c r="A3116" t="inlineStr" s="25">
        <is>
          <t xml:space="preserve">Calculation</t>
        </is>
      </c>
      <c r="B3116">
        <f>IF(IF(DATE(2029,3,1)=EDATE(DATE(2028,10,1),-'Model inputs'!AM13*1)="",FALSE,DATE(2029,3,1)=EDATE(DATE(2028,10,1),-'Model inputs'!AM13*1)),IF('Model inputs'!AF85="","",'Model inputs'!AF85),"")</f>
      </c>
    </row>
    <row r="3117">
      <c r="A3117" t="inlineStr" s="25">
        <is>
          <t xml:space="preserve">Calculation</t>
        </is>
      </c>
      <c r="B3117">
        <f>IF(IF(DATE(2029,4,1)=EDATE(DATE(2028,10,1),-'Model inputs'!AM13*1)="",FALSE,DATE(2029,4,1)=EDATE(DATE(2028,10,1),-'Model inputs'!AM13*1)),IF('Model inputs'!AG85="","",'Model inputs'!AG85),"")</f>
      </c>
    </row>
    <row r="3118">
      <c r="A3118" t="inlineStr" s="25">
        <is>
          <t xml:space="preserve">Calculation</t>
        </is>
      </c>
      <c r="B3118">
        <f>IF(IF(DATE(2029,5,1)=EDATE(DATE(2028,10,1),-'Model inputs'!AM13*1)="",FALSE,DATE(2029,5,1)=EDATE(DATE(2028,10,1),-'Model inputs'!AM13*1)),IF('Model inputs'!AH85="","",'Model inputs'!AH85),"")</f>
      </c>
    </row>
    <row r="3119">
      <c r="A3119" t="inlineStr" s="25">
        <is>
          <t xml:space="preserve">Calculation</t>
        </is>
      </c>
      <c r="B3119">
        <f>IF(IF(DATE(2029,6,1)=EDATE(DATE(2028,10,1),-'Model inputs'!AM13*1)="",FALSE,DATE(2029,6,1)=EDATE(DATE(2028,10,1),-'Model inputs'!AM13*1)),IF('Model inputs'!AI85="","",'Model inputs'!AI85),"")</f>
      </c>
    </row>
    <row r="3120">
      <c r="A3120" t="inlineStr" s="25">
        <is>
          <t xml:space="preserve">Calculation</t>
        </is>
      </c>
      <c r="B3120">
        <f>IF(IF(DATE(2029,7,1)=EDATE(DATE(2028,10,1),-'Model inputs'!AM13*1)="",FALSE,DATE(2029,7,1)=EDATE(DATE(2028,10,1),-'Model inputs'!AM13*1)),IF('Model inputs'!AJ85="","",'Model inputs'!AJ85),"")</f>
      </c>
    </row>
    <row r="3121">
      <c r="A3121" t="inlineStr" s="25">
        <is>
          <t xml:space="preserve">Calculation</t>
        </is>
      </c>
      <c r="B3121">
        <f>IF(IF(DATE(2029,8,1)=EDATE(DATE(2028,10,1),-'Model inputs'!AM13*1)="",FALSE,DATE(2029,8,1)=EDATE(DATE(2028,10,1),-'Model inputs'!AM13*1)),IF('Model inputs'!AK85="","",'Model inputs'!AK85),"")</f>
      </c>
    </row>
    <row r="3122">
      <c r="A3122" t="inlineStr" s="25">
        <is>
          <t xml:space="preserve">Calculation</t>
        </is>
      </c>
      <c r="B3122">
        <f>IF(IF(DATE(2029,9,1)=EDATE(DATE(2028,10,1),-'Model inputs'!AM13*1)="",FALSE,DATE(2029,9,1)=EDATE(DATE(2028,10,1),-'Model inputs'!AM13*1)),IF('Model inputs'!AL85="","",'Model inputs'!AL85),"")</f>
      </c>
    </row>
    <row r="3123">
      <c r="A3123" t="inlineStr" s="25">
        <is>
          <t xml:space="preserve">Calculation</t>
        </is>
      </c>
      <c r="B3123">
        <f>SUM(IF(IF('Model inputs'!B1743="",0,1)="",0,IF('Model inputs'!B1743="",0,1)),IF(IF('Model inputs'!B3087="",0,1)="",0,IF('Model inputs'!B3087="",0,1)),IF(IF('Model inputs'!B3088="",0,1)="",0,IF('Model inputs'!B3088="",0,1)),IF(IF('Model inputs'!B3089="",0,1)="",0,IF('Model inputs'!B3089="",0,1)),IF(IF('Model inputs'!B3090="",0,1)="",0,IF('Model inputs'!B3090="",0,1)),IF(IF('Model inputs'!B3091="",0,1)="",0,IF('Model inputs'!B3091="",0,1)),IF(IF('Model inputs'!B3092="",0,1)="",0,IF('Model inputs'!B3092="",0,1)),IF(IF('Model inputs'!B3093="",0,1)="",0,IF('Model inputs'!B3093="",0,1)),IF(IF('Model inputs'!B3094="",0,1)="",0,IF('Model inputs'!B3094="",0,1)),IF(IF('Model inputs'!B3095="",0,1)="",0,IF('Model inputs'!B3095="",0,1)),IF(IF('Model inputs'!B3096="",0,1)="",0,IF('Model inputs'!B3096="",0,1)),IF(IF('Model inputs'!B3097="",0,1)="",0,IF('Model inputs'!B3097="",0,1)),IF(IF('Model inputs'!B3098="",0,1)="",0,IF('Model inputs'!B3098="",0,1)),IF(IF('Model inputs'!B3099="",0,1)="",0,IF('Model inputs'!B3099="",0,1)),IF(IF('Model inputs'!B3100="",0,1)="",0,IF('Model inputs'!B3100="",0,1)),IF(IF('Model inputs'!B3101="",0,1)="",0,IF('Model inputs'!B3101="",0,1)),IF(IF('Model inputs'!B3102="",0,1)="",0,IF('Model inputs'!B3102="",0,1)),IF(IF('Model inputs'!B3103="",0,1)="",0,IF('Model inputs'!B3103="",0,1)),IF(IF('Model inputs'!B3104="",0,1)="",0,IF('Model inputs'!B3104="",0,1)),IF(IF('Model inputs'!B3105="",0,1)="",0,IF('Model inputs'!B3105="",0,1)),IF(IF('Model inputs'!B3106="",0,1)="",0,IF('Model inputs'!B3106="",0,1)),IF(IF('Model inputs'!B3107="",0,1)="",0,IF('Model inputs'!B3107="",0,1)),IF(IF('Model inputs'!B3108="",0,1)="",0,IF('Model inputs'!B3108="",0,1)),IF(IF('Model inputs'!B3109="",0,1)="",0,IF('Model inputs'!B3109="",0,1)),IF(IF('Model inputs'!B3110="",0,1)="",0,IF('Model inputs'!B3110="",0,1)),IF(IF('Model inputs'!B3111="",0,1)="",0,IF('Model inputs'!B3111="",0,1)),IF(IF('Model inputs'!B3112="",0,1)="",0,IF('Model inputs'!B3112="",0,1)),IF(IF('Model inputs'!B3113="",0,1)="",0,IF('Model inputs'!B3113="",0,1)),IF(IF('Model inputs'!B3114="",0,1)="",0,IF('Model inputs'!B3114="",0,1)),IF(IF('Model inputs'!B3115="",0,1)="",0,IF('Model inputs'!B3115="",0,1)),IF(IF('Model inputs'!B3116="",0,1)="",0,IF('Model inputs'!B3116="",0,1)),IF(IF('Model inputs'!B3117="",0,1)="",0,IF('Model inputs'!B3117="",0,1)),IF(IF('Model inputs'!B3118="",0,1)="",0,IF('Model inputs'!B3118="",0,1)),IF(IF('Model inputs'!B3119="",0,1)="",0,IF('Model inputs'!B3119="",0,1)),IF(IF('Model inputs'!B3120="",0,1)="",0,IF('Model inputs'!B3120="",0,1)),IF(IF('Model inputs'!B3121="",0,1)="",0,IF('Model inputs'!B3121="",0,1)),IF(IF('Model inputs'!B3122="",0,1)="",0,IF('Model inputs'!B3122="",0,1)))</f>
      </c>
    </row>
    <row r="3124">
      <c r="A3124" t="inlineStr" s="25">
        <is>
          <t xml:space="preserve">Calculation</t>
        </is>
      </c>
      <c r="B3124">
        <f>IF(IF(DATE(2026,10,1)=EDATE(DATE(2028,11,1),-'Model inputs'!AM13*1)="",FALSE,DATE(2026,10,1)=EDATE(DATE(2028,11,1),-'Model inputs'!AM13*1)),IF('Model inputs'!C85="","",'Model inputs'!C85),"")</f>
      </c>
    </row>
    <row r="3125">
      <c r="A3125" t="inlineStr" s="25">
        <is>
          <t xml:space="preserve">Calculation</t>
        </is>
      </c>
      <c r="B3125">
        <f>IF(IF(DATE(2026,11,1)=EDATE(DATE(2028,11,1),-'Model inputs'!AM13*1)="",FALSE,DATE(2026,11,1)=EDATE(DATE(2028,11,1),-'Model inputs'!AM13*1)),IF('Model inputs'!D85="","",'Model inputs'!D85),"")</f>
      </c>
    </row>
    <row r="3126">
      <c r="A3126" t="inlineStr" s="25">
        <is>
          <t xml:space="preserve">Calculation</t>
        </is>
      </c>
      <c r="B3126">
        <f>IF(IF(DATE(2026,12,1)=EDATE(DATE(2028,11,1),-'Model inputs'!AM13*1)="",FALSE,DATE(2026,12,1)=EDATE(DATE(2028,11,1),-'Model inputs'!AM13*1)),IF('Model inputs'!E85="","",'Model inputs'!E85),"")</f>
      </c>
    </row>
    <row r="3127">
      <c r="A3127" t="inlineStr" s="25">
        <is>
          <t xml:space="preserve">Calculation</t>
        </is>
      </c>
      <c r="B3127">
        <f>IF(IF(DATE(2027,1,1)=EDATE(DATE(2028,11,1),-'Model inputs'!AM13*1)="",FALSE,DATE(2027,1,1)=EDATE(DATE(2028,11,1),-'Model inputs'!AM13*1)),IF('Model inputs'!F85="","",'Model inputs'!F85),"")</f>
      </c>
    </row>
    <row r="3128">
      <c r="A3128" t="inlineStr" s="25">
        <is>
          <t xml:space="preserve">Calculation</t>
        </is>
      </c>
      <c r="B3128">
        <f>IF(IF(DATE(2027,2,1)=EDATE(DATE(2028,11,1),-'Model inputs'!AM13*1)="",FALSE,DATE(2027,2,1)=EDATE(DATE(2028,11,1),-'Model inputs'!AM13*1)),IF('Model inputs'!G85="","",'Model inputs'!G85),"")</f>
      </c>
    </row>
    <row r="3129">
      <c r="A3129" t="inlineStr" s="25">
        <is>
          <t xml:space="preserve">Calculation</t>
        </is>
      </c>
      <c r="B3129">
        <f>IF(IF(DATE(2027,3,1)=EDATE(DATE(2028,11,1),-'Model inputs'!AM13*1)="",FALSE,DATE(2027,3,1)=EDATE(DATE(2028,11,1),-'Model inputs'!AM13*1)),IF('Model inputs'!H85="","",'Model inputs'!H85),"")</f>
      </c>
    </row>
    <row r="3130">
      <c r="A3130" t="inlineStr" s="25">
        <is>
          <t xml:space="preserve">Calculation</t>
        </is>
      </c>
      <c r="B3130">
        <f>IF(IF(DATE(2027,4,1)=EDATE(DATE(2028,11,1),-'Model inputs'!AM13*1)="",FALSE,DATE(2027,4,1)=EDATE(DATE(2028,11,1),-'Model inputs'!AM13*1)),IF('Model inputs'!I85="","",'Model inputs'!I85),"")</f>
      </c>
    </row>
    <row r="3131">
      <c r="A3131" t="inlineStr" s="25">
        <is>
          <t xml:space="preserve">Calculation</t>
        </is>
      </c>
      <c r="B3131">
        <f>IF(IF(DATE(2027,5,1)=EDATE(DATE(2028,11,1),-'Model inputs'!AM13*1)="",FALSE,DATE(2027,5,1)=EDATE(DATE(2028,11,1),-'Model inputs'!AM13*1)),IF('Model inputs'!J85="","",'Model inputs'!J85),"")</f>
      </c>
    </row>
    <row r="3132">
      <c r="A3132" t="inlineStr" s="25">
        <is>
          <t xml:space="preserve">Calculation</t>
        </is>
      </c>
      <c r="B3132">
        <f>IF(IF(DATE(2027,6,1)=EDATE(DATE(2028,11,1),-'Model inputs'!AM13*1)="",FALSE,DATE(2027,6,1)=EDATE(DATE(2028,11,1),-'Model inputs'!AM13*1)),IF('Model inputs'!K85="","",'Model inputs'!K85),"")</f>
      </c>
    </row>
    <row r="3133">
      <c r="A3133" t="inlineStr" s="25">
        <is>
          <t xml:space="preserve">Calculation</t>
        </is>
      </c>
      <c r="B3133">
        <f>IF(IF(DATE(2027,7,1)=EDATE(DATE(2028,11,1),-'Model inputs'!AM13*1)="",FALSE,DATE(2027,7,1)=EDATE(DATE(2028,11,1),-'Model inputs'!AM13*1)),IF('Model inputs'!L85="","",'Model inputs'!L85),"")</f>
      </c>
    </row>
    <row r="3134">
      <c r="A3134" t="inlineStr" s="25">
        <is>
          <t xml:space="preserve">Calculation</t>
        </is>
      </c>
      <c r="B3134">
        <f>IF(IF(DATE(2027,8,1)=EDATE(DATE(2028,11,1),-'Model inputs'!AM13*1)="",FALSE,DATE(2027,8,1)=EDATE(DATE(2028,11,1),-'Model inputs'!AM13*1)),IF('Model inputs'!M85="","",'Model inputs'!M85),"")</f>
      </c>
    </row>
    <row r="3135">
      <c r="A3135" t="inlineStr" s="25">
        <is>
          <t xml:space="preserve">Calculation</t>
        </is>
      </c>
      <c r="B3135">
        <f>IF(IF(DATE(2027,9,1)=EDATE(DATE(2028,11,1),-'Model inputs'!AM13*1)="",FALSE,DATE(2027,9,1)=EDATE(DATE(2028,11,1),-'Model inputs'!AM13*1)),IF('Model inputs'!N85="","",'Model inputs'!N85),"")</f>
      </c>
    </row>
    <row r="3136">
      <c r="A3136" t="inlineStr" s="25">
        <is>
          <t xml:space="preserve">Calculation</t>
        </is>
      </c>
      <c r="B3136">
        <f>IF(IF(DATE(2027,10,1)=EDATE(DATE(2028,11,1),-'Model inputs'!AM13*1)="",FALSE,DATE(2027,10,1)=EDATE(DATE(2028,11,1),-'Model inputs'!AM13*1)),IF('Model inputs'!O85="","",'Model inputs'!O85),"")</f>
      </c>
    </row>
    <row r="3137">
      <c r="A3137" t="inlineStr" s="25">
        <is>
          <t xml:space="preserve">Calculation</t>
        </is>
      </c>
      <c r="B3137">
        <f>IF(IF(DATE(2027,11,1)=EDATE(DATE(2028,11,1),-'Model inputs'!AM13*1)="",FALSE,DATE(2027,11,1)=EDATE(DATE(2028,11,1),-'Model inputs'!AM13*1)),IF('Model inputs'!P85="","",'Model inputs'!P85),"")</f>
      </c>
    </row>
    <row r="3138">
      <c r="A3138" t="inlineStr" s="25">
        <is>
          <t xml:space="preserve">Calculation</t>
        </is>
      </c>
      <c r="B3138">
        <f>IF(IF(DATE(2027,12,1)=EDATE(DATE(2028,11,1),-'Model inputs'!AM13*1)="",FALSE,DATE(2027,12,1)=EDATE(DATE(2028,11,1),-'Model inputs'!AM13*1)),IF('Model inputs'!Q85="","",'Model inputs'!Q85),"")</f>
      </c>
    </row>
    <row r="3139">
      <c r="A3139" t="inlineStr" s="25">
        <is>
          <t xml:space="preserve">Calculation</t>
        </is>
      </c>
      <c r="B3139">
        <f>IF(IF(DATE(2028,1,1)=EDATE(DATE(2028,11,1),-'Model inputs'!AM13*1)="",FALSE,DATE(2028,1,1)=EDATE(DATE(2028,11,1),-'Model inputs'!AM13*1)),IF('Model inputs'!R85="","",'Model inputs'!R85),"")</f>
      </c>
    </row>
    <row r="3140">
      <c r="A3140" t="inlineStr" s="25">
        <is>
          <t xml:space="preserve">Calculation</t>
        </is>
      </c>
      <c r="B3140">
        <f>IF(IF(DATE(2028,2,1)=EDATE(DATE(2028,11,1),-'Model inputs'!AM13*1)="",FALSE,DATE(2028,2,1)=EDATE(DATE(2028,11,1),-'Model inputs'!AM13*1)),IF('Model inputs'!S85="","",'Model inputs'!S85),"")</f>
      </c>
    </row>
    <row r="3141">
      <c r="A3141" t="inlineStr" s="25">
        <is>
          <t xml:space="preserve">Calculation</t>
        </is>
      </c>
      <c r="B3141">
        <f>IF(IF(DATE(2028,3,1)=EDATE(DATE(2028,11,1),-'Model inputs'!AM13*1)="",FALSE,DATE(2028,3,1)=EDATE(DATE(2028,11,1),-'Model inputs'!AM13*1)),IF('Model inputs'!T85="","",'Model inputs'!T85),"")</f>
      </c>
    </row>
    <row r="3142">
      <c r="A3142" t="inlineStr" s="25">
        <is>
          <t xml:space="preserve">Calculation</t>
        </is>
      </c>
      <c r="B3142">
        <f>IF(IF(DATE(2028,4,1)=EDATE(DATE(2028,11,1),-'Model inputs'!AM13*1)="",FALSE,DATE(2028,4,1)=EDATE(DATE(2028,11,1),-'Model inputs'!AM13*1)),IF('Model inputs'!U85="","",'Model inputs'!U85),"")</f>
      </c>
    </row>
    <row r="3143">
      <c r="A3143" t="inlineStr" s="25">
        <is>
          <t xml:space="preserve">Calculation</t>
        </is>
      </c>
      <c r="B3143">
        <f>IF(IF(DATE(2028,5,1)=EDATE(DATE(2028,11,1),-'Model inputs'!AM13*1)="",FALSE,DATE(2028,5,1)=EDATE(DATE(2028,11,1),-'Model inputs'!AM13*1)),IF('Model inputs'!V85="","",'Model inputs'!V85),"")</f>
      </c>
    </row>
    <row r="3144">
      <c r="A3144" t="inlineStr" s="25">
        <is>
          <t xml:space="preserve">Calculation</t>
        </is>
      </c>
      <c r="B3144">
        <f>IF(IF(DATE(2028,6,1)=EDATE(DATE(2028,11,1),-'Model inputs'!AM13*1)="",FALSE,DATE(2028,6,1)=EDATE(DATE(2028,11,1),-'Model inputs'!AM13*1)),IF('Model inputs'!W85="","",'Model inputs'!W85),"")</f>
      </c>
    </row>
    <row r="3145">
      <c r="A3145" t="inlineStr" s="25">
        <is>
          <t xml:space="preserve">Calculation</t>
        </is>
      </c>
      <c r="B3145">
        <f>IF(IF(DATE(2028,7,1)=EDATE(DATE(2028,11,1),-'Model inputs'!AM13*1)="",FALSE,DATE(2028,7,1)=EDATE(DATE(2028,11,1),-'Model inputs'!AM13*1)),IF('Model inputs'!X85="","",'Model inputs'!X85),"")</f>
      </c>
    </row>
    <row r="3146">
      <c r="A3146" t="inlineStr" s="25">
        <is>
          <t xml:space="preserve">Calculation</t>
        </is>
      </c>
      <c r="B3146">
        <f>IF(IF(DATE(2028,8,1)=EDATE(DATE(2028,11,1),-'Model inputs'!AM13*1)="",FALSE,DATE(2028,8,1)=EDATE(DATE(2028,11,1),-'Model inputs'!AM13*1)),IF('Model inputs'!Y85="","",'Model inputs'!Y85),"")</f>
      </c>
    </row>
    <row r="3147">
      <c r="A3147" t="inlineStr" s="25">
        <is>
          <t xml:space="preserve">Calculation</t>
        </is>
      </c>
      <c r="B3147">
        <f>IF(IF(DATE(2028,9,1)=EDATE(DATE(2028,11,1),-'Model inputs'!AM13*1)="",FALSE,DATE(2028,9,1)=EDATE(DATE(2028,11,1),-'Model inputs'!AM13*1)),IF('Model inputs'!Z85="","",'Model inputs'!Z85),"")</f>
      </c>
    </row>
    <row r="3148">
      <c r="A3148" t="inlineStr" s="25">
        <is>
          <t xml:space="preserve">Calculation</t>
        </is>
      </c>
      <c r="B3148">
        <f>IF(IF(DATE(2028,10,1)=EDATE(DATE(2028,11,1),-'Model inputs'!AM13*1)="",FALSE,DATE(2028,10,1)=EDATE(DATE(2028,11,1),-'Model inputs'!AM13*1)),IF('Model inputs'!AA85="","",'Model inputs'!AA85),"")</f>
      </c>
    </row>
    <row r="3149">
      <c r="A3149" t="inlineStr" s="25">
        <is>
          <t xml:space="preserve">Calculation</t>
        </is>
      </c>
      <c r="B3149">
        <f>IF(IF(DATE(2028,11,1)=EDATE(DATE(2028,11,1),-'Model inputs'!AM13*1)="",FALSE,DATE(2028,11,1)=EDATE(DATE(2028,11,1),-'Model inputs'!AM13*1)),IF('Model inputs'!AB85="","",'Model inputs'!AB85),"")</f>
      </c>
    </row>
    <row r="3150">
      <c r="A3150" t="inlineStr" s="25">
        <is>
          <t xml:space="preserve">Calculation</t>
        </is>
      </c>
      <c r="B3150">
        <f>IF(IF(DATE(2028,12,1)=EDATE(DATE(2028,11,1),-'Model inputs'!AM13*1)="",FALSE,DATE(2028,12,1)=EDATE(DATE(2028,11,1),-'Model inputs'!AM13*1)),IF('Model inputs'!AC85="","",'Model inputs'!AC85),"")</f>
      </c>
    </row>
    <row r="3151">
      <c r="A3151" t="inlineStr" s="25">
        <is>
          <t xml:space="preserve">Calculation</t>
        </is>
      </c>
      <c r="B3151">
        <f>IF(IF(DATE(2029,1,1)=EDATE(DATE(2028,11,1),-'Model inputs'!AM13*1)="",FALSE,DATE(2029,1,1)=EDATE(DATE(2028,11,1),-'Model inputs'!AM13*1)),IF('Model inputs'!AD85="","",'Model inputs'!AD85),"")</f>
      </c>
    </row>
    <row r="3152">
      <c r="A3152" t="inlineStr" s="25">
        <is>
          <t xml:space="preserve">Calculation</t>
        </is>
      </c>
      <c r="B3152">
        <f>IF(IF(DATE(2029,2,1)=EDATE(DATE(2028,11,1),-'Model inputs'!AM13*1)="",FALSE,DATE(2029,2,1)=EDATE(DATE(2028,11,1),-'Model inputs'!AM13*1)),IF('Model inputs'!AE85="","",'Model inputs'!AE85),"")</f>
      </c>
    </row>
    <row r="3153">
      <c r="A3153" t="inlineStr" s="25">
        <is>
          <t xml:space="preserve">Calculation</t>
        </is>
      </c>
      <c r="B3153">
        <f>IF(IF(DATE(2029,3,1)=EDATE(DATE(2028,11,1),-'Model inputs'!AM13*1)="",FALSE,DATE(2029,3,1)=EDATE(DATE(2028,11,1),-'Model inputs'!AM13*1)),IF('Model inputs'!AF85="","",'Model inputs'!AF85),"")</f>
      </c>
    </row>
    <row r="3154">
      <c r="A3154" t="inlineStr" s="25">
        <is>
          <t xml:space="preserve">Calculation</t>
        </is>
      </c>
      <c r="B3154">
        <f>IF(IF(DATE(2029,4,1)=EDATE(DATE(2028,11,1),-'Model inputs'!AM13*1)="",FALSE,DATE(2029,4,1)=EDATE(DATE(2028,11,1),-'Model inputs'!AM13*1)),IF('Model inputs'!AG85="","",'Model inputs'!AG85),"")</f>
      </c>
    </row>
    <row r="3155">
      <c r="A3155" t="inlineStr" s="25">
        <is>
          <t xml:space="preserve">Calculation</t>
        </is>
      </c>
      <c r="B3155">
        <f>IF(IF(DATE(2029,5,1)=EDATE(DATE(2028,11,1),-'Model inputs'!AM13*1)="",FALSE,DATE(2029,5,1)=EDATE(DATE(2028,11,1),-'Model inputs'!AM13*1)),IF('Model inputs'!AH85="","",'Model inputs'!AH85),"")</f>
      </c>
    </row>
    <row r="3156">
      <c r="A3156" t="inlineStr" s="25">
        <is>
          <t xml:space="preserve">Calculation</t>
        </is>
      </c>
      <c r="B3156">
        <f>IF(IF(DATE(2029,6,1)=EDATE(DATE(2028,11,1),-'Model inputs'!AM13*1)="",FALSE,DATE(2029,6,1)=EDATE(DATE(2028,11,1),-'Model inputs'!AM13*1)),IF('Model inputs'!AI85="","",'Model inputs'!AI85),"")</f>
      </c>
    </row>
    <row r="3157">
      <c r="A3157" t="inlineStr" s="25">
        <is>
          <t xml:space="preserve">Calculation</t>
        </is>
      </c>
      <c r="B3157">
        <f>IF(IF(DATE(2029,7,1)=EDATE(DATE(2028,11,1),-'Model inputs'!AM13*1)="",FALSE,DATE(2029,7,1)=EDATE(DATE(2028,11,1),-'Model inputs'!AM13*1)),IF('Model inputs'!AJ85="","",'Model inputs'!AJ85),"")</f>
      </c>
    </row>
    <row r="3158">
      <c r="A3158" t="inlineStr" s="25">
        <is>
          <t xml:space="preserve">Calculation</t>
        </is>
      </c>
      <c r="B3158">
        <f>IF(IF(DATE(2029,8,1)=EDATE(DATE(2028,11,1),-'Model inputs'!AM13*1)="",FALSE,DATE(2029,8,1)=EDATE(DATE(2028,11,1),-'Model inputs'!AM13*1)),IF('Model inputs'!AK85="","",'Model inputs'!AK85),"")</f>
      </c>
    </row>
    <row r="3159">
      <c r="A3159" t="inlineStr" s="25">
        <is>
          <t xml:space="preserve">Calculation</t>
        </is>
      </c>
      <c r="B3159">
        <f>IF(IF(DATE(2029,9,1)=EDATE(DATE(2028,11,1),-'Model inputs'!AM13*1)="",FALSE,DATE(2029,9,1)=EDATE(DATE(2028,11,1),-'Model inputs'!AM13*1)),IF('Model inputs'!AL85="","",'Model inputs'!AL85),"")</f>
      </c>
    </row>
    <row r="3160">
      <c r="A3160" t="inlineStr" s="25">
        <is>
          <t xml:space="preserve">Calculation</t>
        </is>
      </c>
      <c r="B3160">
        <f>SUM(IF(IF('Model inputs'!B1781="",0,1)="",0,IF('Model inputs'!B1781="",0,1)),IF(IF('Model inputs'!B3124="",0,1)="",0,IF('Model inputs'!B3124="",0,1)),IF(IF('Model inputs'!B3125="",0,1)="",0,IF('Model inputs'!B3125="",0,1)),IF(IF('Model inputs'!B3126="",0,1)="",0,IF('Model inputs'!B3126="",0,1)),IF(IF('Model inputs'!B3127="",0,1)="",0,IF('Model inputs'!B3127="",0,1)),IF(IF('Model inputs'!B3128="",0,1)="",0,IF('Model inputs'!B3128="",0,1)),IF(IF('Model inputs'!B3129="",0,1)="",0,IF('Model inputs'!B3129="",0,1)),IF(IF('Model inputs'!B3130="",0,1)="",0,IF('Model inputs'!B3130="",0,1)),IF(IF('Model inputs'!B3131="",0,1)="",0,IF('Model inputs'!B3131="",0,1)),IF(IF('Model inputs'!B3132="",0,1)="",0,IF('Model inputs'!B3132="",0,1)),IF(IF('Model inputs'!B3133="",0,1)="",0,IF('Model inputs'!B3133="",0,1)),IF(IF('Model inputs'!B3134="",0,1)="",0,IF('Model inputs'!B3134="",0,1)),IF(IF('Model inputs'!B3135="",0,1)="",0,IF('Model inputs'!B3135="",0,1)),IF(IF('Model inputs'!B3136="",0,1)="",0,IF('Model inputs'!B3136="",0,1)),IF(IF('Model inputs'!B3137="",0,1)="",0,IF('Model inputs'!B3137="",0,1)),IF(IF('Model inputs'!B3138="",0,1)="",0,IF('Model inputs'!B3138="",0,1)),IF(IF('Model inputs'!B3139="",0,1)="",0,IF('Model inputs'!B3139="",0,1)),IF(IF('Model inputs'!B3140="",0,1)="",0,IF('Model inputs'!B3140="",0,1)),IF(IF('Model inputs'!B3141="",0,1)="",0,IF('Model inputs'!B3141="",0,1)),IF(IF('Model inputs'!B3142="",0,1)="",0,IF('Model inputs'!B3142="",0,1)),IF(IF('Model inputs'!B3143="",0,1)="",0,IF('Model inputs'!B3143="",0,1)),IF(IF('Model inputs'!B3144="",0,1)="",0,IF('Model inputs'!B3144="",0,1)),IF(IF('Model inputs'!B3145="",0,1)="",0,IF('Model inputs'!B3145="",0,1)),IF(IF('Model inputs'!B3146="",0,1)="",0,IF('Model inputs'!B3146="",0,1)),IF(IF('Model inputs'!B3147="",0,1)="",0,IF('Model inputs'!B3147="",0,1)),IF(IF('Model inputs'!B3148="",0,1)="",0,IF('Model inputs'!B3148="",0,1)),IF(IF('Model inputs'!B3149="",0,1)="",0,IF('Model inputs'!B3149="",0,1)),IF(IF('Model inputs'!B3150="",0,1)="",0,IF('Model inputs'!B3150="",0,1)),IF(IF('Model inputs'!B3151="",0,1)="",0,IF('Model inputs'!B3151="",0,1)),IF(IF('Model inputs'!B3152="",0,1)="",0,IF('Model inputs'!B3152="",0,1)),IF(IF('Model inputs'!B3153="",0,1)="",0,IF('Model inputs'!B3153="",0,1)),IF(IF('Model inputs'!B3154="",0,1)="",0,IF('Model inputs'!B3154="",0,1)),IF(IF('Model inputs'!B3155="",0,1)="",0,IF('Model inputs'!B3155="",0,1)),IF(IF('Model inputs'!B3156="",0,1)="",0,IF('Model inputs'!B3156="",0,1)),IF(IF('Model inputs'!B3157="",0,1)="",0,IF('Model inputs'!B3157="",0,1)),IF(IF('Model inputs'!B3158="",0,1)="",0,IF('Model inputs'!B3158="",0,1)),IF(IF('Model inputs'!B3159="",0,1)="",0,IF('Model inputs'!B3159="",0,1)))</f>
      </c>
    </row>
    <row r="3161">
      <c r="A3161" t="inlineStr" s="25">
        <is>
          <t xml:space="preserve">Calculation</t>
        </is>
      </c>
      <c r="B3161">
        <f>IF(IF(DATE(2026,10,1)=EDATE(DATE(2028,12,1),-'Model inputs'!AM13*1)="",FALSE,DATE(2026,10,1)=EDATE(DATE(2028,12,1),-'Model inputs'!AM13*1)),IF('Model inputs'!C85="","",'Model inputs'!C85),"")</f>
      </c>
    </row>
    <row r="3162">
      <c r="A3162" t="inlineStr" s="25">
        <is>
          <t xml:space="preserve">Calculation</t>
        </is>
      </c>
      <c r="B3162">
        <f>IF(IF(DATE(2026,11,1)=EDATE(DATE(2028,12,1),-'Model inputs'!AM13*1)="",FALSE,DATE(2026,11,1)=EDATE(DATE(2028,12,1),-'Model inputs'!AM13*1)),IF('Model inputs'!D85="","",'Model inputs'!D85),"")</f>
      </c>
    </row>
    <row r="3163">
      <c r="A3163" t="inlineStr" s="25">
        <is>
          <t xml:space="preserve">Calculation</t>
        </is>
      </c>
      <c r="B3163">
        <f>IF(IF(DATE(2026,12,1)=EDATE(DATE(2028,12,1),-'Model inputs'!AM13*1)="",FALSE,DATE(2026,12,1)=EDATE(DATE(2028,12,1),-'Model inputs'!AM13*1)),IF('Model inputs'!E85="","",'Model inputs'!E85),"")</f>
      </c>
    </row>
    <row r="3164">
      <c r="A3164" t="inlineStr" s="25">
        <is>
          <t xml:space="preserve">Calculation</t>
        </is>
      </c>
      <c r="B3164">
        <f>IF(IF(DATE(2027,1,1)=EDATE(DATE(2028,12,1),-'Model inputs'!AM13*1)="",FALSE,DATE(2027,1,1)=EDATE(DATE(2028,12,1),-'Model inputs'!AM13*1)),IF('Model inputs'!F85="","",'Model inputs'!F85),"")</f>
      </c>
    </row>
    <row r="3165">
      <c r="A3165" t="inlineStr" s="25">
        <is>
          <t xml:space="preserve">Calculation</t>
        </is>
      </c>
      <c r="B3165">
        <f>IF(IF(DATE(2027,2,1)=EDATE(DATE(2028,12,1),-'Model inputs'!AM13*1)="",FALSE,DATE(2027,2,1)=EDATE(DATE(2028,12,1),-'Model inputs'!AM13*1)),IF('Model inputs'!G85="","",'Model inputs'!G85),"")</f>
      </c>
    </row>
    <row r="3166">
      <c r="A3166" t="inlineStr" s="25">
        <is>
          <t xml:space="preserve">Calculation</t>
        </is>
      </c>
      <c r="B3166">
        <f>IF(IF(DATE(2027,3,1)=EDATE(DATE(2028,12,1),-'Model inputs'!AM13*1)="",FALSE,DATE(2027,3,1)=EDATE(DATE(2028,12,1),-'Model inputs'!AM13*1)),IF('Model inputs'!H85="","",'Model inputs'!H85),"")</f>
      </c>
    </row>
    <row r="3167">
      <c r="A3167" t="inlineStr" s="25">
        <is>
          <t xml:space="preserve">Calculation</t>
        </is>
      </c>
      <c r="B3167">
        <f>IF(IF(DATE(2027,4,1)=EDATE(DATE(2028,12,1),-'Model inputs'!AM13*1)="",FALSE,DATE(2027,4,1)=EDATE(DATE(2028,12,1),-'Model inputs'!AM13*1)),IF('Model inputs'!I85="","",'Model inputs'!I85),"")</f>
      </c>
    </row>
    <row r="3168">
      <c r="A3168" t="inlineStr" s="25">
        <is>
          <t xml:space="preserve">Calculation</t>
        </is>
      </c>
      <c r="B3168">
        <f>IF(IF(DATE(2027,5,1)=EDATE(DATE(2028,12,1),-'Model inputs'!AM13*1)="",FALSE,DATE(2027,5,1)=EDATE(DATE(2028,12,1),-'Model inputs'!AM13*1)),IF('Model inputs'!J85="","",'Model inputs'!J85),"")</f>
      </c>
    </row>
    <row r="3169">
      <c r="A3169" t="inlineStr" s="25">
        <is>
          <t xml:space="preserve">Calculation</t>
        </is>
      </c>
      <c r="B3169">
        <f>IF(IF(DATE(2027,6,1)=EDATE(DATE(2028,12,1),-'Model inputs'!AM13*1)="",FALSE,DATE(2027,6,1)=EDATE(DATE(2028,12,1),-'Model inputs'!AM13*1)),IF('Model inputs'!K85="","",'Model inputs'!K85),"")</f>
      </c>
    </row>
    <row r="3170">
      <c r="A3170" t="inlineStr" s="25">
        <is>
          <t xml:space="preserve">Calculation</t>
        </is>
      </c>
      <c r="B3170">
        <f>IF(IF(DATE(2027,7,1)=EDATE(DATE(2028,12,1),-'Model inputs'!AM13*1)="",FALSE,DATE(2027,7,1)=EDATE(DATE(2028,12,1),-'Model inputs'!AM13*1)),IF('Model inputs'!L85="","",'Model inputs'!L85),"")</f>
      </c>
    </row>
    <row r="3171">
      <c r="A3171" t="inlineStr" s="25">
        <is>
          <t xml:space="preserve">Calculation</t>
        </is>
      </c>
      <c r="B3171">
        <f>IF(IF(DATE(2027,8,1)=EDATE(DATE(2028,12,1),-'Model inputs'!AM13*1)="",FALSE,DATE(2027,8,1)=EDATE(DATE(2028,12,1),-'Model inputs'!AM13*1)),IF('Model inputs'!M85="","",'Model inputs'!M85),"")</f>
      </c>
    </row>
    <row r="3172">
      <c r="A3172" t="inlineStr" s="25">
        <is>
          <t xml:space="preserve">Calculation</t>
        </is>
      </c>
      <c r="B3172">
        <f>IF(IF(DATE(2027,9,1)=EDATE(DATE(2028,12,1),-'Model inputs'!AM13*1)="",FALSE,DATE(2027,9,1)=EDATE(DATE(2028,12,1),-'Model inputs'!AM13*1)),IF('Model inputs'!N85="","",'Model inputs'!N85),"")</f>
      </c>
    </row>
    <row r="3173">
      <c r="A3173" t="inlineStr" s="25">
        <is>
          <t xml:space="preserve">Calculation</t>
        </is>
      </c>
      <c r="B3173">
        <f>IF(IF(DATE(2027,10,1)=EDATE(DATE(2028,12,1),-'Model inputs'!AM13*1)="",FALSE,DATE(2027,10,1)=EDATE(DATE(2028,12,1),-'Model inputs'!AM13*1)),IF('Model inputs'!O85="","",'Model inputs'!O85),"")</f>
      </c>
    </row>
    <row r="3174">
      <c r="A3174" t="inlineStr" s="25">
        <is>
          <t xml:space="preserve">Calculation</t>
        </is>
      </c>
      <c r="B3174">
        <f>IF(IF(DATE(2027,11,1)=EDATE(DATE(2028,12,1),-'Model inputs'!AM13*1)="",FALSE,DATE(2027,11,1)=EDATE(DATE(2028,12,1),-'Model inputs'!AM13*1)),IF('Model inputs'!P85="","",'Model inputs'!P85),"")</f>
      </c>
    </row>
    <row r="3175">
      <c r="A3175" t="inlineStr" s="25">
        <is>
          <t xml:space="preserve">Calculation</t>
        </is>
      </c>
      <c r="B3175">
        <f>IF(IF(DATE(2027,12,1)=EDATE(DATE(2028,12,1),-'Model inputs'!AM13*1)="",FALSE,DATE(2027,12,1)=EDATE(DATE(2028,12,1),-'Model inputs'!AM13*1)),IF('Model inputs'!Q85="","",'Model inputs'!Q85),"")</f>
      </c>
    </row>
    <row r="3176">
      <c r="A3176" t="inlineStr" s="25">
        <is>
          <t xml:space="preserve">Calculation</t>
        </is>
      </c>
      <c r="B3176">
        <f>IF(IF(DATE(2028,1,1)=EDATE(DATE(2028,12,1),-'Model inputs'!AM13*1)="",FALSE,DATE(2028,1,1)=EDATE(DATE(2028,12,1),-'Model inputs'!AM13*1)),IF('Model inputs'!R85="","",'Model inputs'!R85),"")</f>
      </c>
    </row>
    <row r="3177">
      <c r="A3177" t="inlineStr" s="25">
        <is>
          <t xml:space="preserve">Calculation</t>
        </is>
      </c>
      <c r="B3177">
        <f>IF(IF(DATE(2028,2,1)=EDATE(DATE(2028,12,1),-'Model inputs'!AM13*1)="",FALSE,DATE(2028,2,1)=EDATE(DATE(2028,12,1),-'Model inputs'!AM13*1)),IF('Model inputs'!S85="","",'Model inputs'!S85),"")</f>
      </c>
    </row>
    <row r="3178">
      <c r="A3178" t="inlineStr" s="25">
        <is>
          <t xml:space="preserve">Calculation</t>
        </is>
      </c>
      <c r="B3178">
        <f>IF(IF(DATE(2028,3,1)=EDATE(DATE(2028,12,1),-'Model inputs'!AM13*1)="",FALSE,DATE(2028,3,1)=EDATE(DATE(2028,12,1),-'Model inputs'!AM13*1)),IF('Model inputs'!T85="","",'Model inputs'!T85),"")</f>
      </c>
    </row>
    <row r="3179">
      <c r="A3179" t="inlineStr" s="25">
        <is>
          <t xml:space="preserve">Calculation</t>
        </is>
      </c>
      <c r="B3179">
        <f>IF(IF(DATE(2028,4,1)=EDATE(DATE(2028,12,1),-'Model inputs'!AM13*1)="",FALSE,DATE(2028,4,1)=EDATE(DATE(2028,12,1),-'Model inputs'!AM13*1)),IF('Model inputs'!U85="","",'Model inputs'!U85),"")</f>
      </c>
    </row>
    <row r="3180">
      <c r="A3180" t="inlineStr" s="25">
        <is>
          <t xml:space="preserve">Calculation</t>
        </is>
      </c>
      <c r="B3180">
        <f>IF(IF(DATE(2028,5,1)=EDATE(DATE(2028,12,1),-'Model inputs'!AM13*1)="",FALSE,DATE(2028,5,1)=EDATE(DATE(2028,12,1),-'Model inputs'!AM13*1)),IF('Model inputs'!V85="","",'Model inputs'!V85),"")</f>
      </c>
    </row>
    <row r="3181">
      <c r="A3181" t="inlineStr" s="25">
        <is>
          <t xml:space="preserve">Calculation</t>
        </is>
      </c>
      <c r="B3181">
        <f>IF(IF(DATE(2028,6,1)=EDATE(DATE(2028,12,1),-'Model inputs'!AM13*1)="",FALSE,DATE(2028,6,1)=EDATE(DATE(2028,12,1),-'Model inputs'!AM13*1)),IF('Model inputs'!W85="","",'Model inputs'!W85),"")</f>
      </c>
    </row>
    <row r="3182">
      <c r="A3182" t="inlineStr" s="25">
        <is>
          <t xml:space="preserve">Calculation</t>
        </is>
      </c>
      <c r="B3182">
        <f>IF(IF(DATE(2028,7,1)=EDATE(DATE(2028,12,1),-'Model inputs'!AM13*1)="",FALSE,DATE(2028,7,1)=EDATE(DATE(2028,12,1),-'Model inputs'!AM13*1)),IF('Model inputs'!X85="","",'Model inputs'!X85),"")</f>
      </c>
    </row>
    <row r="3183">
      <c r="A3183" t="inlineStr" s="25">
        <is>
          <t xml:space="preserve">Calculation</t>
        </is>
      </c>
      <c r="B3183">
        <f>IF(IF(DATE(2028,8,1)=EDATE(DATE(2028,12,1),-'Model inputs'!AM13*1)="",FALSE,DATE(2028,8,1)=EDATE(DATE(2028,12,1),-'Model inputs'!AM13*1)),IF('Model inputs'!Y85="","",'Model inputs'!Y85),"")</f>
      </c>
    </row>
    <row r="3184">
      <c r="A3184" t="inlineStr" s="25">
        <is>
          <t xml:space="preserve">Calculation</t>
        </is>
      </c>
      <c r="B3184">
        <f>IF(IF(DATE(2028,9,1)=EDATE(DATE(2028,12,1),-'Model inputs'!AM13*1)="",FALSE,DATE(2028,9,1)=EDATE(DATE(2028,12,1),-'Model inputs'!AM13*1)),IF('Model inputs'!Z85="","",'Model inputs'!Z85),"")</f>
      </c>
    </row>
    <row r="3185">
      <c r="A3185" t="inlineStr" s="25">
        <is>
          <t xml:space="preserve">Calculation</t>
        </is>
      </c>
      <c r="B3185">
        <f>IF(IF(DATE(2028,10,1)=EDATE(DATE(2028,12,1),-'Model inputs'!AM13*1)="",FALSE,DATE(2028,10,1)=EDATE(DATE(2028,12,1),-'Model inputs'!AM13*1)),IF('Model inputs'!AA85="","",'Model inputs'!AA85),"")</f>
      </c>
    </row>
    <row r="3186">
      <c r="A3186" t="inlineStr" s="25">
        <is>
          <t xml:space="preserve">Calculation</t>
        </is>
      </c>
      <c r="B3186">
        <f>IF(IF(DATE(2028,11,1)=EDATE(DATE(2028,12,1),-'Model inputs'!AM13*1)="",FALSE,DATE(2028,11,1)=EDATE(DATE(2028,12,1),-'Model inputs'!AM13*1)),IF('Model inputs'!AB85="","",'Model inputs'!AB85),"")</f>
      </c>
    </row>
    <row r="3187">
      <c r="A3187" t="inlineStr" s="25">
        <is>
          <t xml:space="preserve">Calculation</t>
        </is>
      </c>
      <c r="B3187">
        <f>IF(IF(DATE(2028,12,1)=EDATE(DATE(2028,12,1),-'Model inputs'!AM13*1)="",FALSE,DATE(2028,12,1)=EDATE(DATE(2028,12,1),-'Model inputs'!AM13*1)),IF('Model inputs'!AC85="","",'Model inputs'!AC85),"")</f>
      </c>
    </row>
    <row r="3188">
      <c r="A3188" t="inlineStr" s="25">
        <is>
          <t xml:space="preserve">Calculation</t>
        </is>
      </c>
      <c r="B3188">
        <f>IF(IF(DATE(2029,1,1)=EDATE(DATE(2028,12,1),-'Model inputs'!AM13*1)="",FALSE,DATE(2029,1,1)=EDATE(DATE(2028,12,1),-'Model inputs'!AM13*1)),IF('Model inputs'!AD85="","",'Model inputs'!AD85),"")</f>
      </c>
    </row>
    <row r="3189">
      <c r="A3189" t="inlineStr" s="25">
        <is>
          <t xml:space="preserve">Calculation</t>
        </is>
      </c>
      <c r="B3189">
        <f>IF(IF(DATE(2029,2,1)=EDATE(DATE(2028,12,1),-'Model inputs'!AM13*1)="",FALSE,DATE(2029,2,1)=EDATE(DATE(2028,12,1),-'Model inputs'!AM13*1)),IF('Model inputs'!AE85="","",'Model inputs'!AE85),"")</f>
      </c>
    </row>
    <row r="3190">
      <c r="A3190" t="inlineStr" s="25">
        <is>
          <t xml:space="preserve">Calculation</t>
        </is>
      </c>
      <c r="B3190">
        <f>IF(IF(DATE(2029,3,1)=EDATE(DATE(2028,12,1),-'Model inputs'!AM13*1)="",FALSE,DATE(2029,3,1)=EDATE(DATE(2028,12,1),-'Model inputs'!AM13*1)),IF('Model inputs'!AF85="","",'Model inputs'!AF85),"")</f>
      </c>
    </row>
    <row r="3191">
      <c r="A3191" t="inlineStr" s="25">
        <is>
          <t xml:space="preserve">Calculation</t>
        </is>
      </c>
      <c r="B3191">
        <f>IF(IF(DATE(2029,4,1)=EDATE(DATE(2028,12,1),-'Model inputs'!AM13*1)="",FALSE,DATE(2029,4,1)=EDATE(DATE(2028,12,1),-'Model inputs'!AM13*1)),IF('Model inputs'!AG85="","",'Model inputs'!AG85),"")</f>
      </c>
    </row>
    <row r="3192">
      <c r="A3192" t="inlineStr" s="25">
        <is>
          <t xml:space="preserve">Calculation</t>
        </is>
      </c>
      <c r="B3192">
        <f>IF(IF(DATE(2029,5,1)=EDATE(DATE(2028,12,1),-'Model inputs'!AM13*1)="",FALSE,DATE(2029,5,1)=EDATE(DATE(2028,12,1),-'Model inputs'!AM13*1)),IF('Model inputs'!AH85="","",'Model inputs'!AH85),"")</f>
      </c>
    </row>
    <row r="3193">
      <c r="A3193" t="inlineStr" s="25">
        <is>
          <t xml:space="preserve">Calculation</t>
        </is>
      </c>
      <c r="B3193">
        <f>IF(IF(DATE(2029,6,1)=EDATE(DATE(2028,12,1),-'Model inputs'!AM13*1)="",FALSE,DATE(2029,6,1)=EDATE(DATE(2028,12,1),-'Model inputs'!AM13*1)),IF('Model inputs'!AI85="","",'Model inputs'!AI85),"")</f>
      </c>
    </row>
    <row r="3194">
      <c r="A3194" t="inlineStr" s="25">
        <is>
          <t xml:space="preserve">Calculation</t>
        </is>
      </c>
      <c r="B3194">
        <f>IF(IF(DATE(2029,7,1)=EDATE(DATE(2028,12,1),-'Model inputs'!AM13*1)="",FALSE,DATE(2029,7,1)=EDATE(DATE(2028,12,1),-'Model inputs'!AM13*1)),IF('Model inputs'!AJ85="","",'Model inputs'!AJ85),"")</f>
      </c>
    </row>
    <row r="3195">
      <c r="A3195" t="inlineStr" s="25">
        <is>
          <t xml:space="preserve">Calculation</t>
        </is>
      </c>
      <c r="B3195">
        <f>IF(IF(DATE(2029,8,1)=EDATE(DATE(2028,12,1),-'Model inputs'!AM13*1)="",FALSE,DATE(2029,8,1)=EDATE(DATE(2028,12,1),-'Model inputs'!AM13*1)),IF('Model inputs'!AK85="","",'Model inputs'!AK85),"")</f>
      </c>
    </row>
    <row r="3196">
      <c r="A3196" t="inlineStr" s="25">
        <is>
          <t xml:space="preserve">Calculation</t>
        </is>
      </c>
      <c r="B3196">
        <f>IF(IF(DATE(2029,9,1)=EDATE(DATE(2028,12,1),-'Model inputs'!AM13*1)="",FALSE,DATE(2029,9,1)=EDATE(DATE(2028,12,1),-'Model inputs'!AM13*1)),IF('Model inputs'!AL85="","",'Model inputs'!AL85),"")</f>
      </c>
    </row>
    <row r="3197">
      <c r="A3197" t="inlineStr" s="25">
        <is>
          <t xml:space="preserve">Calculation</t>
        </is>
      </c>
      <c r="B3197">
        <f>SUM(IF(IF('Model inputs'!B1819="",0,1)="",0,IF('Model inputs'!B1819="",0,1)),IF(IF('Model inputs'!B3161="",0,1)="",0,IF('Model inputs'!B3161="",0,1)),IF(IF('Model inputs'!B3162="",0,1)="",0,IF('Model inputs'!B3162="",0,1)),IF(IF('Model inputs'!B3163="",0,1)="",0,IF('Model inputs'!B3163="",0,1)),IF(IF('Model inputs'!B3164="",0,1)="",0,IF('Model inputs'!B3164="",0,1)),IF(IF('Model inputs'!B3165="",0,1)="",0,IF('Model inputs'!B3165="",0,1)),IF(IF('Model inputs'!B3166="",0,1)="",0,IF('Model inputs'!B3166="",0,1)),IF(IF('Model inputs'!B3167="",0,1)="",0,IF('Model inputs'!B3167="",0,1)),IF(IF('Model inputs'!B3168="",0,1)="",0,IF('Model inputs'!B3168="",0,1)),IF(IF('Model inputs'!B3169="",0,1)="",0,IF('Model inputs'!B3169="",0,1)),IF(IF('Model inputs'!B3170="",0,1)="",0,IF('Model inputs'!B3170="",0,1)),IF(IF('Model inputs'!B3171="",0,1)="",0,IF('Model inputs'!B3171="",0,1)),IF(IF('Model inputs'!B3172="",0,1)="",0,IF('Model inputs'!B3172="",0,1)),IF(IF('Model inputs'!B3173="",0,1)="",0,IF('Model inputs'!B3173="",0,1)),IF(IF('Model inputs'!B3174="",0,1)="",0,IF('Model inputs'!B3174="",0,1)),IF(IF('Model inputs'!B3175="",0,1)="",0,IF('Model inputs'!B3175="",0,1)),IF(IF('Model inputs'!B3176="",0,1)="",0,IF('Model inputs'!B3176="",0,1)),IF(IF('Model inputs'!B3177="",0,1)="",0,IF('Model inputs'!B3177="",0,1)),IF(IF('Model inputs'!B3178="",0,1)="",0,IF('Model inputs'!B3178="",0,1)),IF(IF('Model inputs'!B3179="",0,1)="",0,IF('Model inputs'!B3179="",0,1)),IF(IF('Model inputs'!B3180="",0,1)="",0,IF('Model inputs'!B3180="",0,1)),IF(IF('Model inputs'!B3181="",0,1)="",0,IF('Model inputs'!B3181="",0,1)),IF(IF('Model inputs'!B3182="",0,1)="",0,IF('Model inputs'!B3182="",0,1)),IF(IF('Model inputs'!B3183="",0,1)="",0,IF('Model inputs'!B3183="",0,1)),IF(IF('Model inputs'!B3184="",0,1)="",0,IF('Model inputs'!B3184="",0,1)),IF(IF('Model inputs'!B3185="",0,1)="",0,IF('Model inputs'!B3185="",0,1)),IF(IF('Model inputs'!B3186="",0,1)="",0,IF('Model inputs'!B3186="",0,1)),IF(IF('Model inputs'!B3187="",0,1)="",0,IF('Model inputs'!B3187="",0,1)),IF(IF('Model inputs'!B3188="",0,1)="",0,IF('Model inputs'!B3188="",0,1)),IF(IF('Model inputs'!B3189="",0,1)="",0,IF('Model inputs'!B3189="",0,1)),IF(IF('Model inputs'!B3190="",0,1)="",0,IF('Model inputs'!B3190="",0,1)),IF(IF('Model inputs'!B3191="",0,1)="",0,IF('Model inputs'!B3191="",0,1)),IF(IF('Model inputs'!B3192="",0,1)="",0,IF('Model inputs'!B3192="",0,1)),IF(IF('Model inputs'!B3193="",0,1)="",0,IF('Model inputs'!B3193="",0,1)),IF(IF('Model inputs'!B3194="",0,1)="",0,IF('Model inputs'!B3194="",0,1)),IF(IF('Model inputs'!B3195="",0,1)="",0,IF('Model inputs'!B3195="",0,1)),IF(IF('Model inputs'!B3196="",0,1)="",0,IF('Model inputs'!B3196="",0,1)))</f>
      </c>
    </row>
    <row r="3198">
      <c r="A3198" t="inlineStr" s="25">
        <is>
          <t xml:space="preserve">Calculation</t>
        </is>
      </c>
      <c r="B3198">
        <f>IF(IF(DATE(2026,10,1)=EDATE(DATE(2029,1,1),-'Model inputs'!AM13*1)="",FALSE,DATE(2026,10,1)=EDATE(DATE(2029,1,1),-'Model inputs'!AM13*1)),IF('Model inputs'!C85="","",'Model inputs'!C85),"")</f>
      </c>
    </row>
    <row r="3199">
      <c r="A3199" t="inlineStr" s="25">
        <is>
          <t xml:space="preserve">Calculation</t>
        </is>
      </c>
      <c r="B3199">
        <f>IF(IF(DATE(2026,11,1)=EDATE(DATE(2029,1,1),-'Model inputs'!AM13*1)="",FALSE,DATE(2026,11,1)=EDATE(DATE(2029,1,1),-'Model inputs'!AM13*1)),IF('Model inputs'!D85="","",'Model inputs'!D85),"")</f>
      </c>
    </row>
    <row r="3200">
      <c r="A3200" t="inlineStr" s="25">
        <is>
          <t xml:space="preserve">Calculation</t>
        </is>
      </c>
      <c r="B3200">
        <f>IF(IF(DATE(2026,12,1)=EDATE(DATE(2029,1,1),-'Model inputs'!AM13*1)="",FALSE,DATE(2026,12,1)=EDATE(DATE(2029,1,1),-'Model inputs'!AM13*1)),IF('Model inputs'!E85="","",'Model inputs'!E85),"")</f>
      </c>
    </row>
    <row r="3201">
      <c r="A3201" t="inlineStr" s="25">
        <is>
          <t xml:space="preserve">Calculation</t>
        </is>
      </c>
      <c r="B3201">
        <f>IF(IF(DATE(2027,1,1)=EDATE(DATE(2029,1,1),-'Model inputs'!AM13*1)="",FALSE,DATE(2027,1,1)=EDATE(DATE(2029,1,1),-'Model inputs'!AM13*1)),IF('Model inputs'!F85="","",'Model inputs'!F85),"")</f>
      </c>
    </row>
    <row r="3202">
      <c r="A3202" t="inlineStr" s="25">
        <is>
          <t xml:space="preserve">Calculation</t>
        </is>
      </c>
      <c r="B3202">
        <f>IF(IF(DATE(2027,2,1)=EDATE(DATE(2029,1,1),-'Model inputs'!AM13*1)="",FALSE,DATE(2027,2,1)=EDATE(DATE(2029,1,1),-'Model inputs'!AM13*1)),IF('Model inputs'!G85="","",'Model inputs'!G85),"")</f>
      </c>
    </row>
    <row r="3203">
      <c r="A3203" t="inlineStr" s="25">
        <is>
          <t xml:space="preserve">Calculation</t>
        </is>
      </c>
      <c r="B3203">
        <f>IF(IF(DATE(2027,3,1)=EDATE(DATE(2029,1,1),-'Model inputs'!AM13*1)="",FALSE,DATE(2027,3,1)=EDATE(DATE(2029,1,1),-'Model inputs'!AM13*1)),IF('Model inputs'!H85="","",'Model inputs'!H85),"")</f>
      </c>
    </row>
    <row r="3204">
      <c r="A3204" t="inlineStr" s="25">
        <is>
          <t xml:space="preserve">Calculation</t>
        </is>
      </c>
      <c r="B3204">
        <f>IF(IF(DATE(2027,4,1)=EDATE(DATE(2029,1,1),-'Model inputs'!AM13*1)="",FALSE,DATE(2027,4,1)=EDATE(DATE(2029,1,1),-'Model inputs'!AM13*1)),IF('Model inputs'!I85="","",'Model inputs'!I85),"")</f>
      </c>
    </row>
    <row r="3205">
      <c r="A3205" t="inlineStr" s="25">
        <is>
          <t xml:space="preserve">Calculation</t>
        </is>
      </c>
      <c r="B3205">
        <f>IF(IF(DATE(2027,5,1)=EDATE(DATE(2029,1,1),-'Model inputs'!AM13*1)="",FALSE,DATE(2027,5,1)=EDATE(DATE(2029,1,1),-'Model inputs'!AM13*1)),IF('Model inputs'!J85="","",'Model inputs'!J85),"")</f>
      </c>
    </row>
    <row r="3206">
      <c r="A3206" t="inlineStr" s="25">
        <is>
          <t xml:space="preserve">Calculation</t>
        </is>
      </c>
      <c r="B3206">
        <f>IF(IF(DATE(2027,6,1)=EDATE(DATE(2029,1,1),-'Model inputs'!AM13*1)="",FALSE,DATE(2027,6,1)=EDATE(DATE(2029,1,1),-'Model inputs'!AM13*1)),IF('Model inputs'!K85="","",'Model inputs'!K85),"")</f>
      </c>
    </row>
    <row r="3207">
      <c r="A3207" t="inlineStr" s="25">
        <is>
          <t xml:space="preserve">Calculation</t>
        </is>
      </c>
      <c r="B3207">
        <f>IF(IF(DATE(2027,7,1)=EDATE(DATE(2029,1,1),-'Model inputs'!AM13*1)="",FALSE,DATE(2027,7,1)=EDATE(DATE(2029,1,1),-'Model inputs'!AM13*1)),IF('Model inputs'!L85="","",'Model inputs'!L85),"")</f>
      </c>
    </row>
    <row r="3208">
      <c r="A3208" t="inlineStr" s="25">
        <is>
          <t xml:space="preserve">Calculation</t>
        </is>
      </c>
      <c r="B3208">
        <f>IF(IF(DATE(2027,8,1)=EDATE(DATE(2029,1,1),-'Model inputs'!AM13*1)="",FALSE,DATE(2027,8,1)=EDATE(DATE(2029,1,1),-'Model inputs'!AM13*1)),IF('Model inputs'!M85="","",'Model inputs'!M85),"")</f>
      </c>
    </row>
    <row r="3209">
      <c r="A3209" t="inlineStr" s="25">
        <is>
          <t xml:space="preserve">Calculation</t>
        </is>
      </c>
      <c r="B3209">
        <f>IF(IF(DATE(2027,9,1)=EDATE(DATE(2029,1,1),-'Model inputs'!AM13*1)="",FALSE,DATE(2027,9,1)=EDATE(DATE(2029,1,1),-'Model inputs'!AM13*1)),IF('Model inputs'!N85="","",'Model inputs'!N85),"")</f>
      </c>
    </row>
    <row r="3210">
      <c r="A3210" t="inlineStr" s="25">
        <is>
          <t xml:space="preserve">Calculation</t>
        </is>
      </c>
      <c r="B3210">
        <f>IF(IF(DATE(2027,10,1)=EDATE(DATE(2029,1,1),-'Model inputs'!AM13*1)="",FALSE,DATE(2027,10,1)=EDATE(DATE(2029,1,1),-'Model inputs'!AM13*1)),IF('Model inputs'!O85="","",'Model inputs'!O85),"")</f>
      </c>
    </row>
    <row r="3211">
      <c r="A3211" t="inlineStr" s="25">
        <is>
          <t xml:space="preserve">Calculation</t>
        </is>
      </c>
      <c r="B3211">
        <f>IF(IF(DATE(2027,11,1)=EDATE(DATE(2029,1,1),-'Model inputs'!AM13*1)="",FALSE,DATE(2027,11,1)=EDATE(DATE(2029,1,1),-'Model inputs'!AM13*1)),IF('Model inputs'!P85="","",'Model inputs'!P85),"")</f>
      </c>
    </row>
    <row r="3212">
      <c r="A3212" t="inlineStr" s="25">
        <is>
          <t xml:space="preserve">Calculation</t>
        </is>
      </c>
      <c r="B3212">
        <f>IF(IF(DATE(2027,12,1)=EDATE(DATE(2029,1,1),-'Model inputs'!AM13*1)="",FALSE,DATE(2027,12,1)=EDATE(DATE(2029,1,1),-'Model inputs'!AM13*1)),IF('Model inputs'!Q85="","",'Model inputs'!Q85),"")</f>
      </c>
    </row>
    <row r="3213">
      <c r="A3213" t="inlineStr" s="25">
        <is>
          <t xml:space="preserve">Calculation</t>
        </is>
      </c>
      <c r="B3213">
        <f>IF(IF(DATE(2028,1,1)=EDATE(DATE(2029,1,1),-'Model inputs'!AM13*1)="",FALSE,DATE(2028,1,1)=EDATE(DATE(2029,1,1),-'Model inputs'!AM13*1)),IF('Model inputs'!R85="","",'Model inputs'!R85),"")</f>
      </c>
    </row>
    <row r="3214">
      <c r="A3214" t="inlineStr" s="25">
        <is>
          <t xml:space="preserve">Calculation</t>
        </is>
      </c>
      <c r="B3214">
        <f>IF(IF(DATE(2028,2,1)=EDATE(DATE(2029,1,1),-'Model inputs'!AM13*1)="",FALSE,DATE(2028,2,1)=EDATE(DATE(2029,1,1),-'Model inputs'!AM13*1)),IF('Model inputs'!S85="","",'Model inputs'!S85),"")</f>
      </c>
    </row>
    <row r="3215">
      <c r="A3215" t="inlineStr" s="25">
        <is>
          <t xml:space="preserve">Calculation</t>
        </is>
      </c>
      <c r="B3215">
        <f>IF(IF(DATE(2028,3,1)=EDATE(DATE(2029,1,1),-'Model inputs'!AM13*1)="",FALSE,DATE(2028,3,1)=EDATE(DATE(2029,1,1),-'Model inputs'!AM13*1)),IF('Model inputs'!T85="","",'Model inputs'!T85),"")</f>
      </c>
    </row>
    <row r="3216">
      <c r="A3216" t="inlineStr" s="25">
        <is>
          <t xml:space="preserve">Calculation</t>
        </is>
      </c>
      <c r="B3216">
        <f>IF(IF(DATE(2028,4,1)=EDATE(DATE(2029,1,1),-'Model inputs'!AM13*1)="",FALSE,DATE(2028,4,1)=EDATE(DATE(2029,1,1),-'Model inputs'!AM13*1)),IF('Model inputs'!U85="","",'Model inputs'!U85),"")</f>
      </c>
    </row>
    <row r="3217">
      <c r="A3217" t="inlineStr" s="25">
        <is>
          <t xml:space="preserve">Calculation</t>
        </is>
      </c>
      <c r="B3217">
        <f>IF(IF(DATE(2028,5,1)=EDATE(DATE(2029,1,1),-'Model inputs'!AM13*1)="",FALSE,DATE(2028,5,1)=EDATE(DATE(2029,1,1),-'Model inputs'!AM13*1)),IF('Model inputs'!V85="","",'Model inputs'!V85),"")</f>
      </c>
    </row>
    <row r="3218">
      <c r="A3218" t="inlineStr" s="25">
        <is>
          <t xml:space="preserve">Calculation</t>
        </is>
      </c>
      <c r="B3218">
        <f>IF(IF(DATE(2028,6,1)=EDATE(DATE(2029,1,1),-'Model inputs'!AM13*1)="",FALSE,DATE(2028,6,1)=EDATE(DATE(2029,1,1),-'Model inputs'!AM13*1)),IF('Model inputs'!W85="","",'Model inputs'!W85),"")</f>
      </c>
    </row>
    <row r="3219">
      <c r="A3219" t="inlineStr" s="25">
        <is>
          <t xml:space="preserve">Calculation</t>
        </is>
      </c>
      <c r="B3219">
        <f>IF(IF(DATE(2028,7,1)=EDATE(DATE(2029,1,1),-'Model inputs'!AM13*1)="",FALSE,DATE(2028,7,1)=EDATE(DATE(2029,1,1),-'Model inputs'!AM13*1)),IF('Model inputs'!X85="","",'Model inputs'!X85),"")</f>
      </c>
    </row>
    <row r="3220">
      <c r="A3220" t="inlineStr" s="25">
        <is>
          <t xml:space="preserve">Calculation</t>
        </is>
      </c>
      <c r="B3220">
        <f>IF(IF(DATE(2028,8,1)=EDATE(DATE(2029,1,1),-'Model inputs'!AM13*1)="",FALSE,DATE(2028,8,1)=EDATE(DATE(2029,1,1),-'Model inputs'!AM13*1)),IF('Model inputs'!Y85="","",'Model inputs'!Y85),"")</f>
      </c>
    </row>
    <row r="3221">
      <c r="A3221" t="inlineStr" s="25">
        <is>
          <t xml:space="preserve">Calculation</t>
        </is>
      </c>
      <c r="B3221">
        <f>IF(IF(DATE(2028,9,1)=EDATE(DATE(2029,1,1),-'Model inputs'!AM13*1)="",FALSE,DATE(2028,9,1)=EDATE(DATE(2029,1,1),-'Model inputs'!AM13*1)),IF('Model inputs'!Z85="","",'Model inputs'!Z85),"")</f>
      </c>
    </row>
    <row r="3222">
      <c r="A3222" t="inlineStr" s="25">
        <is>
          <t xml:space="preserve">Calculation</t>
        </is>
      </c>
      <c r="B3222">
        <f>IF(IF(DATE(2028,10,1)=EDATE(DATE(2029,1,1),-'Model inputs'!AM13*1)="",FALSE,DATE(2028,10,1)=EDATE(DATE(2029,1,1),-'Model inputs'!AM13*1)),IF('Model inputs'!AA85="","",'Model inputs'!AA85),"")</f>
      </c>
    </row>
    <row r="3223">
      <c r="A3223" t="inlineStr" s="25">
        <is>
          <t xml:space="preserve">Calculation</t>
        </is>
      </c>
      <c r="B3223">
        <f>IF(IF(DATE(2028,11,1)=EDATE(DATE(2029,1,1),-'Model inputs'!AM13*1)="",FALSE,DATE(2028,11,1)=EDATE(DATE(2029,1,1),-'Model inputs'!AM13*1)),IF('Model inputs'!AB85="","",'Model inputs'!AB85),"")</f>
      </c>
    </row>
    <row r="3224">
      <c r="A3224" t="inlineStr" s="25">
        <is>
          <t xml:space="preserve">Calculation</t>
        </is>
      </c>
      <c r="B3224">
        <f>IF(IF(DATE(2028,12,1)=EDATE(DATE(2029,1,1),-'Model inputs'!AM13*1)="",FALSE,DATE(2028,12,1)=EDATE(DATE(2029,1,1),-'Model inputs'!AM13*1)),IF('Model inputs'!AC85="","",'Model inputs'!AC85),"")</f>
      </c>
    </row>
    <row r="3225">
      <c r="A3225" t="inlineStr" s="25">
        <is>
          <t xml:space="preserve">Calculation</t>
        </is>
      </c>
      <c r="B3225">
        <f>IF(IF(DATE(2029,1,1)=EDATE(DATE(2029,1,1),-'Model inputs'!AM13*1)="",FALSE,DATE(2029,1,1)=EDATE(DATE(2029,1,1),-'Model inputs'!AM13*1)),IF('Model inputs'!AD85="","",'Model inputs'!AD85),"")</f>
      </c>
    </row>
    <row r="3226">
      <c r="A3226" t="inlineStr" s="25">
        <is>
          <t xml:space="preserve">Calculation</t>
        </is>
      </c>
      <c r="B3226">
        <f>IF(IF(DATE(2029,2,1)=EDATE(DATE(2029,1,1),-'Model inputs'!AM13*1)="",FALSE,DATE(2029,2,1)=EDATE(DATE(2029,1,1),-'Model inputs'!AM13*1)),IF('Model inputs'!AE85="","",'Model inputs'!AE85),"")</f>
      </c>
    </row>
    <row r="3227">
      <c r="A3227" t="inlineStr" s="25">
        <is>
          <t xml:space="preserve">Calculation</t>
        </is>
      </c>
      <c r="B3227">
        <f>IF(IF(DATE(2029,3,1)=EDATE(DATE(2029,1,1),-'Model inputs'!AM13*1)="",FALSE,DATE(2029,3,1)=EDATE(DATE(2029,1,1),-'Model inputs'!AM13*1)),IF('Model inputs'!AF85="","",'Model inputs'!AF85),"")</f>
      </c>
    </row>
    <row r="3228">
      <c r="A3228" t="inlineStr" s="25">
        <is>
          <t xml:space="preserve">Calculation</t>
        </is>
      </c>
      <c r="B3228">
        <f>IF(IF(DATE(2029,4,1)=EDATE(DATE(2029,1,1),-'Model inputs'!AM13*1)="",FALSE,DATE(2029,4,1)=EDATE(DATE(2029,1,1),-'Model inputs'!AM13*1)),IF('Model inputs'!AG85="","",'Model inputs'!AG85),"")</f>
      </c>
    </row>
    <row r="3229">
      <c r="A3229" t="inlineStr" s="25">
        <is>
          <t xml:space="preserve">Calculation</t>
        </is>
      </c>
      <c r="B3229">
        <f>IF(IF(DATE(2029,5,1)=EDATE(DATE(2029,1,1),-'Model inputs'!AM13*1)="",FALSE,DATE(2029,5,1)=EDATE(DATE(2029,1,1),-'Model inputs'!AM13*1)),IF('Model inputs'!AH85="","",'Model inputs'!AH85),"")</f>
      </c>
    </row>
    <row r="3230">
      <c r="A3230" t="inlineStr" s="25">
        <is>
          <t xml:space="preserve">Calculation</t>
        </is>
      </c>
      <c r="B3230">
        <f>IF(IF(DATE(2029,6,1)=EDATE(DATE(2029,1,1),-'Model inputs'!AM13*1)="",FALSE,DATE(2029,6,1)=EDATE(DATE(2029,1,1),-'Model inputs'!AM13*1)),IF('Model inputs'!AI85="","",'Model inputs'!AI85),"")</f>
      </c>
    </row>
    <row r="3231">
      <c r="A3231" t="inlineStr" s="25">
        <is>
          <t xml:space="preserve">Calculation</t>
        </is>
      </c>
      <c r="B3231">
        <f>IF(IF(DATE(2029,7,1)=EDATE(DATE(2029,1,1),-'Model inputs'!AM13*1)="",FALSE,DATE(2029,7,1)=EDATE(DATE(2029,1,1),-'Model inputs'!AM13*1)),IF('Model inputs'!AJ85="","",'Model inputs'!AJ85),"")</f>
      </c>
    </row>
    <row r="3232">
      <c r="A3232" t="inlineStr" s="25">
        <is>
          <t xml:space="preserve">Calculation</t>
        </is>
      </c>
      <c r="B3232">
        <f>IF(IF(DATE(2029,8,1)=EDATE(DATE(2029,1,1),-'Model inputs'!AM13*1)="",FALSE,DATE(2029,8,1)=EDATE(DATE(2029,1,1),-'Model inputs'!AM13*1)),IF('Model inputs'!AK85="","",'Model inputs'!AK85),"")</f>
      </c>
    </row>
    <row r="3233">
      <c r="A3233" t="inlineStr" s="25">
        <is>
          <t xml:space="preserve">Calculation</t>
        </is>
      </c>
      <c r="B3233">
        <f>IF(IF(DATE(2029,9,1)=EDATE(DATE(2029,1,1),-'Model inputs'!AM13*1)="",FALSE,DATE(2029,9,1)=EDATE(DATE(2029,1,1),-'Model inputs'!AM13*1)),IF('Model inputs'!AL85="","",'Model inputs'!AL85),"")</f>
      </c>
    </row>
    <row r="3234">
      <c r="A3234" t="inlineStr" s="25">
        <is>
          <t xml:space="preserve">Calculation</t>
        </is>
      </c>
      <c r="B3234">
        <f>SUM(IF(IF('Model inputs'!B1857="",0,1)="",0,IF('Model inputs'!B1857="",0,1)),IF(IF('Model inputs'!B3198="",0,1)="",0,IF('Model inputs'!B3198="",0,1)),IF(IF('Model inputs'!B3199="",0,1)="",0,IF('Model inputs'!B3199="",0,1)),IF(IF('Model inputs'!B3200="",0,1)="",0,IF('Model inputs'!B3200="",0,1)),IF(IF('Model inputs'!B3201="",0,1)="",0,IF('Model inputs'!B3201="",0,1)),IF(IF('Model inputs'!B3202="",0,1)="",0,IF('Model inputs'!B3202="",0,1)),IF(IF('Model inputs'!B3203="",0,1)="",0,IF('Model inputs'!B3203="",0,1)),IF(IF('Model inputs'!B3204="",0,1)="",0,IF('Model inputs'!B3204="",0,1)),IF(IF('Model inputs'!B3205="",0,1)="",0,IF('Model inputs'!B3205="",0,1)),IF(IF('Model inputs'!B3206="",0,1)="",0,IF('Model inputs'!B3206="",0,1)),IF(IF('Model inputs'!B3207="",0,1)="",0,IF('Model inputs'!B3207="",0,1)),IF(IF('Model inputs'!B3208="",0,1)="",0,IF('Model inputs'!B3208="",0,1)),IF(IF('Model inputs'!B3209="",0,1)="",0,IF('Model inputs'!B3209="",0,1)),IF(IF('Model inputs'!B3210="",0,1)="",0,IF('Model inputs'!B3210="",0,1)),IF(IF('Model inputs'!B3211="",0,1)="",0,IF('Model inputs'!B3211="",0,1)),IF(IF('Model inputs'!B3212="",0,1)="",0,IF('Model inputs'!B3212="",0,1)),IF(IF('Model inputs'!B3213="",0,1)="",0,IF('Model inputs'!B3213="",0,1)),IF(IF('Model inputs'!B3214="",0,1)="",0,IF('Model inputs'!B3214="",0,1)),IF(IF('Model inputs'!B3215="",0,1)="",0,IF('Model inputs'!B3215="",0,1)),IF(IF('Model inputs'!B3216="",0,1)="",0,IF('Model inputs'!B3216="",0,1)),IF(IF('Model inputs'!B3217="",0,1)="",0,IF('Model inputs'!B3217="",0,1)),IF(IF('Model inputs'!B3218="",0,1)="",0,IF('Model inputs'!B3218="",0,1)),IF(IF('Model inputs'!B3219="",0,1)="",0,IF('Model inputs'!B3219="",0,1)),IF(IF('Model inputs'!B3220="",0,1)="",0,IF('Model inputs'!B3220="",0,1)),IF(IF('Model inputs'!B3221="",0,1)="",0,IF('Model inputs'!B3221="",0,1)),IF(IF('Model inputs'!B3222="",0,1)="",0,IF('Model inputs'!B3222="",0,1)),IF(IF('Model inputs'!B3223="",0,1)="",0,IF('Model inputs'!B3223="",0,1)),IF(IF('Model inputs'!B3224="",0,1)="",0,IF('Model inputs'!B3224="",0,1)),IF(IF('Model inputs'!B3225="",0,1)="",0,IF('Model inputs'!B3225="",0,1)),IF(IF('Model inputs'!B3226="",0,1)="",0,IF('Model inputs'!B3226="",0,1)),IF(IF('Model inputs'!B3227="",0,1)="",0,IF('Model inputs'!B3227="",0,1)),IF(IF('Model inputs'!B3228="",0,1)="",0,IF('Model inputs'!B3228="",0,1)),IF(IF('Model inputs'!B3229="",0,1)="",0,IF('Model inputs'!B3229="",0,1)),IF(IF('Model inputs'!B3230="",0,1)="",0,IF('Model inputs'!B3230="",0,1)),IF(IF('Model inputs'!B3231="",0,1)="",0,IF('Model inputs'!B3231="",0,1)),IF(IF('Model inputs'!B3232="",0,1)="",0,IF('Model inputs'!B3232="",0,1)),IF(IF('Model inputs'!B3233="",0,1)="",0,IF('Model inputs'!B3233="",0,1)))</f>
      </c>
    </row>
    <row r="3235">
      <c r="A3235" t="inlineStr" s="25">
        <is>
          <t xml:space="preserve">Calculation</t>
        </is>
      </c>
      <c r="B3235">
        <f>IF(IF(DATE(2026,10,1)=EDATE(DATE(2029,2,1),-'Model inputs'!AM13*1)="",FALSE,DATE(2026,10,1)=EDATE(DATE(2029,2,1),-'Model inputs'!AM13*1)),IF('Model inputs'!C85="","",'Model inputs'!C85),"")</f>
      </c>
    </row>
    <row r="3236">
      <c r="A3236" t="inlineStr" s="25">
        <is>
          <t xml:space="preserve">Calculation</t>
        </is>
      </c>
      <c r="B3236">
        <f>IF(IF(DATE(2026,11,1)=EDATE(DATE(2029,2,1),-'Model inputs'!AM13*1)="",FALSE,DATE(2026,11,1)=EDATE(DATE(2029,2,1),-'Model inputs'!AM13*1)),IF('Model inputs'!D85="","",'Model inputs'!D85),"")</f>
      </c>
    </row>
    <row r="3237">
      <c r="A3237" t="inlineStr" s="25">
        <is>
          <t xml:space="preserve">Calculation</t>
        </is>
      </c>
      <c r="B3237">
        <f>IF(IF(DATE(2026,12,1)=EDATE(DATE(2029,2,1),-'Model inputs'!AM13*1)="",FALSE,DATE(2026,12,1)=EDATE(DATE(2029,2,1),-'Model inputs'!AM13*1)),IF('Model inputs'!E85="","",'Model inputs'!E85),"")</f>
      </c>
    </row>
    <row r="3238">
      <c r="A3238" t="inlineStr" s="25">
        <is>
          <t xml:space="preserve">Calculation</t>
        </is>
      </c>
      <c r="B3238">
        <f>IF(IF(DATE(2027,1,1)=EDATE(DATE(2029,2,1),-'Model inputs'!AM13*1)="",FALSE,DATE(2027,1,1)=EDATE(DATE(2029,2,1),-'Model inputs'!AM13*1)),IF('Model inputs'!F85="","",'Model inputs'!F85),"")</f>
      </c>
    </row>
    <row r="3239">
      <c r="A3239" t="inlineStr" s="25">
        <is>
          <t xml:space="preserve">Calculation</t>
        </is>
      </c>
      <c r="B3239">
        <f>IF(IF(DATE(2027,2,1)=EDATE(DATE(2029,2,1),-'Model inputs'!AM13*1)="",FALSE,DATE(2027,2,1)=EDATE(DATE(2029,2,1),-'Model inputs'!AM13*1)),IF('Model inputs'!G85="","",'Model inputs'!G85),"")</f>
      </c>
    </row>
    <row r="3240">
      <c r="A3240" t="inlineStr" s="25">
        <is>
          <t xml:space="preserve">Calculation</t>
        </is>
      </c>
      <c r="B3240">
        <f>IF(IF(DATE(2027,3,1)=EDATE(DATE(2029,2,1),-'Model inputs'!AM13*1)="",FALSE,DATE(2027,3,1)=EDATE(DATE(2029,2,1),-'Model inputs'!AM13*1)),IF('Model inputs'!H85="","",'Model inputs'!H85),"")</f>
      </c>
    </row>
    <row r="3241">
      <c r="A3241" t="inlineStr" s="25">
        <is>
          <t xml:space="preserve">Calculation</t>
        </is>
      </c>
      <c r="B3241">
        <f>IF(IF(DATE(2027,4,1)=EDATE(DATE(2029,2,1),-'Model inputs'!AM13*1)="",FALSE,DATE(2027,4,1)=EDATE(DATE(2029,2,1),-'Model inputs'!AM13*1)),IF('Model inputs'!I85="","",'Model inputs'!I85),"")</f>
      </c>
    </row>
    <row r="3242">
      <c r="A3242" t="inlineStr" s="25">
        <is>
          <t xml:space="preserve">Calculation</t>
        </is>
      </c>
      <c r="B3242">
        <f>IF(IF(DATE(2027,5,1)=EDATE(DATE(2029,2,1),-'Model inputs'!AM13*1)="",FALSE,DATE(2027,5,1)=EDATE(DATE(2029,2,1),-'Model inputs'!AM13*1)),IF('Model inputs'!J85="","",'Model inputs'!J85),"")</f>
      </c>
    </row>
    <row r="3243">
      <c r="A3243" t="inlineStr" s="25">
        <is>
          <t xml:space="preserve">Calculation</t>
        </is>
      </c>
      <c r="B3243">
        <f>IF(IF(DATE(2027,6,1)=EDATE(DATE(2029,2,1),-'Model inputs'!AM13*1)="",FALSE,DATE(2027,6,1)=EDATE(DATE(2029,2,1),-'Model inputs'!AM13*1)),IF('Model inputs'!K85="","",'Model inputs'!K85),"")</f>
      </c>
    </row>
    <row r="3244">
      <c r="A3244" t="inlineStr" s="25">
        <is>
          <t xml:space="preserve">Calculation</t>
        </is>
      </c>
      <c r="B3244">
        <f>IF(IF(DATE(2027,7,1)=EDATE(DATE(2029,2,1),-'Model inputs'!AM13*1)="",FALSE,DATE(2027,7,1)=EDATE(DATE(2029,2,1),-'Model inputs'!AM13*1)),IF('Model inputs'!L85="","",'Model inputs'!L85),"")</f>
      </c>
    </row>
    <row r="3245">
      <c r="A3245" t="inlineStr" s="25">
        <is>
          <t xml:space="preserve">Calculation</t>
        </is>
      </c>
      <c r="B3245">
        <f>IF(IF(DATE(2027,8,1)=EDATE(DATE(2029,2,1),-'Model inputs'!AM13*1)="",FALSE,DATE(2027,8,1)=EDATE(DATE(2029,2,1),-'Model inputs'!AM13*1)),IF('Model inputs'!M85="","",'Model inputs'!M85),"")</f>
      </c>
    </row>
    <row r="3246">
      <c r="A3246" t="inlineStr" s="25">
        <is>
          <t xml:space="preserve">Calculation</t>
        </is>
      </c>
      <c r="B3246">
        <f>IF(IF(DATE(2027,9,1)=EDATE(DATE(2029,2,1),-'Model inputs'!AM13*1)="",FALSE,DATE(2027,9,1)=EDATE(DATE(2029,2,1),-'Model inputs'!AM13*1)),IF('Model inputs'!N85="","",'Model inputs'!N85),"")</f>
      </c>
    </row>
    <row r="3247">
      <c r="A3247" t="inlineStr" s="25">
        <is>
          <t xml:space="preserve">Calculation</t>
        </is>
      </c>
      <c r="B3247">
        <f>IF(IF(DATE(2027,10,1)=EDATE(DATE(2029,2,1),-'Model inputs'!AM13*1)="",FALSE,DATE(2027,10,1)=EDATE(DATE(2029,2,1),-'Model inputs'!AM13*1)),IF('Model inputs'!O85="","",'Model inputs'!O85),"")</f>
      </c>
    </row>
    <row r="3248">
      <c r="A3248" t="inlineStr" s="25">
        <is>
          <t xml:space="preserve">Calculation</t>
        </is>
      </c>
      <c r="B3248">
        <f>IF(IF(DATE(2027,11,1)=EDATE(DATE(2029,2,1),-'Model inputs'!AM13*1)="",FALSE,DATE(2027,11,1)=EDATE(DATE(2029,2,1),-'Model inputs'!AM13*1)),IF('Model inputs'!P85="","",'Model inputs'!P85),"")</f>
      </c>
    </row>
    <row r="3249">
      <c r="A3249" t="inlineStr" s="25">
        <is>
          <t xml:space="preserve">Calculation</t>
        </is>
      </c>
      <c r="B3249">
        <f>IF(IF(DATE(2027,12,1)=EDATE(DATE(2029,2,1),-'Model inputs'!AM13*1)="",FALSE,DATE(2027,12,1)=EDATE(DATE(2029,2,1),-'Model inputs'!AM13*1)),IF('Model inputs'!Q85="","",'Model inputs'!Q85),"")</f>
      </c>
    </row>
    <row r="3250">
      <c r="A3250" t="inlineStr" s="25">
        <is>
          <t xml:space="preserve">Calculation</t>
        </is>
      </c>
      <c r="B3250">
        <f>IF(IF(DATE(2028,1,1)=EDATE(DATE(2029,2,1),-'Model inputs'!AM13*1)="",FALSE,DATE(2028,1,1)=EDATE(DATE(2029,2,1),-'Model inputs'!AM13*1)),IF('Model inputs'!R85="","",'Model inputs'!R85),"")</f>
      </c>
    </row>
    <row r="3251">
      <c r="A3251" t="inlineStr" s="25">
        <is>
          <t xml:space="preserve">Calculation</t>
        </is>
      </c>
      <c r="B3251">
        <f>IF(IF(DATE(2028,2,1)=EDATE(DATE(2029,2,1),-'Model inputs'!AM13*1)="",FALSE,DATE(2028,2,1)=EDATE(DATE(2029,2,1),-'Model inputs'!AM13*1)),IF('Model inputs'!S85="","",'Model inputs'!S85),"")</f>
      </c>
    </row>
    <row r="3252">
      <c r="A3252" t="inlineStr" s="25">
        <is>
          <t xml:space="preserve">Calculation</t>
        </is>
      </c>
      <c r="B3252">
        <f>IF(IF(DATE(2028,3,1)=EDATE(DATE(2029,2,1),-'Model inputs'!AM13*1)="",FALSE,DATE(2028,3,1)=EDATE(DATE(2029,2,1),-'Model inputs'!AM13*1)),IF('Model inputs'!T85="","",'Model inputs'!T85),"")</f>
      </c>
    </row>
    <row r="3253">
      <c r="A3253" t="inlineStr" s="25">
        <is>
          <t xml:space="preserve">Calculation</t>
        </is>
      </c>
      <c r="B3253">
        <f>IF(IF(DATE(2028,4,1)=EDATE(DATE(2029,2,1),-'Model inputs'!AM13*1)="",FALSE,DATE(2028,4,1)=EDATE(DATE(2029,2,1),-'Model inputs'!AM13*1)),IF('Model inputs'!U85="","",'Model inputs'!U85),"")</f>
      </c>
    </row>
    <row r="3254">
      <c r="A3254" t="inlineStr" s="25">
        <is>
          <t xml:space="preserve">Calculation</t>
        </is>
      </c>
      <c r="B3254">
        <f>IF(IF(DATE(2028,5,1)=EDATE(DATE(2029,2,1),-'Model inputs'!AM13*1)="",FALSE,DATE(2028,5,1)=EDATE(DATE(2029,2,1),-'Model inputs'!AM13*1)),IF('Model inputs'!V85="","",'Model inputs'!V85),"")</f>
      </c>
    </row>
    <row r="3255">
      <c r="A3255" t="inlineStr" s="25">
        <is>
          <t xml:space="preserve">Calculation</t>
        </is>
      </c>
      <c r="B3255">
        <f>IF(IF(DATE(2028,6,1)=EDATE(DATE(2029,2,1),-'Model inputs'!AM13*1)="",FALSE,DATE(2028,6,1)=EDATE(DATE(2029,2,1),-'Model inputs'!AM13*1)),IF('Model inputs'!W85="","",'Model inputs'!W85),"")</f>
      </c>
    </row>
    <row r="3256">
      <c r="A3256" t="inlineStr" s="25">
        <is>
          <t xml:space="preserve">Calculation</t>
        </is>
      </c>
      <c r="B3256">
        <f>IF(IF(DATE(2028,7,1)=EDATE(DATE(2029,2,1),-'Model inputs'!AM13*1)="",FALSE,DATE(2028,7,1)=EDATE(DATE(2029,2,1),-'Model inputs'!AM13*1)),IF('Model inputs'!X85="","",'Model inputs'!X85),"")</f>
      </c>
    </row>
    <row r="3257">
      <c r="A3257" t="inlineStr" s="25">
        <is>
          <t xml:space="preserve">Calculation</t>
        </is>
      </c>
      <c r="B3257">
        <f>IF(IF(DATE(2028,8,1)=EDATE(DATE(2029,2,1),-'Model inputs'!AM13*1)="",FALSE,DATE(2028,8,1)=EDATE(DATE(2029,2,1),-'Model inputs'!AM13*1)),IF('Model inputs'!Y85="","",'Model inputs'!Y85),"")</f>
      </c>
    </row>
    <row r="3258">
      <c r="A3258" t="inlineStr" s="25">
        <is>
          <t xml:space="preserve">Calculation</t>
        </is>
      </c>
      <c r="B3258">
        <f>IF(IF(DATE(2028,9,1)=EDATE(DATE(2029,2,1),-'Model inputs'!AM13*1)="",FALSE,DATE(2028,9,1)=EDATE(DATE(2029,2,1),-'Model inputs'!AM13*1)),IF('Model inputs'!Z85="","",'Model inputs'!Z85),"")</f>
      </c>
    </row>
    <row r="3259">
      <c r="A3259" t="inlineStr" s="25">
        <is>
          <t xml:space="preserve">Calculation</t>
        </is>
      </c>
      <c r="B3259">
        <f>IF(IF(DATE(2028,10,1)=EDATE(DATE(2029,2,1),-'Model inputs'!AM13*1)="",FALSE,DATE(2028,10,1)=EDATE(DATE(2029,2,1),-'Model inputs'!AM13*1)),IF('Model inputs'!AA85="","",'Model inputs'!AA85),"")</f>
      </c>
    </row>
    <row r="3260">
      <c r="A3260" t="inlineStr" s="25">
        <is>
          <t xml:space="preserve">Calculation</t>
        </is>
      </c>
      <c r="B3260">
        <f>IF(IF(DATE(2028,11,1)=EDATE(DATE(2029,2,1),-'Model inputs'!AM13*1)="",FALSE,DATE(2028,11,1)=EDATE(DATE(2029,2,1),-'Model inputs'!AM13*1)),IF('Model inputs'!AB85="","",'Model inputs'!AB85),"")</f>
      </c>
    </row>
    <row r="3261">
      <c r="A3261" t="inlineStr" s="25">
        <is>
          <t xml:space="preserve">Calculation</t>
        </is>
      </c>
      <c r="B3261">
        <f>IF(IF(DATE(2028,12,1)=EDATE(DATE(2029,2,1),-'Model inputs'!AM13*1)="",FALSE,DATE(2028,12,1)=EDATE(DATE(2029,2,1),-'Model inputs'!AM13*1)),IF('Model inputs'!AC85="","",'Model inputs'!AC85),"")</f>
      </c>
    </row>
    <row r="3262">
      <c r="A3262" t="inlineStr" s="25">
        <is>
          <t xml:space="preserve">Calculation</t>
        </is>
      </c>
      <c r="B3262">
        <f>IF(IF(DATE(2029,1,1)=EDATE(DATE(2029,2,1),-'Model inputs'!AM13*1)="",FALSE,DATE(2029,1,1)=EDATE(DATE(2029,2,1),-'Model inputs'!AM13*1)),IF('Model inputs'!AD85="","",'Model inputs'!AD85),"")</f>
      </c>
    </row>
    <row r="3263">
      <c r="A3263" t="inlineStr" s="25">
        <is>
          <t xml:space="preserve">Calculation</t>
        </is>
      </c>
      <c r="B3263">
        <f>IF(IF(DATE(2029,2,1)=EDATE(DATE(2029,2,1),-'Model inputs'!AM13*1)="",FALSE,DATE(2029,2,1)=EDATE(DATE(2029,2,1),-'Model inputs'!AM13*1)),IF('Model inputs'!AE85="","",'Model inputs'!AE85),"")</f>
      </c>
    </row>
    <row r="3264">
      <c r="A3264" t="inlineStr" s="25">
        <is>
          <t xml:space="preserve">Calculation</t>
        </is>
      </c>
      <c r="B3264">
        <f>IF(IF(DATE(2029,3,1)=EDATE(DATE(2029,2,1),-'Model inputs'!AM13*1)="",FALSE,DATE(2029,3,1)=EDATE(DATE(2029,2,1),-'Model inputs'!AM13*1)),IF('Model inputs'!AF85="","",'Model inputs'!AF85),"")</f>
      </c>
    </row>
    <row r="3265">
      <c r="A3265" t="inlineStr" s="25">
        <is>
          <t xml:space="preserve">Calculation</t>
        </is>
      </c>
      <c r="B3265">
        <f>IF(IF(DATE(2029,4,1)=EDATE(DATE(2029,2,1),-'Model inputs'!AM13*1)="",FALSE,DATE(2029,4,1)=EDATE(DATE(2029,2,1),-'Model inputs'!AM13*1)),IF('Model inputs'!AG85="","",'Model inputs'!AG85),"")</f>
      </c>
    </row>
    <row r="3266">
      <c r="A3266" t="inlineStr" s="25">
        <is>
          <t xml:space="preserve">Calculation</t>
        </is>
      </c>
      <c r="B3266">
        <f>IF(IF(DATE(2029,5,1)=EDATE(DATE(2029,2,1),-'Model inputs'!AM13*1)="",FALSE,DATE(2029,5,1)=EDATE(DATE(2029,2,1),-'Model inputs'!AM13*1)),IF('Model inputs'!AH85="","",'Model inputs'!AH85),"")</f>
      </c>
    </row>
    <row r="3267">
      <c r="A3267" t="inlineStr" s="25">
        <is>
          <t xml:space="preserve">Calculation</t>
        </is>
      </c>
      <c r="B3267">
        <f>IF(IF(DATE(2029,6,1)=EDATE(DATE(2029,2,1),-'Model inputs'!AM13*1)="",FALSE,DATE(2029,6,1)=EDATE(DATE(2029,2,1),-'Model inputs'!AM13*1)),IF('Model inputs'!AI85="","",'Model inputs'!AI85),"")</f>
      </c>
    </row>
    <row r="3268">
      <c r="A3268" t="inlineStr" s="25">
        <is>
          <t xml:space="preserve">Calculation</t>
        </is>
      </c>
      <c r="B3268">
        <f>IF(IF(DATE(2029,7,1)=EDATE(DATE(2029,2,1),-'Model inputs'!AM13*1)="",FALSE,DATE(2029,7,1)=EDATE(DATE(2029,2,1),-'Model inputs'!AM13*1)),IF('Model inputs'!AJ85="","",'Model inputs'!AJ85),"")</f>
      </c>
    </row>
    <row r="3269">
      <c r="A3269" t="inlineStr" s="25">
        <is>
          <t xml:space="preserve">Calculation</t>
        </is>
      </c>
      <c r="B3269">
        <f>IF(IF(DATE(2029,8,1)=EDATE(DATE(2029,2,1),-'Model inputs'!AM13*1)="",FALSE,DATE(2029,8,1)=EDATE(DATE(2029,2,1),-'Model inputs'!AM13*1)),IF('Model inputs'!AK85="","",'Model inputs'!AK85),"")</f>
      </c>
    </row>
    <row r="3270">
      <c r="A3270" t="inlineStr" s="25">
        <is>
          <t xml:space="preserve">Calculation</t>
        </is>
      </c>
      <c r="B3270">
        <f>IF(IF(DATE(2029,9,1)=EDATE(DATE(2029,2,1),-'Model inputs'!AM13*1)="",FALSE,DATE(2029,9,1)=EDATE(DATE(2029,2,1),-'Model inputs'!AM13*1)),IF('Model inputs'!AL85="","",'Model inputs'!AL85),"")</f>
      </c>
    </row>
    <row r="3271">
      <c r="A3271" t="inlineStr" s="25">
        <is>
          <t xml:space="preserve">Calculation</t>
        </is>
      </c>
      <c r="B3271">
        <f>SUM(IF(IF('Model inputs'!B1895="",0,1)="",0,IF('Model inputs'!B1895="",0,1)),IF(IF('Model inputs'!B3235="",0,1)="",0,IF('Model inputs'!B3235="",0,1)),IF(IF('Model inputs'!B3236="",0,1)="",0,IF('Model inputs'!B3236="",0,1)),IF(IF('Model inputs'!B3237="",0,1)="",0,IF('Model inputs'!B3237="",0,1)),IF(IF('Model inputs'!B3238="",0,1)="",0,IF('Model inputs'!B3238="",0,1)),IF(IF('Model inputs'!B3239="",0,1)="",0,IF('Model inputs'!B3239="",0,1)),IF(IF('Model inputs'!B3240="",0,1)="",0,IF('Model inputs'!B3240="",0,1)),IF(IF('Model inputs'!B3241="",0,1)="",0,IF('Model inputs'!B3241="",0,1)),IF(IF('Model inputs'!B3242="",0,1)="",0,IF('Model inputs'!B3242="",0,1)),IF(IF('Model inputs'!B3243="",0,1)="",0,IF('Model inputs'!B3243="",0,1)),IF(IF('Model inputs'!B3244="",0,1)="",0,IF('Model inputs'!B3244="",0,1)),IF(IF('Model inputs'!B3245="",0,1)="",0,IF('Model inputs'!B3245="",0,1)),IF(IF('Model inputs'!B3246="",0,1)="",0,IF('Model inputs'!B3246="",0,1)),IF(IF('Model inputs'!B3247="",0,1)="",0,IF('Model inputs'!B3247="",0,1)),IF(IF('Model inputs'!B3248="",0,1)="",0,IF('Model inputs'!B3248="",0,1)),IF(IF('Model inputs'!B3249="",0,1)="",0,IF('Model inputs'!B3249="",0,1)),IF(IF('Model inputs'!B3250="",0,1)="",0,IF('Model inputs'!B3250="",0,1)),IF(IF('Model inputs'!B3251="",0,1)="",0,IF('Model inputs'!B3251="",0,1)),IF(IF('Model inputs'!B3252="",0,1)="",0,IF('Model inputs'!B3252="",0,1)),IF(IF('Model inputs'!B3253="",0,1)="",0,IF('Model inputs'!B3253="",0,1)),IF(IF('Model inputs'!B3254="",0,1)="",0,IF('Model inputs'!B3254="",0,1)),IF(IF('Model inputs'!B3255="",0,1)="",0,IF('Model inputs'!B3255="",0,1)),IF(IF('Model inputs'!B3256="",0,1)="",0,IF('Model inputs'!B3256="",0,1)),IF(IF('Model inputs'!B3257="",0,1)="",0,IF('Model inputs'!B3257="",0,1)),IF(IF('Model inputs'!B3258="",0,1)="",0,IF('Model inputs'!B3258="",0,1)),IF(IF('Model inputs'!B3259="",0,1)="",0,IF('Model inputs'!B3259="",0,1)),IF(IF('Model inputs'!B3260="",0,1)="",0,IF('Model inputs'!B3260="",0,1)),IF(IF('Model inputs'!B3261="",0,1)="",0,IF('Model inputs'!B3261="",0,1)),IF(IF('Model inputs'!B3262="",0,1)="",0,IF('Model inputs'!B3262="",0,1)),IF(IF('Model inputs'!B3263="",0,1)="",0,IF('Model inputs'!B3263="",0,1)),IF(IF('Model inputs'!B3264="",0,1)="",0,IF('Model inputs'!B3264="",0,1)),IF(IF('Model inputs'!B3265="",0,1)="",0,IF('Model inputs'!B3265="",0,1)),IF(IF('Model inputs'!B3266="",0,1)="",0,IF('Model inputs'!B3266="",0,1)),IF(IF('Model inputs'!B3267="",0,1)="",0,IF('Model inputs'!B3267="",0,1)),IF(IF('Model inputs'!B3268="",0,1)="",0,IF('Model inputs'!B3268="",0,1)),IF(IF('Model inputs'!B3269="",0,1)="",0,IF('Model inputs'!B3269="",0,1)),IF(IF('Model inputs'!B3270="",0,1)="",0,IF('Model inputs'!B3270="",0,1)))</f>
      </c>
    </row>
    <row r="3272">
      <c r="A3272" t="inlineStr" s="25">
        <is>
          <t xml:space="preserve">Calculation</t>
        </is>
      </c>
      <c r="B3272">
        <f>IF(IF(DATE(2026,10,1)=EDATE(DATE(2029,3,1),-'Model inputs'!AM13*1)="",FALSE,DATE(2026,10,1)=EDATE(DATE(2029,3,1),-'Model inputs'!AM13*1)),IF('Model inputs'!C85="","",'Model inputs'!C85),"")</f>
      </c>
    </row>
    <row r="3273">
      <c r="A3273" t="inlineStr" s="25">
        <is>
          <t xml:space="preserve">Calculation</t>
        </is>
      </c>
      <c r="B3273">
        <f>IF(IF(DATE(2026,11,1)=EDATE(DATE(2029,3,1),-'Model inputs'!AM13*1)="",FALSE,DATE(2026,11,1)=EDATE(DATE(2029,3,1),-'Model inputs'!AM13*1)),IF('Model inputs'!D85="","",'Model inputs'!D85),"")</f>
      </c>
    </row>
    <row r="3274">
      <c r="A3274" t="inlineStr" s="25">
        <is>
          <t xml:space="preserve">Calculation</t>
        </is>
      </c>
      <c r="B3274">
        <f>IF(IF(DATE(2026,12,1)=EDATE(DATE(2029,3,1),-'Model inputs'!AM13*1)="",FALSE,DATE(2026,12,1)=EDATE(DATE(2029,3,1),-'Model inputs'!AM13*1)),IF('Model inputs'!E85="","",'Model inputs'!E85),"")</f>
      </c>
    </row>
    <row r="3275">
      <c r="A3275" t="inlineStr" s="25">
        <is>
          <t xml:space="preserve">Calculation</t>
        </is>
      </c>
      <c r="B3275">
        <f>IF(IF(DATE(2027,1,1)=EDATE(DATE(2029,3,1),-'Model inputs'!AM13*1)="",FALSE,DATE(2027,1,1)=EDATE(DATE(2029,3,1),-'Model inputs'!AM13*1)),IF('Model inputs'!F85="","",'Model inputs'!F85),"")</f>
      </c>
    </row>
    <row r="3276">
      <c r="A3276" t="inlineStr" s="25">
        <is>
          <t xml:space="preserve">Calculation</t>
        </is>
      </c>
      <c r="B3276">
        <f>IF(IF(DATE(2027,2,1)=EDATE(DATE(2029,3,1),-'Model inputs'!AM13*1)="",FALSE,DATE(2027,2,1)=EDATE(DATE(2029,3,1),-'Model inputs'!AM13*1)),IF('Model inputs'!G85="","",'Model inputs'!G85),"")</f>
      </c>
    </row>
    <row r="3277">
      <c r="A3277" t="inlineStr" s="25">
        <is>
          <t xml:space="preserve">Calculation</t>
        </is>
      </c>
      <c r="B3277">
        <f>IF(IF(DATE(2027,3,1)=EDATE(DATE(2029,3,1),-'Model inputs'!AM13*1)="",FALSE,DATE(2027,3,1)=EDATE(DATE(2029,3,1),-'Model inputs'!AM13*1)),IF('Model inputs'!H85="","",'Model inputs'!H85),"")</f>
      </c>
    </row>
    <row r="3278">
      <c r="A3278" t="inlineStr" s="25">
        <is>
          <t xml:space="preserve">Calculation</t>
        </is>
      </c>
      <c r="B3278">
        <f>IF(IF(DATE(2027,4,1)=EDATE(DATE(2029,3,1),-'Model inputs'!AM13*1)="",FALSE,DATE(2027,4,1)=EDATE(DATE(2029,3,1),-'Model inputs'!AM13*1)),IF('Model inputs'!I85="","",'Model inputs'!I85),"")</f>
      </c>
    </row>
    <row r="3279">
      <c r="A3279" t="inlineStr" s="25">
        <is>
          <t xml:space="preserve">Calculation</t>
        </is>
      </c>
      <c r="B3279">
        <f>IF(IF(DATE(2027,5,1)=EDATE(DATE(2029,3,1),-'Model inputs'!AM13*1)="",FALSE,DATE(2027,5,1)=EDATE(DATE(2029,3,1),-'Model inputs'!AM13*1)),IF('Model inputs'!J85="","",'Model inputs'!J85),"")</f>
      </c>
    </row>
    <row r="3280">
      <c r="A3280" t="inlineStr" s="25">
        <is>
          <t xml:space="preserve">Calculation</t>
        </is>
      </c>
      <c r="B3280">
        <f>IF(IF(DATE(2027,6,1)=EDATE(DATE(2029,3,1),-'Model inputs'!AM13*1)="",FALSE,DATE(2027,6,1)=EDATE(DATE(2029,3,1),-'Model inputs'!AM13*1)),IF('Model inputs'!K85="","",'Model inputs'!K85),"")</f>
      </c>
    </row>
    <row r="3281">
      <c r="A3281" t="inlineStr" s="25">
        <is>
          <t xml:space="preserve">Calculation</t>
        </is>
      </c>
      <c r="B3281">
        <f>IF(IF(DATE(2027,7,1)=EDATE(DATE(2029,3,1),-'Model inputs'!AM13*1)="",FALSE,DATE(2027,7,1)=EDATE(DATE(2029,3,1),-'Model inputs'!AM13*1)),IF('Model inputs'!L85="","",'Model inputs'!L85),"")</f>
      </c>
    </row>
    <row r="3282">
      <c r="A3282" t="inlineStr" s="25">
        <is>
          <t xml:space="preserve">Calculation</t>
        </is>
      </c>
      <c r="B3282">
        <f>IF(IF(DATE(2027,8,1)=EDATE(DATE(2029,3,1),-'Model inputs'!AM13*1)="",FALSE,DATE(2027,8,1)=EDATE(DATE(2029,3,1),-'Model inputs'!AM13*1)),IF('Model inputs'!M85="","",'Model inputs'!M85),"")</f>
      </c>
    </row>
    <row r="3283">
      <c r="A3283" t="inlineStr" s="25">
        <is>
          <t xml:space="preserve">Calculation</t>
        </is>
      </c>
      <c r="B3283">
        <f>IF(IF(DATE(2027,9,1)=EDATE(DATE(2029,3,1),-'Model inputs'!AM13*1)="",FALSE,DATE(2027,9,1)=EDATE(DATE(2029,3,1),-'Model inputs'!AM13*1)),IF('Model inputs'!N85="","",'Model inputs'!N85),"")</f>
      </c>
    </row>
    <row r="3284">
      <c r="A3284" t="inlineStr" s="25">
        <is>
          <t xml:space="preserve">Calculation</t>
        </is>
      </c>
      <c r="B3284">
        <f>IF(IF(DATE(2027,10,1)=EDATE(DATE(2029,3,1),-'Model inputs'!AM13*1)="",FALSE,DATE(2027,10,1)=EDATE(DATE(2029,3,1),-'Model inputs'!AM13*1)),IF('Model inputs'!O85="","",'Model inputs'!O85),"")</f>
      </c>
    </row>
    <row r="3285">
      <c r="A3285" t="inlineStr" s="25">
        <is>
          <t xml:space="preserve">Calculation</t>
        </is>
      </c>
      <c r="B3285">
        <f>IF(IF(DATE(2027,11,1)=EDATE(DATE(2029,3,1),-'Model inputs'!AM13*1)="",FALSE,DATE(2027,11,1)=EDATE(DATE(2029,3,1),-'Model inputs'!AM13*1)),IF('Model inputs'!P85="","",'Model inputs'!P85),"")</f>
      </c>
    </row>
    <row r="3286">
      <c r="A3286" t="inlineStr" s="25">
        <is>
          <t xml:space="preserve">Calculation</t>
        </is>
      </c>
      <c r="B3286">
        <f>IF(IF(DATE(2027,12,1)=EDATE(DATE(2029,3,1),-'Model inputs'!AM13*1)="",FALSE,DATE(2027,12,1)=EDATE(DATE(2029,3,1),-'Model inputs'!AM13*1)),IF('Model inputs'!Q85="","",'Model inputs'!Q85),"")</f>
      </c>
    </row>
    <row r="3287">
      <c r="A3287" t="inlineStr" s="25">
        <is>
          <t xml:space="preserve">Calculation</t>
        </is>
      </c>
      <c r="B3287">
        <f>IF(IF(DATE(2028,1,1)=EDATE(DATE(2029,3,1),-'Model inputs'!AM13*1)="",FALSE,DATE(2028,1,1)=EDATE(DATE(2029,3,1),-'Model inputs'!AM13*1)),IF('Model inputs'!R85="","",'Model inputs'!R85),"")</f>
      </c>
    </row>
    <row r="3288">
      <c r="A3288" t="inlineStr" s="25">
        <is>
          <t xml:space="preserve">Calculation</t>
        </is>
      </c>
      <c r="B3288">
        <f>IF(IF(DATE(2028,2,1)=EDATE(DATE(2029,3,1),-'Model inputs'!AM13*1)="",FALSE,DATE(2028,2,1)=EDATE(DATE(2029,3,1),-'Model inputs'!AM13*1)),IF('Model inputs'!S85="","",'Model inputs'!S85),"")</f>
      </c>
    </row>
    <row r="3289">
      <c r="A3289" t="inlineStr" s="25">
        <is>
          <t xml:space="preserve">Calculation</t>
        </is>
      </c>
      <c r="B3289">
        <f>IF(IF(DATE(2028,3,1)=EDATE(DATE(2029,3,1),-'Model inputs'!AM13*1)="",FALSE,DATE(2028,3,1)=EDATE(DATE(2029,3,1),-'Model inputs'!AM13*1)),IF('Model inputs'!T85="","",'Model inputs'!T85),"")</f>
      </c>
    </row>
    <row r="3290">
      <c r="A3290" t="inlineStr" s="25">
        <is>
          <t xml:space="preserve">Calculation</t>
        </is>
      </c>
      <c r="B3290">
        <f>IF(IF(DATE(2028,4,1)=EDATE(DATE(2029,3,1),-'Model inputs'!AM13*1)="",FALSE,DATE(2028,4,1)=EDATE(DATE(2029,3,1),-'Model inputs'!AM13*1)),IF('Model inputs'!U85="","",'Model inputs'!U85),"")</f>
      </c>
    </row>
    <row r="3291">
      <c r="A3291" t="inlineStr" s="25">
        <is>
          <t xml:space="preserve">Calculation</t>
        </is>
      </c>
      <c r="B3291">
        <f>IF(IF(DATE(2028,5,1)=EDATE(DATE(2029,3,1),-'Model inputs'!AM13*1)="",FALSE,DATE(2028,5,1)=EDATE(DATE(2029,3,1),-'Model inputs'!AM13*1)),IF('Model inputs'!V85="","",'Model inputs'!V85),"")</f>
      </c>
    </row>
    <row r="3292">
      <c r="A3292" t="inlineStr" s="25">
        <is>
          <t xml:space="preserve">Calculation</t>
        </is>
      </c>
      <c r="B3292">
        <f>IF(IF(DATE(2028,6,1)=EDATE(DATE(2029,3,1),-'Model inputs'!AM13*1)="",FALSE,DATE(2028,6,1)=EDATE(DATE(2029,3,1),-'Model inputs'!AM13*1)),IF('Model inputs'!W85="","",'Model inputs'!W85),"")</f>
      </c>
    </row>
    <row r="3293">
      <c r="A3293" t="inlineStr" s="25">
        <is>
          <t xml:space="preserve">Calculation</t>
        </is>
      </c>
      <c r="B3293">
        <f>IF(IF(DATE(2028,7,1)=EDATE(DATE(2029,3,1),-'Model inputs'!AM13*1)="",FALSE,DATE(2028,7,1)=EDATE(DATE(2029,3,1),-'Model inputs'!AM13*1)),IF('Model inputs'!X85="","",'Model inputs'!X85),"")</f>
      </c>
    </row>
    <row r="3294">
      <c r="A3294" t="inlineStr" s="25">
        <is>
          <t xml:space="preserve">Calculation</t>
        </is>
      </c>
      <c r="B3294">
        <f>IF(IF(DATE(2028,8,1)=EDATE(DATE(2029,3,1),-'Model inputs'!AM13*1)="",FALSE,DATE(2028,8,1)=EDATE(DATE(2029,3,1),-'Model inputs'!AM13*1)),IF('Model inputs'!Y85="","",'Model inputs'!Y85),"")</f>
      </c>
    </row>
    <row r="3295">
      <c r="A3295" t="inlineStr" s="25">
        <is>
          <t xml:space="preserve">Calculation</t>
        </is>
      </c>
      <c r="B3295">
        <f>IF(IF(DATE(2028,9,1)=EDATE(DATE(2029,3,1),-'Model inputs'!AM13*1)="",FALSE,DATE(2028,9,1)=EDATE(DATE(2029,3,1),-'Model inputs'!AM13*1)),IF('Model inputs'!Z85="","",'Model inputs'!Z85),"")</f>
      </c>
    </row>
    <row r="3296">
      <c r="A3296" t="inlineStr" s="25">
        <is>
          <t xml:space="preserve">Calculation</t>
        </is>
      </c>
      <c r="B3296">
        <f>IF(IF(DATE(2028,10,1)=EDATE(DATE(2029,3,1),-'Model inputs'!AM13*1)="",FALSE,DATE(2028,10,1)=EDATE(DATE(2029,3,1),-'Model inputs'!AM13*1)),IF('Model inputs'!AA85="","",'Model inputs'!AA85),"")</f>
      </c>
    </row>
    <row r="3297">
      <c r="A3297" t="inlineStr" s="25">
        <is>
          <t xml:space="preserve">Calculation</t>
        </is>
      </c>
      <c r="B3297">
        <f>IF(IF(DATE(2028,11,1)=EDATE(DATE(2029,3,1),-'Model inputs'!AM13*1)="",FALSE,DATE(2028,11,1)=EDATE(DATE(2029,3,1),-'Model inputs'!AM13*1)),IF('Model inputs'!AB85="","",'Model inputs'!AB85),"")</f>
      </c>
    </row>
    <row r="3298">
      <c r="A3298" t="inlineStr" s="25">
        <is>
          <t xml:space="preserve">Calculation</t>
        </is>
      </c>
      <c r="B3298">
        <f>IF(IF(DATE(2028,12,1)=EDATE(DATE(2029,3,1),-'Model inputs'!AM13*1)="",FALSE,DATE(2028,12,1)=EDATE(DATE(2029,3,1),-'Model inputs'!AM13*1)),IF('Model inputs'!AC85="","",'Model inputs'!AC85),"")</f>
      </c>
    </row>
    <row r="3299">
      <c r="A3299" t="inlineStr" s="25">
        <is>
          <t xml:space="preserve">Calculation</t>
        </is>
      </c>
      <c r="B3299">
        <f>IF(IF(DATE(2029,1,1)=EDATE(DATE(2029,3,1),-'Model inputs'!AM13*1)="",FALSE,DATE(2029,1,1)=EDATE(DATE(2029,3,1),-'Model inputs'!AM13*1)),IF('Model inputs'!AD85="","",'Model inputs'!AD85),"")</f>
      </c>
    </row>
    <row r="3300">
      <c r="A3300" t="inlineStr" s="25">
        <is>
          <t xml:space="preserve">Calculation</t>
        </is>
      </c>
      <c r="B3300">
        <f>IF(IF(DATE(2029,2,1)=EDATE(DATE(2029,3,1),-'Model inputs'!AM13*1)="",FALSE,DATE(2029,2,1)=EDATE(DATE(2029,3,1),-'Model inputs'!AM13*1)),IF('Model inputs'!AE85="","",'Model inputs'!AE85),"")</f>
      </c>
    </row>
    <row r="3301">
      <c r="A3301" t="inlineStr" s="25">
        <is>
          <t xml:space="preserve">Calculation</t>
        </is>
      </c>
      <c r="B3301">
        <f>IF(IF(DATE(2029,3,1)=EDATE(DATE(2029,3,1),-'Model inputs'!AM13*1)="",FALSE,DATE(2029,3,1)=EDATE(DATE(2029,3,1),-'Model inputs'!AM13*1)),IF('Model inputs'!AF85="","",'Model inputs'!AF85),"")</f>
      </c>
    </row>
    <row r="3302">
      <c r="A3302" t="inlineStr" s="25">
        <is>
          <t xml:space="preserve">Calculation</t>
        </is>
      </c>
      <c r="B3302">
        <f>IF(IF(DATE(2029,4,1)=EDATE(DATE(2029,3,1),-'Model inputs'!AM13*1)="",FALSE,DATE(2029,4,1)=EDATE(DATE(2029,3,1),-'Model inputs'!AM13*1)),IF('Model inputs'!AG85="","",'Model inputs'!AG85),"")</f>
      </c>
    </row>
    <row r="3303">
      <c r="A3303" t="inlineStr" s="25">
        <is>
          <t xml:space="preserve">Calculation</t>
        </is>
      </c>
      <c r="B3303">
        <f>IF(IF(DATE(2029,5,1)=EDATE(DATE(2029,3,1),-'Model inputs'!AM13*1)="",FALSE,DATE(2029,5,1)=EDATE(DATE(2029,3,1),-'Model inputs'!AM13*1)),IF('Model inputs'!AH85="","",'Model inputs'!AH85),"")</f>
      </c>
    </row>
    <row r="3304">
      <c r="A3304" t="inlineStr" s="25">
        <is>
          <t xml:space="preserve">Calculation</t>
        </is>
      </c>
      <c r="B3304">
        <f>IF(IF(DATE(2029,6,1)=EDATE(DATE(2029,3,1),-'Model inputs'!AM13*1)="",FALSE,DATE(2029,6,1)=EDATE(DATE(2029,3,1),-'Model inputs'!AM13*1)),IF('Model inputs'!AI85="","",'Model inputs'!AI85),"")</f>
      </c>
    </row>
    <row r="3305">
      <c r="A3305" t="inlineStr" s="25">
        <is>
          <t xml:space="preserve">Calculation</t>
        </is>
      </c>
      <c r="B3305">
        <f>IF(IF(DATE(2029,7,1)=EDATE(DATE(2029,3,1),-'Model inputs'!AM13*1)="",FALSE,DATE(2029,7,1)=EDATE(DATE(2029,3,1),-'Model inputs'!AM13*1)),IF('Model inputs'!AJ85="","",'Model inputs'!AJ85),"")</f>
      </c>
    </row>
    <row r="3306">
      <c r="A3306" t="inlineStr" s="25">
        <is>
          <t xml:space="preserve">Calculation</t>
        </is>
      </c>
      <c r="B3306">
        <f>IF(IF(DATE(2029,8,1)=EDATE(DATE(2029,3,1),-'Model inputs'!AM13*1)="",FALSE,DATE(2029,8,1)=EDATE(DATE(2029,3,1),-'Model inputs'!AM13*1)),IF('Model inputs'!AK85="","",'Model inputs'!AK85),"")</f>
      </c>
    </row>
    <row r="3307">
      <c r="A3307" t="inlineStr" s="25">
        <is>
          <t xml:space="preserve">Calculation</t>
        </is>
      </c>
      <c r="B3307">
        <f>IF(IF(DATE(2029,9,1)=EDATE(DATE(2029,3,1),-'Model inputs'!AM13*1)="",FALSE,DATE(2029,9,1)=EDATE(DATE(2029,3,1),-'Model inputs'!AM13*1)),IF('Model inputs'!AL85="","",'Model inputs'!AL85),"")</f>
      </c>
    </row>
    <row r="3308">
      <c r="A3308" t="inlineStr" s="25">
        <is>
          <t xml:space="preserve">Calculation</t>
        </is>
      </c>
      <c r="B3308">
        <f>SUM(IF(IF('Model inputs'!B1933="",0,1)="",0,IF('Model inputs'!B1933="",0,1)),IF(IF('Model inputs'!B3272="",0,1)="",0,IF('Model inputs'!B3272="",0,1)),IF(IF('Model inputs'!B3273="",0,1)="",0,IF('Model inputs'!B3273="",0,1)),IF(IF('Model inputs'!B3274="",0,1)="",0,IF('Model inputs'!B3274="",0,1)),IF(IF('Model inputs'!B3275="",0,1)="",0,IF('Model inputs'!B3275="",0,1)),IF(IF('Model inputs'!B3276="",0,1)="",0,IF('Model inputs'!B3276="",0,1)),IF(IF('Model inputs'!B3277="",0,1)="",0,IF('Model inputs'!B3277="",0,1)),IF(IF('Model inputs'!B3278="",0,1)="",0,IF('Model inputs'!B3278="",0,1)),IF(IF('Model inputs'!B3279="",0,1)="",0,IF('Model inputs'!B3279="",0,1)),IF(IF('Model inputs'!B3280="",0,1)="",0,IF('Model inputs'!B3280="",0,1)),IF(IF('Model inputs'!B3281="",0,1)="",0,IF('Model inputs'!B3281="",0,1)),IF(IF('Model inputs'!B3282="",0,1)="",0,IF('Model inputs'!B3282="",0,1)),IF(IF('Model inputs'!B3283="",0,1)="",0,IF('Model inputs'!B3283="",0,1)),IF(IF('Model inputs'!B3284="",0,1)="",0,IF('Model inputs'!B3284="",0,1)),IF(IF('Model inputs'!B3285="",0,1)="",0,IF('Model inputs'!B3285="",0,1)),IF(IF('Model inputs'!B3286="",0,1)="",0,IF('Model inputs'!B3286="",0,1)),IF(IF('Model inputs'!B3287="",0,1)="",0,IF('Model inputs'!B3287="",0,1)),IF(IF('Model inputs'!B3288="",0,1)="",0,IF('Model inputs'!B3288="",0,1)),IF(IF('Model inputs'!B3289="",0,1)="",0,IF('Model inputs'!B3289="",0,1)),IF(IF('Model inputs'!B3290="",0,1)="",0,IF('Model inputs'!B3290="",0,1)),IF(IF('Model inputs'!B3291="",0,1)="",0,IF('Model inputs'!B3291="",0,1)),IF(IF('Model inputs'!B3292="",0,1)="",0,IF('Model inputs'!B3292="",0,1)),IF(IF('Model inputs'!B3293="",0,1)="",0,IF('Model inputs'!B3293="",0,1)),IF(IF('Model inputs'!B3294="",0,1)="",0,IF('Model inputs'!B3294="",0,1)),IF(IF('Model inputs'!B3295="",0,1)="",0,IF('Model inputs'!B3295="",0,1)),IF(IF('Model inputs'!B3296="",0,1)="",0,IF('Model inputs'!B3296="",0,1)),IF(IF('Model inputs'!B3297="",0,1)="",0,IF('Model inputs'!B3297="",0,1)),IF(IF('Model inputs'!B3298="",0,1)="",0,IF('Model inputs'!B3298="",0,1)),IF(IF('Model inputs'!B3299="",0,1)="",0,IF('Model inputs'!B3299="",0,1)),IF(IF('Model inputs'!B3300="",0,1)="",0,IF('Model inputs'!B3300="",0,1)),IF(IF('Model inputs'!B3301="",0,1)="",0,IF('Model inputs'!B3301="",0,1)),IF(IF('Model inputs'!B3302="",0,1)="",0,IF('Model inputs'!B3302="",0,1)),IF(IF('Model inputs'!B3303="",0,1)="",0,IF('Model inputs'!B3303="",0,1)),IF(IF('Model inputs'!B3304="",0,1)="",0,IF('Model inputs'!B3304="",0,1)),IF(IF('Model inputs'!B3305="",0,1)="",0,IF('Model inputs'!B3305="",0,1)),IF(IF('Model inputs'!B3306="",0,1)="",0,IF('Model inputs'!B3306="",0,1)),IF(IF('Model inputs'!B3307="",0,1)="",0,IF('Model inputs'!B3307="",0,1)))</f>
      </c>
    </row>
    <row r="3309">
      <c r="A3309" t="inlineStr" s="25">
        <is>
          <t xml:space="preserve">Calculation</t>
        </is>
      </c>
      <c r="B3309">
        <f>IF(IF(DATE(2026,10,1)=EDATE(DATE(2029,4,1),-'Model inputs'!AM13*1)="",FALSE,DATE(2026,10,1)=EDATE(DATE(2029,4,1),-'Model inputs'!AM13*1)),IF('Model inputs'!C85="","",'Model inputs'!C85),"")</f>
      </c>
    </row>
    <row r="3310">
      <c r="A3310" t="inlineStr" s="25">
        <is>
          <t xml:space="preserve">Calculation</t>
        </is>
      </c>
      <c r="B3310">
        <f>IF(IF(DATE(2026,11,1)=EDATE(DATE(2029,4,1),-'Model inputs'!AM13*1)="",FALSE,DATE(2026,11,1)=EDATE(DATE(2029,4,1),-'Model inputs'!AM13*1)),IF('Model inputs'!D85="","",'Model inputs'!D85),"")</f>
      </c>
    </row>
    <row r="3311">
      <c r="A3311" t="inlineStr" s="25">
        <is>
          <t xml:space="preserve">Calculation</t>
        </is>
      </c>
      <c r="B3311">
        <f>IF(IF(DATE(2026,12,1)=EDATE(DATE(2029,4,1),-'Model inputs'!AM13*1)="",FALSE,DATE(2026,12,1)=EDATE(DATE(2029,4,1),-'Model inputs'!AM13*1)),IF('Model inputs'!E85="","",'Model inputs'!E85),"")</f>
      </c>
    </row>
    <row r="3312">
      <c r="A3312" t="inlineStr" s="25">
        <is>
          <t xml:space="preserve">Calculation</t>
        </is>
      </c>
      <c r="B3312">
        <f>IF(IF(DATE(2027,1,1)=EDATE(DATE(2029,4,1),-'Model inputs'!AM13*1)="",FALSE,DATE(2027,1,1)=EDATE(DATE(2029,4,1),-'Model inputs'!AM13*1)),IF('Model inputs'!F85="","",'Model inputs'!F85),"")</f>
      </c>
    </row>
    <row r="3313">
      <c r="A3313" t="inlineStr" s="25">
        <is>
          <t xml:space="preserve">Calculation</t>
        </is>
      </c>
      <c r="B3313">
        <f>IF(IF(DATE(2027,2,1)=EDATE(DATE(2029,4,1),-'Model inputs'!AM13*1)="",FALSE,DATE(2027,2,1)=EDATE(DATE(2029,4,1),-'Model inputs'!AM13*1)),IF('Model inputs'!G85="","",'Model inputs'!G85),"")</f>
      </c>
    </row>
    <row r="3314">
      <c r="A3314" t="inlineStr" s="25">
        <is>
          <t xml:space="preserve">Calculation</t>
        </is>
      </c>
      <c r="B3314">
        <f>IF(IF(DATE(2027,3,1)=EDATE(DATE(2029,4,1),-'Model inputs'!AM13*1)="",FALSE,DATE(2027,3,1)=EDATE(DATE(2029,4,1),-'Model inputs'!AM13*1)),IF('Model inputs'!H85="","",'Model inputs'!H85),"")</f>
      </c>
    </row>
    <row r="3315">
      <c r="A3315" t="inlineStr" s="25">
        <is>
          <t xml:space="preserve">Calculation</t>
        </is>
      </c>
      <c r="B3315">
        <f>IF(IF(DATE(2027,4,1)=EDATE(DATE(2029,4,1),-'Model inputs'!AM13*1)="",FALSE,DATE(2027,4,1)=EDATE(DATE(2029,4,1),-'Model inputs'!AM13*1)),IF('Model inputs'!I85="","",'Model inputs'!I85),"")</f>
      </c>
    </row>
    <row r="3316">
      <c r="A3316" t="inlineStr" s="25">
        <is>
          <t xml:space="preserve">Calculation</t>
        </is>
      </c>
      <c r="B3316">
        <f>IF(IF(DATE(2027,5,1)=EDATE(DATE(2029,4,1),-'Model inputs'!AM13*1)="",FALSE,DATE(2027,5,1)=EDATE(DATE(2029,4,1),-'Model inputs'!AM13*1)),IF('Model inputs'!J85="","",'Model inputs'!J85),"")</f>
      </c>
    </row>
    <row r="3317">
      <c r="A3317" t="inlineStr" s="25">
        <is>
          <t xml:space="preserve">Calculation</t>
        </is>
      </c>
      <c r="B3317">
        <f>IF(IF(DATE(2027,6,1)=EDATE(DATE(2029,4,1),-'Model inputs'!AM13*1)="",FALSE,DATE(2027,6,1)=EDATE(DATE(2029,4,1),-'Model inputs'!AM13*1)),IF('Model inputs'!K85="","",'Model inputs'!K85),"")</f>
      </c>
    </row>
    <row r="3318">
      <c r="A3318" t="inlineStr" s="25">
        <is>
          <t xml:space="preserve">Calculation</t>
        </is>
      </c>
      <c r="B3318">
        <f>IF(IF(DATE(2027,7,1)=EDATE(DATE(2029,4,1),-'Model inputs'!AM13*1)="",FALSE,DATE(2027,7,1)=EDATE(DATE(2029,4,1),-'Model inputs'!AM13*1)),IF('Model inputs'!L85="","",'Model inputs'!L85),"")</f>
      </c>
    </row>
    <row r="3319">
      <c r="A3319" t="inlineStr" s="25">
        <is>
          <t xml:space="preserve">Calculation</t>
        </is>
      </c>
      <c r="B3319">
        <f>IF(IF(DATE(2027,8,1)=EDATE(DATE(2029,4,1),-'Model inputs'!AM13*1)="",FALSE,DATE(2027,8,1)=EDATE(DATE(2029,4,1),-'Model inputs'!AM13*1)),IF('Model inputs'!M85="","",'Model inputs'!M85),"")</f>
      </c>
    </row>
    <row r="3320">
      <c r="A3320" t="inlineStr" s="25">
        <is>
          <t xml:space="preserve">Calculation</t>
        </is>
      </c>
      <c r="B3320">
        <f>IF(IF(DATE(2027,9,1)=EDATE(DATE(2029,4,1),-'Model inputs'!AM13*1)="",FALSE,DATE(2027,9,1)=EDATE(DATE(2029,4,1),-'Model inputs'!AM13*1)),IF('Model inputs'!N85="","",'Model inputs'!N85),"")</f>
      </c>
    </row>
    <row r="3321">
      <c r="A3321" t="inlineStr" s="25">
        <is>
          <t xml:space="preserve">Calculation</t>
        </is>
      </c>
      <c r="B3321">
        <f>IF(IF(DATE(2027,10,1)=EDATE(DATE(2029,4,1),-'Model inputs'!AM13*1)="",FALSE,DATE(2027,10,1)=EDATE(DATE(2029,4,1),-'Model inputs'!AM13*1)),IF('Model inputs'!O85="","",'Model inputs'!O85),"")</f>
      </c>
    </row>
    <row r="3322">
      <c r="A3322" t="inlineStr" s="25">
        <is>
          <t xml:space="preserve">Calculation</t>
        </is>
      </c>
      <c r="B3322">
        <f>IF(IF(DATE(2027,11,1)=EDATE(DATE(2029,4,1),-'Model inputs'!AM13*1)="",FALSE,DATE(2027,11,1)=EDATE(DATE(2029,4,1),-'Model inputs'!AM13*1)),IF('Model inputs'!P85="","",'Model inputs'!P85),"")</f>
      </c>
    </row>
    <row r="3323">
      <c r="A3323" t="inlineStr" s="25">
        <is>
          <t xml:space="preserve">Calculation</t>
        </is>
      </c>
      <c r="B3323">
        <f>IF(IF(DATE(2027,12,1)=EDATE(DATE(2029,4,1),-'Model inputs'!AM13*1)="",FALSE,DATE(2027,12,1)=EDATE(DATE(2029,4,1),-'Model inputs'!AM13*1)),IF('Model inputs'!Q85="","",'Model inputs'!Q85),"")</f>
      </c>
    </row>
    <row r="3324">
      <c r="A3324" t="inlineStr" s="25">
        <is>
          <t xml:space="preserve">Calculation</t>
        </is>
      </c>
      <c r="B3324">
        <f>IF(IF(DATE(2028,1,1)=EDATE(DATE(2029,4,1),-'Model inputs'!AM13*1)="",FALSE,DATE(2028,1,1)=EDATE(DATE(2029,4,1),-'Model inputs'!AM13*1)),IF('Model inputs'!R85="","",'Model inputs'!R85),"")</f>
      </c>
    </row>
    <row r="3325">
      <c r="A3325" t="inlineStr" s="25">
        <is>
          <t xml:space="preserve">Calculation</t>
        </is>
      </c>
      <c r="B3325">
        <f>IF(IF(DATE(2028,2,1)=EDATE(DATE(2029,4,1),-'Model inputs'!AM13*1)="",FALSE,DATE(2028,2,1)=EDATE(DATE(2029,4,1),-'Model inputs'!AM13*1)),IF('Model inputs'!S85="","",'Model inputs'!S85),"")</f>
      </c>
    </row>
    <row r="3326">
      <c r="A3326" t="inlineStr" s="25">
        <is>
          <t xml:space="preserve">Calculation</t>
        </is>
      </c>
      <c r="B3326">
        <f>IF(IF(DATE(2028,3,1)=EDATE(DATE(2029,4,1),-'Model inputs'!AM13*1)="",FALSE,DATE(2028,3,1)=EDATE(DATE(2029,4,1),-'Model inputs'!AM13*1)),IF('Model inputs'!T85="","",'Model inputs'!T85),"")</f>
      </c>
    </row>
    <row r="3327">
      <c r="A3327" t="inlineStr" s="25">
        <is>
          <t xml:space="preserve">Calculation</t>
        </is>
      </c>
      <c r="B3327">
        <f>IF(IF(DATE(2028,4,1)=EDATE(DATE(2029,4,1),-'Model inputs'!AM13*1)="",FALSE,DATE(2028,4,1)=EDATE(DATE(2029,4,1),-'Model inputs'!AM13*1)),IF('Model inputs'!U85="","",'Model inputs'!U85),"")</f>
      </c>
    </row>
    <row r="3328">
      <c r="A3328" t="inlineStr" s="25">
        <is>
          <t xml:space="preserve">Calculation</t>
        </is>
      </c>
      <c r="B3328">
        <f>IF(IF(DATE(2028,5,1)=EDATE(DATE(2029,4,1),-'Model inputs'!AM13*1)="",FALSE,DATE(2028,5,1)=EDATE(DATE(2029,4,1),-'Model inputs'!AM13*1)),IF('Model inputs'!V85="","",'Model inputs'!V85),"")</f>
      </c>
    </row>
    <row r="3329">
      <c r="A3329" t="inlineStr" s="25">
        <is>
          <t xml:space="preserve">Calculation</t>
        </is>
      </c>
      <c r="B3329">
        <f>IF(IF(DATE(2028,6,1)=EDATE(DATE(2029,4,1),-'Model inputs'!AM13*1)="",FALSE,DATE(2028,6,1)=EDATE(DATE(2029,4,1),-'Model inputs'!AM13*1)),IF('Model inputs'!W85="","",'Model inputs'!W85),"")</f>
      </c>
    </row>
    <row r="3330">
      <c r="A3330" t="inlineStr" s="25">
        <is>
          <t xml:space="preserve">Calculation</t>
        </is>
      </c>
      <c r="B3330">
        <f>IF(IF(DATE(2028,7,1)=EDATE(DATE(2029,4,1),-'Model inputs'!AM13*1)="",FALSE,DATE(2028,7,1)=EDATE(DATE(2029,4,1),-'Model inputs'!AM13*1)),IF('Model inputs'!X85="","",'Model inputs'!X85),"")</f>
      </c>
    </row>
    <row r="3331">
      <c r="A3331" t="inlineStr" s="25">
        <is>
          <t xml:space="preserve">Calculation</t>
        </is>
      </c>
      <c r="B3331">
        <f>IF(IF(DATE(2028,8,1)=EDATE(DATE(2029,4,1),-'Model inputs'!AM13*1)="",FALSE,DATE(2028,8,1)=EDATE(DATE(2029,4,1),-'Model inputs'!AM13*1)),IF('Model inputs'!Y85="","",'Model inputs'!Y85),"")</f>
      </c>
    </row>
    <row r="3332">
      <c r="A3332" t="inlineStr" s="25">
        <is>
          <t xml:space="preserve">Calculation</t>
        </is>
      </c>
      <c r="B3332">
        <f>IF(IF(DATE(2028,9,1)=EDATE(DATE(2029,4,1),-'Model inputs'!AM13*1)="",FALSE,DATE(2028,9,1)=EDATE(DATE(2029,4,1),-'Model inputs'!AM13*1)),IF('Model inputs'!Z85="","",'Model inputs'!Z85),"")</f>
      </c>
    </row>
    <row r="3333">
      <c r="A3333" t="inlineStr" s="25">
        <is>
          <t xml:space="preserve">Calculation</t>
        </is>
      </c>
      <c r="B3333">
        <f>IF(IF(DATE(2028,10,1)=EDATE(DATE(2029,4,1),-'Model inputs'!AM13*1)="",FALSE,DATE(2028,10,1)=EDATE(DATE(2029,4,1),-'Model inputs'!AM13*1)),IF('Model inputs'!AA85="","",'Model inputs'!AA85),"")</f>
      </c>
    </row>
    <row r="3334">
      <c r="A3334" t="inlineStr" s="25">
        <is>
          <t xml:space="preserve">Calculation</t>
        </is>
      </c>
      <c r="B3334">
        <f>IF(IF(DATE(2028,11,1)=EDATE(DATE(2029,4,1),-'Model inputs'!AM13*1)="",FALSE,DATE(2028,11,1)=EDATE(DATE(2029,4,1),-'Model inputs'!AM13*1)),IF('Model inputs'!AB85="","",'Model inputs'!AB85),"")</f>
      </c>
    </row>
    <row r="3335">
      <c r="A3335" t="inlineStr" s="25">
        <is>
          <t xml:space="preserve">Calculation</t>
        </is>
      </c>
      <c r="B3335">
        <f>IF(IF(DATE(2028,12,1)=EDATE(DATE(2029,4,1),-'Model inputs'!AM13*1)="",FALSE,DATE(2028,12,1)=EDATE(DATE(2029,4,1),-'Model inputs'!AM13*1)),IF('Model inputs'!AC85="","",'Model inputs'!AC85),"")</f>
      </c>
    </row>
    <row r="3336">
      <c r="A3336" t="inlineStr" s="25">
        <is>
          <t xml:space="preserve">Calculation</t>
        </is>
      </c>
      <c r="B3336">
        <f>IF(IF(DATE(2029,1,1)=EDATE(DATE(2029,4,1),-'Model inputs'!AM13*1)="",FALSE,DATE(2029,1,1)=EDATE(DATE(2029,4,1),-'Model inputs'!AM13*1)),IF('Model inputs'!AD85="","",'Model inputs'!AD85),"")</f>
      </c>
    </row>
    <row r="3337">
      <c r="A3337" t="inlineStr" s="25">
        <is>
          <t xml:space="preserve">Calculation</t>
        </is>
      </c>
      <c r="B3337">
        <f>IF(IF(DATE(2029,2,1)=EDATE(DATE(2029,4,1),-'Model inputs'!AM13*1)="",FALSE,DATE(2029,2,1)=EDATE(DATE(2029,4,1),-'Model inputs'!AM13*1)),IF('Model inputs'!AE85="","",'Model inputs'!AE85),"")</f>
      </c>
    </row>
    <row r="3338">
      <c r="A3338" t="inlineStr" s="25">
        <is>
          <t xml:space="preserve">Calculation</t>
        </is>
      </c>
      <c r="B3338">
        <f>IF(IF(DATE(2029,3,1)=EDATE(DATE(2029,4,1),-'Model inputs'!AM13*1)="",FALSE,DATE(2029,3,1)=EDATE(DATE(2029,4,1),-'Model inputs'!AM13*1)),IF('Model inputs'!AF85="","",'Model inputs'!AF85),"")</f>
      </c>
    </row>
    <row r="3339">
      <c r="A3339" t="inlineStr" s="25">
        <is>
          <t xml:space="preserve">Calculation</t>
        </is>
      </c>
      <c r="B3339">
        <f>IF(IF(DATE(2029,4,1)=EDATE(DATE(2029,4,1),-'Model inputs'!AM13*1)="",FALSE,DATE(2029,4,1)=EDATE(DATE(2029,4,1),-'Model inputs'!AM13*1)),IF('Model inputs'!AG85="","",'Model inputs'!AG85),"")</f>
      </c>
    </row>
    <row r="3340">
      <c r="A3340" t="inlineStr" s="25">
        <is>
          <t xml:space="preserve">Calculation</t>
        </is>
      </c>
      <c r="B3340">
        <f>IF(IF(DATE(2029,5,1)=EDATE(DATE(2029,4,1),-'Model inputs'!AM13*1)="",FALSE,DATE(2029,5,1)=EDATE(DATE(2029,4,1),-'Model inputs'!AM13*1)),IF('Model inputs'!AH85="","",'Model inputs'!AH85),"")</f>
      </c>
    </row>
    <row r="3341">
      <c r="A3341" t="inlineStr" s="25">
        <is>
          <t xml:space="preserve">Calculation</t>
        </is>
      </c>
      <c r="B3341">
        <f>IF(IF(DATE(2029,6,1)=EDATE(DATE(2029,4,1),-'Model inputs'!AM13*1)="",FALSE,DATE(2029,6,1)=EDATE(DATE(2029,4,1),-'Model inputs'!AM13*1)),IF('Model inputs'!AI85="","",'Model inputs'!AI85),"")</f>
      </c>
    </row>
    <row r="3342">
      <c r="A3342" t="inlineStr" s="25">
        <is>
          <t xml:space="preserve">Calculation</t>
        </is>
      </c>
      <c r="B3342">
        <f>IF(IF(DATE(2029,7,1)=EDATE(DATE(2029,4,1),-'Model inputs'!AM13*1)="",FALSE,DATE(2029,7,1)=EDATE(DATE(2029,4,1),-'Model inputs'!AM13*1)),IF('Model inputs'!AJ85="","",'Model inputs'!AJ85),"")</f>
      </c>
    </row>
    <row r="3343">
      <c r="A3343" t="inlineStr" s="25">
        <is>
          <t xml:space="preserve">Calculation</t>
        </is>
      </c>
      <c r="B3343">
        <f>IF(IF(DATE(2029,8,1)=EDATE(DATE(2029,4,1),-'Model inputs'!AM13*1)="",FALSE,DATE(2029,8,1)=EDATE(DATE(2029,4,1),-'Model inputs'!AM13*1)),IF('Model inputs'!AK85="","",'Model inputs'!AK85),"")</f>
      </c>
    </row>
    <row r="3344">
      <c r="A3344" t="inlineStr" s="25">
        <is>
          <t xml:space="preserve">Calculation</t>
        </is>
      </c>
      <c r="B3344">
        <f>IF(IF(DATE(2029,9,1)=EDATE(DATE(2029,4,1),-'Model inputs'!AM13*1)="",FALSE,DATE(2029,9,1)=EDATE(DATE(2029,4,1),-'Model inputs'!AM13*1)),IF('Model inputs'!AL85="","",'Model inputs'!AL85),"")</f>
      </c>
    </row>
    <row r="3345">
      <c r="A3345" t="inlineStr" s="25">
        <is>
          <t xml:space="preserve">Calculation</t>
        </is>
      </c>
      <c r="B3345">
        <f>SUM(IF(IF('Model inputs'!B1971="",0,1)="",0,IF('Model inputs'!B1971="",0,1)),IF(IF('Model inputs'!B3309="",0,1)="",0,IF('Model inputs'!B3309="",0,1)),IF(IF('Model inputs'!B3310="",0,1)="",0,IF('Model inputs'!B3310="",0,1)),IF(IF('Model inputs'!B3311="",0,1)="",0,IF('Model inputs'!B3311="",0,1)),IF(IF('Model inputs'!B3312="",0,1)="",0,IF('Model inputs'!B3312="",0,1)),IF(IF('Model inputs'!B3313="",0,1)="",0,IF('Model inputs'!B3313="",0,1)),IF(IF('Model inputs'!B3314="",0,1)="",0,IF('Model inputs'!B3314="",0,1)),IF(IF('Model inputs'!B3315="",0,1)="",0,IF('Model inputs'!B3315="",0,1)),IF(IF('Model inputs'!B3316="",0,1)="",0,IF('Model inputs'!B3316="",0,1)),IF(IF('Model inputs'!B3317="",0,1)="",0,IF('Model inputs'!B3317="",0,1)),IF(IF('Model inputs'!B3318="",0,1)="",0,IF('Model inputs'!B3318="",0,1)),IF(IF('Model inputs'!B3319="",0,1)="",0,IF('Model inputs'!B3319="",0,1)),IF(IF('Model inputs'!B3320="",0,1)="",0,IF('Model inputs'!B3320="",0,1)),IF(IF('Model inputs'!B3321="",0,1)="",0,IF('Model inputs'!B3321="",0,1)),IF(IF('Model inputs'!B3322="",0,1)="",0,IF('Model inputs'!B3322="",0,1)),IF(IF('Model inputs'!B3323="",0,1)="",0,IF('Model inputs'!B3323="",0,1)),IF(IF('Model inputs'!B3324="",0,1)="",0,IF('Model inputs'!B3324="",0,1)),IF(IF('Model inputs'!B3325="",0,1)="",0,IF('Model inputs'!B3325="",0,1)),IF(IF('Model inputs'!B3326="",0,1)="",0,IF('Model inputs'!B3326="",0,1)),IF(IF('Model inputs'!B3327="",0,1)="",0,IF('Model inputs'!B3327="",0,1)),IF(IF('Model inputs'!B3328="",0,1)="",0,IF('Model inputs'!B3328="",0,1)),IF(IF('Model inputs'!B3329="",0,1)="",0,IF('Model inputs'!B3329="",0,1)),IF(IF('Model inputs'!B3330="",0,1)="",0,IF('Model inputs'!B3330="",0,1)),IF(IF('Model inputs'!B3331="",0,1)="",0,IF('Model inputs'!B3331="",0,1)),IF(IF('Model inputs'!B3332="",0,1)="",0,IF('Model inputs'!B3332="",0,1)),IF(IF('Model inputs'!B3333="",0,1)="",0,IF('Model inputs'!B3333="",0,1)),IF(IF('Model inputs'!B3334="",0,1)="",0,IF('Model inputs'!B3334="",0,1)),IF(IF('Model inputs'!B3335="",0,1)="",0,IF('Model inputs'!B3335="",0,1)),IF(IF('Model inputs'!B3336="",0,1)="",0,IF('Model inputs'!B3336="",0,1)),IF(IF('Model inputs'!B3337="",0,1)="",0,IF('Model inputs'!B3337="",0,1)),IF(IF('Model inputs'!B3338="",0,1)="",0,IF('Model inputs'!B3338="",0,1)),IF(IF('Model inputs'!B3339="",0,1)="",0,IF('Model inputs'!B3339="",0,1)),IF(IF('Model inputs'!B3340="",0,1)="",0,IF('Model inputs'!B3340="",0,1)),IF(IF('Model inputs'!B3341="",0,1)="",0,IF('Model inputs'!B3341="",0,1)),IF(IF('Model inputs'!B3342="",0,1)="",0,IF('Model inputs'!B3342="",0,1)),IF(IF('Model inputs'!B3343="",0,1)="",0,IF('Model inputs'!B3343="",0,1)),IF(IF('Model inputs'!B3344="",0,1)="",0,IF('Model inputs'!B3344="",0,1)))</f>
      </c>
    </row>
    <row r="3346">
      <c r="A3346" t="inlineStr" s="25">
        <is>
          <t xml:space="preserve">Calculation</t>
        </is>
      </c>
      <c r="B3346">
        <f>IF(IF(DATE(2026,10,1)=EDATE(DATE(2029,5,1),-'Model inputs'!AM13*1)="",FALSE,DATE(2026,10,1)=EDATE(DATE(2029,5,1),-'Model inputs'!AM13*1)),IF('Model inputs'!C85="","",'Model inputs'!C85),"")</f>
      </c>
    </row>
    <row r="3347">
      <c r="A3347" t="inlineStr" s="25">
        <is>
          <t xml:space="preserve">Calculation</t>
        </is>
      </c>
      <c r="B3347">
        <f>IF(IF(DATE(2026,11,1)=EDATE(DATE(2029,5,1),-'Model inputs'!AM13*1)="",FALSE,DATE(2026,11,1)=EDATE(DATE(2029,5,1),-'Model inputs'!AM13*1)),IF('Model inputs'!D85="","",'Model inputs'!D85),"")</f>
      </c>
    </row>
    <row r="3348">
      <c r="A3348" t="inlineStr" s="25">
        <is>
          <t xml:space="preserve">Calculation</t>
        </is>
      </c>
      <c r="B3348">
        <f>IF(IF(DATE(2026,12,1)=EDATE(DATE(2029,5,1),-'Model inputs'!AM13*1)="",FALSE,DATE(2026,12,1)=EDATE(DATE(2029,5,1),-'Model inputs'!AM13*1)),IF('Model inputs'!E85="","",'Model inputs'!E85),"")</f>
      </c>
    </row>
    <row r="3349">
      <c r="A3349" t="inlineStr" s="25">
        <is>
          <t xml:space="preserve">Calculation</t>
        </is>
      </c>
      <c r="B3349">
        <f>IF(IF(DATE(2027,1,1)=EDATE(DATE(2029,5,1),-'Model inputs'!AM13*1)="",FALSE,DATE(2027,1,1)=EDATE(DATE(2029,5,1),-'Model inputs'!AM13*1)),IF('Model inputs'!F85="","",'Model inputs'!F85),"")</f>
      </c>
    </row>
    <row r="3350">
      <c r="A3350" t="inlineStr" s="25">
        <is>
          <t xml:space="preserve">Calculation</t>
        </is>
      </c>
      <c r="B3350">
        <f>IF(IF(DATE(2027,2,1)=EDATE(DATE(2029,5,1),-'Model inputs'!AM13*1)="",FALSE,DATE(2027,2,1)=EDATE(DATE(2029,5,1),-'Model inputs'!AM13*1)),IF('Model inputs'!G85="","",'Model inputs'!G85),"")</f>
      </c>
    </row>
    <row r="3351">
      <c r="A3351" t="inlineStr" s="25">
        <is>
          <t xml:space="preserve">Calculation</t>
        </is>
      </c>
      <c r="B3351">
        <f>IF(IF(DATE(2027,3,1)=EDATE(DATE(2029,5,1),-'Model inputs'!AM13*1)="",FALSE,DATE(2027,3,1)=EDATE(DATE(2029,5,1),-'Model inputs'!AM13*1)),IF('Model inputs'!H85="","",'Model inputs'!H85),"")</f>
      </c>
    </row>
    <row r="3352">
      <c r="A3352" t="inlineStr" s="25">
        <is>
          <t xml:space="preserve">Calculation</t>
        </is>
      </c>
      <c r="B3352">
        <f>IF(IF(DATE(2027,4,1)=EDATE(DATE(2029,5,1),-'Model inputs'!AM13*1)="",FALSE,DATE(2027,4,1)=EDATE(DATE(2029,5,1),-'Model inputs'!AM13*1)),IF('Model inputs'!I85="","",'Model inputs'!I85),"")</f>
      </c>
    </row>
    <row r="3353">
      <c r="A3353" t="inlineStr" s="25">
        <is>
          <t xml:space="preserve">Calculation</t>
        </is>
      </c>
      <c r="B3353">
        <f>IF(IF(DATE(2027,5,1)=EDATE(DATE(2029,5,1),-'Model inputs'!AM13*1)="",FALSE,DATE(2027,5,1)=EDATE(DATE(2029,5,1),-'Model inputs'!AM13*1)),IF('Model inputs'!J85="","",'Model inputs'!J85),"")</f>
      </c>
    </row>
    <row r="3354">
      <c r="A3354" t="inlineStr" s="25">
        <is>
          <t xml:space="preserve">Calculation</t>
        </is>
      </c>
      <c r="B3354">
        <f>IF(IF(DATE(2027,6,1)=EDATE(DATE(2029,5,1),-'Model inputs'!AM13*1)="",FALSE,DATE(2027,6,1)=EDATE(DATE(2029,5,1),-'Model inputs'!AM13*1)),IF('Model inputs'!K85="","",'Model inputs'!K85),"")</f>
      </c>
    </row>
    <row r="3355">
      <c r="A3355" t="inlineStr" s="25">
        <is>
          <t xml:space="preserve">Calculation</t>
        </is>
      </c>
      <c r="B3355">
        <f>IF(IF(DATE(2027,7,1)=EDATE(DATE(2029,5,1),-'Model inputs'!AM13*1)="",FALSE,DATE(2027,7,1)=EDATE(DATE(2029,5,1),-'Model inputs'!AM13*1)),IF('Model inputs'!L85="","",'Model inputs'!L85),"")</f>
      </c>
    </row>
    <row r="3356">
      <c r="A3356" t="inlineStr" s="25">
        <is>
          <t xml:space="preserve">Calculation</t>
        </is>
      </c>
      <c r="B3356">
        <f>IF(IF(DATE(2027,8,1)=EDATE(DATE(2029,5,1),-'Model inputs'!AM13*1)="",FALSE,DATE(2027,8,1)=EDATE(DATE(2029,5,1),-'Model inputs'!AM13*1)),IF('Model inputs'!M85="","",'Model inputs'!M85),"")</f>
      </c>
    </row>
    <row r="3357">
      <c r="A3357" t="inlineStr" s="25">
        <is>
          <t xml:space="preserve">Calculation</t>
        </is>
      </c>
      <c r="B3357">
        <f>IF(IF(DATE(2027,9,1)=EDATE(DATE(2029,5,1),-'Model inputs'!AM13*1)="",FALSE,DATE(2027,9,1)=EDATE(DATE(2029,5,1),-'Model inputs'!AM13*1)),IF('Model inputs'!N85="","",'Model inputs'!N85),"")</f>
      </c>
    </row>
    <row r="3358">
      <c r="A3358" t="inlineStr" s="25">
        <is>
          <t xml:space="preserve">Calculation</t>
        </is>
      </c>
      <c r="B3358">
        <f>IF(IF(DATE(2027,10,1)=EDATE(DATE(2029,5,1),-'Model inputs'!AM13*1)="",FALSE,DATE(2027,10,1)=EDATE(DATE(2029,5,1),-'Model inputs'!AM13*1)),IF('Model inputs'!O85="","",'Model inputs'!O85),"")</f>
      </c>
    </row>
    <row r="3359">
      <c r="A3359" t="inlineStr" s="25">
        <is>
          <t xml:space="preserve">Calculation</t>
        </is>
      </c>
      <c r="B3359">
        <f>IF(IF(DATE(2027,11,1)=EDATE(DATE(2029,5,1),-'Model inputs'!AM13*1)="",FALSE,DATE(2027,11,1)=EDATE(DATE(2029,5,1),-'Model inputs'!AM13*1)),IF('Model inputs'!P85="","",'Model inputs'!P85),"")</f>
      </c>
    </row>
    <row r="3360">
      <c r="A3360" t="inlineStr" s="25">
        <is>
          <t xml:space="preserve">Calculation</t>
        </is>
      </c>
      <c r="B3360">
        <f>IF(IF(DATE(2027,12,1)=EDATE(DATE(2029,5,1),-'Model inputs'!AM13*1)="",FALSE,DATE(2027,12,1)=EDATE(DATE(2029,5,1),-'Model inputs'!AM13*1)),IF('Model inputs'!Q85="","",'Model inputs'!Q85),"")</f>
      </c>
    </row>
    <row r="3361">
      <c r="A3361" t="inlineStr" s="25">
        <is>
          <t xml:space="preserve">Calculation</t>
        </is>
      </c>
      <c r="B3361">
        <f>IF(IF(DATE(2028,1,1)=EDATE(DATE(2029,5,1),-'Model inputs'!AM13*1)="",FALSE,DATE(2028,1,1)=EDATE(DATE(2029,5,1),-'Model inputs'!AM13*1)),IF('Model inputs'!R85="","",'Model inputs'!R85),"")</f>
      </c>
    </row>
    <row r="3362">
      <c r="A3362" t="inlineStr" s="25">
        <is>
          <t xml:space="preserve">Calculation</t>
        </is>
      </c>
      <c r="B3362">
        <f>IF(IF(DATE(2028,2,1)=EDATE(DATE(2029,5,1),-'Model inputs'!AM13*1)="",FALSE,DATE(2028,2,1)=EDATE(DATE(2029,5,1),-'Model inputs'!AM13*1)),IF('Model inputs'!S85="","",'Model inputs'!S85),"")</f>
      </c>
    </row>
    <row r="3363">
      <c r="A3363" t="inlineStr" s="25">
        <is>
          <t xml:space="preserve">Calculation</t>
        </is>
      </c>
      <c r="B3363">
        <f>IF(IF(DATE(2028,3,1)=EDATE(DATE(2029,5,1),-'Model inputs'!AM13*1)="",FALSE,DATE(2028,3,1)=EDATE(DATE(2029,5,1),-'Model inputs'!AM13*1)),IF('Model inputs'!T85="","",'Model inputs'!T85),"")</f>
      </c>
    </row>
    <row r="3364">
      <c r="A3364" t="inlineStr" s="25">
        <is>
          <t xml:space="preserve">Calculation</t>
        </is>
      </c>
      <c r="B3364">
        <f>IF(IF(DATE(2028,4,1)=EDATE(DATE(2029,5,1),-'Model inputs'!AM13*1)="",FALSE,DATE(2028,4,1)=EDATE(DATE(2029,5,1),-'Model inputs'!AM13*1)),IF('Model inputs'!U85="","",'Model inputs'!U85),"")</f>
      </c>
    </row>
    <row r="3365">
      <c r="A3365" t="inlineStr" s="25">
        <is>
          <t xml:space="preserve">Calculation</t>
        </is>
      </c>
      <c r="B3365">
        <f>IF(IF(DATE(2028,5,1)=EDATE(DATE(2029,5,1),-'Model inputs'!AM13*1)="",FALSE,DATE(2028,5,1)=EDATE(DATE(2029,5,1),-'Model inputs'!AM13*1)),IF('Model inputs'!V85="","",'Model inputs'!V85),"")</f>
      </c>
    </row>
    <row r="3366">
      <c r="A3366" t="inlineStr" s="25">
        <is>
          <t xml:space="preserve">Calculation</t>
        </is>
      </c>
      <c r="B3366">
        <f>IF(IF(DATE(2028,6,1)=EDATE(DATE(2029,5,1),-'Model inputs'!AM13*1)="",FALSE,DATE(2028,6,1)=EDATE(DATE(2029,5,1),-'Model inputs'!AM13*1)),IF('Model inputs'!W85="","",'Model inputs'!W85),"")</f>
      </c>
    </row>
    <row r="3367">
      <c r="A3367" t="inlineStr" s="25">
        <is>
          <t xml:space="preserve">Calculation</t>
        </is>
      </c>
      <c r="B3367">
        <f>IF(IF(DATE(2028,7,1)=EDATE(DATE(2029,5,1),-'Model inputs'!AM13*1)="",FALSE,DATE(2028,7,1)=EDATE(DATE(2029,5,1),-'Model inputs'!AM13*1)),IF('Model inputs'!X85="","",'Model inputs'!X85),"")</f>
      </c>
    </row>
    <row r="3368">
      <c r="A3368" t="inlineStr" s="25">
        <is>
          <t xml:space="preserve">Calculation</t>
        </is>
      </c>
      <c r="B3368">
        <f>IF(IF(DATE(2028,8,1)=EDATE(DATE(2029,5,1),-'Model inputs'!AM13*1)="",FALSE,DATE(2028,8,1)=EDATE(DATE(2029,5,1),-'Model inputs'!AM13*1)),IF('Model inputs'!Y85="","",'Model inputs'!Y85),"")</f>
      </c>
    </row>
    <row r="3369">
      <c r="A3369" t="inlineStr" s="25">
        <is>
          <t xml:space="preserve">Calculation</t>
        </is>
      </c>
      <c r="B3369">
        <f>IF(IF(DATE(2028,9,1)=EDATE(DATE(2029,5,1),-'Model inputs'!AM13*1)="",FALSE,DATE(2028,9,1)=EDATE(DATE(2029,5,1),-'Model inputs'!AM13*1)),IF('Model inputs'!Z85="","",'Model inputs'!Z85),"")</f>
      </c>
    </row>
    <row r="3370">
      <c r="A3370" t="inlineStr" s="25">
        <is>
          <t xml:space="preserve">Calculation</t>
        </is>
      </c>
      <c r="B3370">
        <f>IF(IF(DATE(2028,10,1)=EDATE(DATE(2029,5,1),-'Model inputs'!AM13*1)="",FALSE,DATE(2028,10,1)=EDATE(DATE(2029,5,1),-'Model inputs'!AM13*1)),IF('Model inputs'!AA85="","",'Model inputs'!AA85),"")</f>
      </c>
    </row>
    <row r="3371">
      <c r="A3371" t="inlineStr" s="25">
        <is>
          <t xml:space="preserve">Calculation</t>
        </is>
      </c>
      <c r="B3371">
        <f>IF(IF(DATE(2028,11,1)=EDATE(DATE(2029,5,1),-'Model inputs'!AM13*1)="",FALSE,DATE(2028,11,1)=EDATE(DATE(2029,5,1),-'Model inputs'!AM13*1)),IF('Model inputs'!AB85="","",'Model inputs'!AB85),"")</f>
      </c>
    </row>
    <row r="3372">
      <c r="A3372" t="inlineStr" s="25">
        <is>
          <t xml:space="preserve">Calculation</t>
        </is>
      </c>
      <c r="B3372">
        <f>IF(IF(DATE(2028,12,1)=EDATE(DATE(2029,5,1),-'Model inputs'!AM13*1)="",FALSE,DATE(2028,12,1)=EDATE(DATE(2029,5,1),-'Model inputs'!AM13*1)),IF('Model inputs'!AC85="","",'Model inputs'!AC85),"")</f>
      </c>
    </row>
    <row r="3373">
      <c r="A3373" t="inlineStr" s="25">
        <is>
          <t xml:space="preserve">Calculation</t>
        </is>
      </c>
      <c r="B3373">
        <f>IF(IF(DATE(2029,1,1)=EDATE(DATE(2029,5,1),-'Model inputs'!AM13*1)="",FALSE,DATE(2029,1,1)=EDATE(DATE(2029,5,1),-'Model inputs'!AM13*1)),IF('Model inputs'!AD85="","",'Model inputs'!AD85),"")</f>
      </c>
    </row>
    <row r="3374">
      <c r="A3374" t="inlineStr" s="25">
        <is>
          <t xml:space="preserve">Calculation</t>
        </is>
      </c>
      <c r="B3374">
        <f>IF(IF(DATE(2029,2,1)=EDATE(DATE(2029,5,1),-'Model inputs'!AM13*1)="",FALSE,DATE(2029,2,1)=EDATE(DATE(2029,5,1),-'Model inputs'!AM13*1)),IF('Model inputs'!AE85="","",'Model inputs'!AE85),"")</f>
      </c>
    </row>
    <row r="3375">
      <c r="A3375" t="inlineStr" s="25">
        <is>
          <t xml:space="preserve">Calculation</t>
        </is>
      </c>
      <c r="B3375">
        <f>IF(IF(DATE(2029,3,1)=EDATE(DATE(2029,5,1),-'Model inputs'!AM13*1)="",FALSE,DATE(2029,3,1)=EDATE(DATE(2029,5,1),-'Model inputs'!AM13*1)),IF('Model inputs'!AF85="","",'Model inputs'!AF85),"")</f>
      </c>
    </row>
    <row r="3376">
      <c r="A3376" t="inlineStr" s="25">
        <is>
          <t xml:space="preserve">Calculation</t>
        </is>
      </c>
      <c r="B3376">
        <f>IF(IF(DATE(2029,4,1)=EDATE(DATE(2029,5,1),-'Model inputs'!AM13*1)="",FALSE,DATE(2029,4,1)=EDATE(DATE(2029,5,1),-'Model inputs'!AM13*1)),IF('Model inputs'!AG85="","",'Model inputs'!AG85),"")</f>
      </c>
    </row>
    <row r="3377">
      <c r="A3377" t="inlineStr" s="25">
        <is>
          <t xml:space="preserve">Calculation</t>
        </is>
      </c>
      <c r="B3377">
        <f>IF(IF(DATE(2029,5,1)=EDATE(DATE(2029,5,1),-'Model inputs'!AM13*1)="",FALSE,DATE(2029,5,1)=EDATE(DATE(2029,5,1),-'Model inputs'!AM13*1)),IF('Model inputs'!AH85="","",'Model inputs'!AH85),"")</f>
      </c>
    </row>
    <row r="3378">
      <c r="A3378" t="inlineStr" s="25">
        <is>
          <t xml:space="preserve">Calculation</t>
        </is>
      </c>
      <c r="B3378">
        <f>IF(IF(DATE(2029,6,1)=EDATE(DATE(2029,5,1),-'Model inputs'!AM13*1)="",FALSE,DATE(2029,6,1)=EDATE(DATE(2029,5,1),-'Model inputs'!AM13*1)),IF('Model inputs'!AI85="","",'Model inputs'!AI85),"")</f>
      </c>
    </row>
    <row r="3379">
      <c r="A3379" t="inlineStr" s="25">
        <is>
          <t xml:space="preserve">Calculation</t>
        </is>
      </c>
      <c r="B3379">
        <f>IF(IF(DATE(2029,7,1)=EDATE(DATE(2029,5,1),-'Model inputs'!AM13*1)="",FALSE,DATE(2029,7,1)=EDATE(DATE(2029,5,1),-'Model inputs'!AM13*1)),IF('Model inputs'!AJ85="","",'Model inputs'!AJ85),"")</f>
      </c>
    </row>
    <row r="3380">
      <c r="A3380" t="inlineStr" s="25">
        <is>
          <t xml:space="preserve">Calculation</t>
        </is>
      </c>
      <c r="B3380">
        <f>IF(IF(DATE(2029,8,1)=EDATE(DATE(2029,5,1),-'Model inputs'!AM13*1)="",FALSE,DATE(2029,8,1)=EDATE(DATE(2029,5,1),-'Model inputs'!AM13*1)),IF('Model inputs'!AK85="","",'Model inputs'!AK85),"")</f>
      </c>
    </row>
    <row r="3381">
      <c r="A3381" t="inlineStr" s="25">
        <is>
          <t xml:space="preserve">Calculation</t>
        </is>
      </c>
      <c r="B3381">
        <f>IF(IF(DATE(2029,9,1)=EDATE(DATE(2029,5,1),-'Model inputs'!AM13*1)="",FALSE,DATE(2029,9,1)=EDATE(DATE(2029,5,1),-'Model inputs'!AM13*1)),IF('Model inputs'!AL85="","",'Model inputs'!AL85),"")</f>
      </c>
    </row>
    <row r="3382">
      <c r="A3382" t="inlineStr" s="25">
        <is>
          <t xml:space="preserve">Calculation</t>
        </is>
      </c>
      <c r="B3382">
        <f>SUM(IF(IF('Model inputs'!B2009="",0,1)="",0,IF('Model inputs'!B2009="",0,1)),IF(IF('Model inputs'!B3346="",0,1)="",0,IF('Model inputs'!B3346="",0,1)),IF(IF('Model inputs'!B3347="",0,1)="",0,IF('Model inputs'!B3347="",0,1)),IF(IF('Model inputs'!B3348="",0,1)="",0,IF('Model inputs'!B3348="",0,1)),IF(IF('Model inputs'!B3349="",0,1)="",0,IF('Model inputs'!B3349="",0,1)),IF(IF('Model inputs'!B3350="",0,1)="",0,IF('Model inputs'!B3350="",0,1)),IF(IF('Model inputs'!B3351="",0,1)="",0,IF('Model inputs'!B3351="",0,1)),IF(IF('Model inputs'!B3352="",0,1)="",0,IF('Model inputs'!B3352="",0,1)),IF(IF('Model inputs'!B3353="",0,1)="",0,IF('Model inputs'!B3353="",0,1)),IF(IF('Model inputs'!B3354="",0,1)="",0,IF('Model inputs'!B3354="",0,1)),IF(IF('Model inputs'!B3355="",0,1)="",0,IF('Model inputs'!B3355="",0,1)),IF(IF('Model inputs'!B3356="",0,1)="",0,IF('Model inputs'!B3356="",0,1)),IF(IF('Model inputs'!B3357="",0,1)="",0,IF('Model inputs'!B3357="",0,1)),IF(IF('Model inputs'!B3358="",0,1)="",0,IF('Model inputs'!B3358="",0,1)),IF(IF('Model inputs'!B3359="",0,1)="",0,IF('Model inputs'!B3359="",0,1)),IF(IF('Model inputs'!B3360="",0,1)="",0,IF('Model inputs'!B3360="",0,1)),IF(IF('Model inputs'!B3361="",0,1)="",0,IF('Model inputs'!B3361="",0,1)),IF(IF('Model inputs'!B3362="",0,1)="",0,IF('Model inputs'!B3362="",0,1)),IF(IF('Model inputs'!B3363="",0,1)="",0,IF('Model inputs'!B3363="",0,1)),IF(IF('Model inputs'!B3364="",0,1)="",0,IF('Model inputs'!B3364="",0,1)),IF(IF('Model inputs'!B3365="",0,1)="",0,IF('Model inputs'!B3365="",0,1)),IF(IF('Model inputs'!B3366="",0,1)="",0,IF('Model inputs'!B3366="",0,1)),IF(IF('Model inputs'!B3367="",0,1)="",0,IF('Model inputs'!B3367="",0,1)),IF(IF('Model inputs'!B3368="",0,1)="",0,IF('Model inputs'!B3368="",0,1)),IF(IF('Model inputs'!B3369="",0,1)="",0,IF('Model inputs'!B3369="",0,1)),IF(IF('Model inputs'!B3370="",0,1)="",0,IF('Model inputs'!B3370="",0,1)),IF(IF('Model inputs'!B3371="",0,1)="",0,IF('Model inputs'!B3371="",0,1)),IF(IF('Model inputs'!B3372="",0,1)="",0,IF('Model inputs'!B3372="",0,1)),IF(IF('Model inputs'!B3373="",0,1)="",0,IF('Model inputs'!B3373="",0,1)),IF(IF('Model inputs'!B3374="",0,1)="",0,IF('Model inputs'!B3374="",0,1)),IF(IF('Model inputs'!B3375="",0,1)="",0,IF('Model inputs'!B3375="",0,1)),IF(IF('Model inputs'!B3376="",0,1)="",0,IF('Model inputs'!B3376="",0,1)),IF(IF('Model inputs'!B3377="",0,1)="",0,IF('Model inputs'!B3377="",0,1)),IF(IF('Model inputs'!B3378="",0,1)="",0,IF('Model inputs'!B3378="",0,1)),IF(IF('Model inputs'!B3379="",0,1)="",0,IF('Model inputs'!B3379="",0,1)),IF(IF('Model inputs'!B3380="",0,1)="",0,IF('Model inputs'!B3380="",0,1)),IF(IF('Model inputs'!B3381="",0,1)="",0,IF('Model inputs'!B3381="",0,1)))</f>
      </c>
    </row>
    <row r="3383">
      <c r="A3383" t="inlineStr" s="25">
        <is>
          <t xml:space="preserve">Calculation</t>
        </is>
      </c>
      <c r="B3383">
        <f>IF(IF(DATE(2026,10,1)=EDATE(DATE(2029,6,1),-'Model inputs'!AM13*1)="",FALSE,DATE(2026,10,1)=EDATE(DATE(2029,6,1),-'Model inputs'!AM13*1)),IF('Model inputs'!C85="","",'Model inputs'!C85),"")</f>
      </c>
    </row>
    <row r="3384">
      <c r="A3384" t="inlineStr" s="25">
        <is>
          <t xml:space="preserve">Calculation</t>
        </is>
      </c>
      <c r="B3384">
        <f>IF(IF(DATE(2026,11,1)=EDATE(DATE(2029,6,1),-'Model inputs'!AM13*1)="",FALSE,DATE(2026,11,1)=EDATE(DATE(2029,6,1),-'Model inputs'!AM13*1)),IF('Model inputs'!D85="","",'Model inputs'!D85),"")</f>
      </c>
    </row>
    <row r="3385">
      <c r="A3385" t="inlineStr" s="25">
        <is>
          <t xml:space="preserve">Calculation</t>
        </is>
      </c>
      <c r="B3385">
        <f>IF(IF(DATE(2026,12,1)=EDATE(DATE(2029,6,1),-'Model inputs'!AM13*1)="",FALSE,DATE(2026,12,1)=EDATE(DATE(2029,6,1),-'Model inputs'!AM13*1)),IF('Model inputs'!E85="","",'Model inputs'!E85),"")</f>
      </c>
    </row>
    <row r="3386">
      <c r="A3386" t="inlineStr" s="25">
        <is>
          <t xml:space="preserve">Calculation</t>
        </is>
      </c>
      <c r="B3386">
        <f>IF(IF(DATE(2027,1,1)=EDATE(DATE(2029,6,1),-'Model inputs'!AM13*1)="",FALSE,DATE(2027,1,1)=EDATE(DATE(2029,6,1),-'Model inputs'!AM13*1)),IF('Model inputs'!F85="","",'Model inputs'!F85),"")</f>
      </c>
    </row>
    <row r="3387">
      <c r="A3387" t="inlineStr" s="25">
        <is>
          <t xml:space="preserve">Calculation</t>
        </is>
      </c>
      <c r="B3387">
        <f>IF(IF(DATE(2027,2,1)=EDATE(DATE(2029,6,1),-'Model inputs'!AM13*1)="",FALSE,DATE(2027,2,1)=EDATE(DATE(2029,6,1),-'Model inputs'!AM13*1)),IF('Model inputs'!G85="","",'Model inputs'!G85),"")</f>
      </c>
    </row>
    <row r="3388">
      <c r="A3388" t="inlineStr" s="25">
        <is>
          <t xml:space="preserve">Calculation</t>
        </is>
      </c>
      <c r="B3388">
        <f>IF(IF(DATE(2027,3,1)=EDATE(DATE(2029,6,1),-'Model inputs'!AM13*1)="",FALSE,DATE(2027,3,1)=EDATE(DATE(2029,6,1),-'Model inputs'!AM13*1)),IF('Model inputs'!H85="","",'Model inputs'!H85),"")</f>
      </c>
    </row>
    <row r="3389">
      <c r="A3389" t="inlineStr" s="25">
        <is>
          <t xml:space="preserve">Calculation</t>
        </is>
      </c>
      <c r="B3389">
        <f>IF(IF(DATE(2027,4,1)=EDATE(DATE(2029,6,1),-'Model inputs'!AM13*1)="",FALSE,DATE(2027,4,1)=EDATE(DATE(2029,6,1),-'Model inputs'!AM13*1)),IF('Model inputs'!I85="","",'Model inputs'!I85),"")</f>
      </c>
    </row>
    <row r="3390">
      <c r="A3390" t="inlineStr" s="25">
        <is>
          <t xml:space="preserve">Calculation</t>
        </is>
      </c>
      <c r="B3390">
        <f>IF(IF(DATE(2027,5,1)=EDATE(DATE(2029,6,1),-'Model inputs'!AM13*1)="",FALSE,DATE(2027,5,1)=EDATE(DATE(2029,6,1),-'Model inputs'!AM13*1)),IF('Model inputs'!J85="","",'Model inputs'!J85),"")</f>
      </c>
    </row>
    <row r="3391">
      <c r="A3391" t="inlineStr" s="25">
        <is>
          <t xml:space="preserve">Calculation</t>
        </is>
      </c>
      <c r="B3391">
        <f>IF(IF(DATE(2027,6,1)=EDATE(DATE(2029,6,1),-'Model inputs'!AM13*1)="",FALSE,DATE(2027,6,1)=EDATE(DATE(2029,6,1),-'Model inputs'!AM13*1)),IF('Model inputs'!K85="","",'Model inputs'!K85),"")</f>
      </c>
    </row>
    <row r="3392">
      <c r="A3392" t="inlineStr" s="25">
        <is>
          <t xml:space="preserve">Calculation</t>
        </is>
      </c>
      <c r="B3392">
        <f>IF(IF(DATE(2027,7,1)=EDATE(DATE(2029,6,1),-'Model inputs'!AM13*1)="",FALSE,DATE(2027,7,1)=EDATE(DATE(2029,6,1),-'Model inputs'!AM13*1)),IF('Model inputs'!L85="","",'Model inputs'!L85),"")</f>
      </c>
    </row>
    <row r="3393">
      <c r="A3393" t="inlineStr" s="25">
        <is>
          <t xml:space="preserve">Calculation</t>
        </is>
      </c>
      <c r="B3393">
        <f>IF(IF(DATE(2027,8,1)=EDATE(DATE(2029,6,1),-'Model inputs'!AM13*1)="",FALSE,DATE(2027,8,1)=EDATE(DATE(2029,6,1),-'Model inputs'!AM13*1)),IF('Model inputs'!M85="","",'Model inputs'!M85),"")</f>
      </c>
    </row>
    <row r="3394">
      <c r="A3394" t="inlineStr" s="25">
        <is>
          <t xml:space="preserve">Calculation</t>
        </is>
      </c>
      <c r="B3394">
        <f>IF(IF(DATE(2027,9,1)=EDATE(DATE(2029,6,1),-'Model inputs'!AM13*1)="",FALSE,DATE(2027,9,1)=EDATE(DATE(2029,6,1),-'Model inputs'!AM13*1)),IF('Model inputs'!N85="","",'Model inputs'!N85),"")</f>
      </c>
    </row>
    <row r="3395">
      <c r="A3395" t="inlineStr" s="25">
        <is>
          <t xml:space="preserve">Calculation</t>
        </is>
      </c>
      <c r="B3395">
        <f>IF(IF(DATE(2027,10,1)=EDATE(DATE(2029,6,1),-'Model inputs'!AM13*1)="",FALSE,DATE(2027,10,1)=EDATE(DATE(2029,6,1),-'Model inputs'!AM13*1)),IF('Model inputs'!O85="","",'Model inputs'!O85),"")</f>
      </c>
    </row>
    <row r="3396">
      <c r="A3396" t="inlineStr" s="25">
        <is>
          <t xml:space="preserve">Calculation</t>
        </is>
      </c>
      <c r="B3396">
        <f>IF(IF(DATE(2027,11,1)=EDATE(DATE(2029,6,1),-'Model inputs'!AM13*1)="",FALSE,DATE(2027,11,1)=EDATE(DATE(2029,6,1),-'Model inputs'!AM13*1)),IF('Model inputs'!P85="","",'Model inputs'!P85),"")</f>
      </c>
    </row>
    <row r="3397">
      <c r="A3397" t="inlineStr" s="25">
        <is>
          <t xml:space="preserve">Calculation</t>
        </is>
      </c>
      <c r="B3397">
        <f>IF(IF(DATE(2027,12,1)=EDATE(DATE(2029,6,1),-'Model inputs'!AM13*1)="",FALSE,DATE(2027,12,1)=EDATE(DATE(2029,6,1),-'Model inputs'!AM13*1)),IF('Model inputs'!Q85="","",'Model inputs'!Q85),"")</f>
      </c>
    </row>
    <row r="3398">
      <c r="A3398" t="inlineStr" s="25">
        <is>
          <t xml:space="preserve">Calculation</t>
        </is>
      </c>
      <c r="B3398">
        <f>IF(IF(DATE(2028,1,1)=EDATE(DATE(2029,6,1),-'Model inputs'!AM13*1)="",FALSE,DATE(2028,1,1)=EDATE(DATE(2029,6,1),-'Model inputs'!AM13*1)),IF('Model inputs'!R85="","",'Model inputs'!R85),"")</f>
      </c>
    </row>
    <row r="3399">
      <c r="A3399" t="inlineStr" s="25">
        <is>
          <t xml:space="preserve">Calculation</t>
        </is>
      </c>
      <c r="B3399">
        <f>IF(IF(DATE(2028,2,1)=EDATE(DATE(2029,6,1),-'Model inputs'!AM13*1)="",FALSE,DATE(2028,2,1)=EDATE(DATE(2029,6,1),-'Model inputs'!AM13*1)),IF('Model inputs'!S85="","",'Model inputs'!S85),"")</f>
      </c>
    </row>
    <row r="3400">
      <c r="A3400" t="inlineStr" s="25">
        <is>
          <t xml:space="preserve">Calculation</t>
        </is>
      </c>
      <c r="B3400">
        <f>IF(IF(DATE(2028,3,1)=EDATE(DATE(2029,6,1),-'Model inputs'!AM13*1)="",FALSE,DATE(2028,3,1)=EDATE(DATE(2029,6,1),-'Model inputs'!AM13*1)),IF('Model inputs'!T85="","",'Model inputs'!T85),"")</f>
      </c>
    </row>
    <row r="3401">
      <c r="A3401" t="inlineStr" s="25">
        <is>
          <t xml:space="preserve">Calculation</t>
        </is>
      </c>
      <c r="B3401">
        <f>IF(IF(DATE(2028,4,1)=EDATE(DATE(2029,6,1),-'Model inputs'!AM13*1)="",FALSE,DATE(2028,4,1)=EDATE(DATE(2029,6,1),-'Model inputs'!AM13*1)),IF('Model inputs'!U85="","",'Model inputs'!U85),"")</f>
      </c>
    </row>
    <row r="3402">
      <c r="A3402" t="inlineStr" s="25">
        <is>
          <t xml:space="preserve">Calculation</t>
        </is>
      </c>
      <c r="B3402">
        <f>IF(IF(DATE(2028,5,1)=EDATE(DATE(2029,6,1),-'Model inputs'!AM13*1)="",FALSE,DATE(2028,5,1)=EDATE(DATE(2029,6,1),-'Model inputs'!AM13*1)),IF('Model inputs'!V85="","",'Model inputs'!V85),"")</f>
      </c>
    </row>
    <row r="3403">
      <c r="A3403" t="inlineStr" s="25">
        <is>
          <t xml:space="preserve">Calculation</t>
        </is>
      </c>
      <c r="B3403">
        <f>IF(IF(DATE(2028,6,1)=EDATE(DATE(2029,6,1),-'Model inputs'!AM13*1)="",FALSE,DATE(2028,6,1)=EDATE(DATE(2029,6,1),-'Model inputs'!AM13*1)),IF('Model inputs'!W85="","",'Model inputs'!W85),"")</f>
      </c>
    </row>
    <row r="3404">
      <c r="A3404" t="inlineStr" s="25">
        <is>
          <t xml:space="preserve">Calculation</t>
        </is>
      </c>
      <c r="B3404">
        <f>IF(IF(DATE(2028,7,1)=EDATE(DATE(2029,6,1),-'Model inputs'!AM13*1)="",FALSE,DATE(2028,7,1)=EDATE(DATE(2029,6,1),-'Model inputs'!AM13*1)),IF('Model inputs'!X85="","",'Model inputs'!X85),"")</f>
      </c>
    </row>
    <row r="3405">
      <c r="A3405" t="inlineStr" s="25">
        <is>
          <t xml:space="preserve">Calculation</t>
        </is>
      </c>
      <c r="B3405">
        <f>IF(IF(DATE(2028,8,1)=EDATE(DATE(2029,6,1),-'Model inputs'!AM13*1)="",FALSE,DATE(2028,8,1)=EDATE(DATE(2029,6,1),-'Model inputs'!AM13*1)),IF('Model inputs'!Y85="","",'Model inputs'!Y85),"")</f>
      </c>
    </row>
    <row r="3406">
      <c r="A3406" t="inlineStr" s="25">
        <is>
          <t xml:space="preserve">Calculation</t>
        </is>
      </c>
      <c r="B3406">
        <f>IF(IF(DATE(2028,9,1)=EDATE(DATE(2029,6,1),-'Model inputs'!AM13*1)="",FALSE,DATE(2028,9,1)=EDATE(DATE(2029,6,1),-'Model inputs'!AM13*1)),IF('Model inputs'!Z85="","",'Model inputs'!Z85),"")</f>
      </c>
    </row>
    <row r="3407">
      <c r="A3407" t="inlineStr" s="25">
        <is>
          <t xml:space="preserve">Calculation</t>
        </is>
      </c>
      <c r="B3407">
        <f>IF(IF(DATE(2028,10,1)=EDATE(DATE(2029,6,1),-'Model inputs'!AM13*1)="",FALSE,DATE(2028,10,1)=EDATE(DATE(2029,6,1),-'Model inputs'!AM13*1)),IF('Model inputs'!AA85="","",'Model inputs'!AA85),"")</f>
      </c>
    </row>
    <row r="3408">
      <c r="A3408" t="inlineStr" s="25">
        <is>
          <t xml:space="preserve">Calculation</t>
        </is>
      </c>
      <c r="B3408">
        <f>IF(IF(DATE(2028,11,1)=EDATE(DATE(2029,6,1),-'Model inputs'!AM13*1)="",FALSE,DATE(2028,11,1)=EDATE(DATE(2029,6,1),-'Model inputs'!AM13*1)),IF('Model inputs'!AB85="","",'Model inputs'!AB85),"")</f>
      </c>
    </row>
    <row r="3409">
      <c r="A3409" t="inlineStr" s="25">
        <is>
          <t xml:space="preserve">Calculation</t>
        </is>
      </c>
      <c r="B3409">
        <f>IF(IF(DATE(2028,12,1)=EDATE(DATE(2029,6,1),-'Model inputs'!AM13*1)="",FALSE,DATE(2028,12,1)=EDATE(DATE(2029,6,1),-'Model inputs'!AM13*1)),IF('Model inputs'!AC85="","",'Model inputs'!AC85),"")</f>
      </c>
    </row>
    <row r="3410">
      <c r="A3410" t="inlineStr" s="25">
        <is>
          <t xml:space="preserve">Calculation</t>
        </is>
      </c>
      <c r="B3410">
        <f>IF(IF(DATE(2029,1,1)=EDATE(DATE(2029,6,1),-'Model inputs'!AM13*1)="",FALSE,DATE(2029,1,1)=EDATE(DATE(2029,6,1),-'Model inputs'!AM13*1)),IF('Model inputs'!AD85="","",'Model inputs'!AD85),"")</f>
      </c>
    </row>
    <row r="3411">
      <c r="A3411" t="inlineStr" s="25">
        <is>
          <t xml:space="preserve">Calculation</t>
        </is>
      </c>
      <c r="B3411">
        <f>IF(IF(DATE(2029,2,1)=EDATE(DATE(2029,6,1),-'Model inputs'!AM13*1)="",FALSE,DATE(2029,2,1)=EDATE(DATE(2029,6,1),-'Model inputs'!AM13*1)),IF('Model inputs'!AE85="","",'Model inputs'!AE85),"")</f>
      </c>
    </row>
    <row r="3412">
      <c r="A3412" t="inlineStr" s="25">
        <is>
          <t xml:space="preserve">Calculation</t>
        </is>
      </c>
      <c r="B3412">
        <f>IF(IF(DATE(2029,3,1)=EDATE(DATE(2029,6,1),-'Model inputs'!AM13*1)="",FALSE,DATE(2029,3,1)=EDATE(DATE(2029,6,1),-'Model inputs'!AM13*1)),IF('Model inputs'!AF85="","",'Model inputs'!AF85),"")</f>
      </c>
    </row>
    <row r="3413">
      <c r="A3413" t="inlineStr" s="25">
        <is>
          <t xml:space="preserve">Calculation</t>
        </is>
      </c>
      <c r="B3413">
        <f>IF(IF(DATE(2029,4,1)=EDATE(DATE(2029,6,1),-'Model inputs'!AM13*1)="",FALSE,DATE(2029,4,1)=EDATE(DATE(2029,6,1),-'Model inputs'!AM13*1)),IF('Model inputs'!AG85="","",'Model inputs'!AG85),"")</f>
      </c>
    </row>
    <row r="3414">
      <c r="A3414" t="inlineStr" s="25">
        <is>
          <t xml:space="preserve">Calculation</t>
        </is>
      </c>
      <c r="B3414">
        <f>IF(IF(DATE(2029,5,1)=EDATE(DATE(2029,6,1),-'Model inputs'!AM13*1)="",FALSE,DATE(2029,5,1)=EDATE(DATE(2029,6,1),-'Model inputs'!AM13*1)),IF('Model inputs'!AH85="","",'Model inputs'!AH85),"")</f>
      </c>
    </row>
    <row r="3415">
      <c r="A3415" t="inlineStr" s="25">
        <is>
          <t xml:space="preserve">Calculation</t>
        </is>
      </c>
      <c r="B3415">
        <f>IF(IF(DATE(2029,6,1)=EDATE(DATE(2029,6,1),-'Model inputs'!AM13*1)="",FALSE,DATE(2029,6,1)=EDATE(DATE(2029,6,1),-'Model inputs'!AM13*1)),IF('Model inputs'!AI85="","",'Model inputs'!AI85),"")</f>
      </c>
    </row>
    <row r="3416">
      <c r="A3416" t="inlineStr" s="25">
        <is>
          <t xml:space="preserve">Calculation</t>
        </is>
      </c>
      <c r="B3416">
        <f>IF(IF(DATE(2029,7,1)=EDATE(DATE(2029,6,1),-'Model inputs'!AM13*1)="",FALSE,DATE(2029,7,1)=EDATE(DATE(2029,6,1),-'Model inputs'!AM13*1)),IF('Model inputs'!AJ85="","",'Model inputs'!AJ85),"")</f>
      </c>
    </row>
    <row r="3417">
      <c r="A3417" t="inlineStr" s="25">
        <is>
          <t xml:space="preserve">Calculation</t>
        </is>
      </c>
      <c r="B3417">
        <f>IF(IF(DATE(2029,8,1)=EDATE(DATE(2029,6,1),-'Model inputs'!AM13*1)="",FALSE,DATE(2029,8,1)=EDATE(DATE(2029,6,1),-'Model inputs'!AM13*1)),IF('Model inputs'!AK85="","",'Model inputs'!AK85),"")</f>
      </c>
    </row>
    <row r="3418">
      <c r="A3418" t="inlineStr" s="25">
        <is>
          <t xml:space="preserve">Calculation</t>
        </is>
      </c>
      <c r="B3418">
        <f>IF(IF(DATE(2029,9,1)=EDATE(DATE(2029,6,1),-'Model inputs'!AM13*1)="",FALSE,DATE(2029,9,1)=EDATE(DATE(2029,6,1),-'Model inputs'!AM13*1)),IF('Model inputs'!AL85="","",'Model inputs'!AL85),"")</f>
      </c>
    </row>
    <row r="3419">
      <c r="A3419" t="inlineStr" s="25">
        <is>
          <t xml:space="preserve">Calculation</t>
        </is>
      </c>
      <c r="B3419">
        <f>SUM(IF(IF('Model inputs'!B2047="",0,1)="",0,IF('Model inputs'!B2047="",0,1)),IF(IF('Model inputs'!B3383="",0,1)="",0,IF('Model inputs'!B3383="",0,1)),IF(IF('Model inputs'!B3384="",0,1)="",0,IF('Model inputs'!B3384="",0,1)),IF(IF('Model inputs'!B3385="",0,1)="",0,IF('Model inputs'!B3385="",0,1)),IF(IF('Model inputs'!B3386="",0,1)="",0,IF('Model inputs'!B3386="",0,1)),IF(IF('Model inputs'!B3387="",0,1)="",0,IF('Model inputs'!B3387="",0,1)),IF(IF('Model inputs'!B3388="",0,1)="",0,IF('Model inputs'!B3388="",0,1)),IF(IF('Model inputs'!B3389="",0,1)="",0,IF('Model inputs'!B3389="",0,1)),IF(IF('Model inputs'!B3390="",0,1)="",0,IF('Model inputs'!B3390="",0,1)),IF(IF('Model inputs'!B3391="",0,1)="",0,IF('Model inputs'!B3391="",0,1)),IF(IF('Model inputs'!B3392="",0,1)="",0,IF('Model inputs'!B3392="",0,1)),IF(IF('Model inputs'!B3393="",0,1)="",0,IF('Model inputs'!B3393="",0,1)),IF(IF('Model inputs'!B3394="",0,1)="",0,IF('Model inputs'!B3394="",0,1)),IF(IF('Model inputs'!B3395="",0,1)="",0,IF('Model inputs'!B3395="",0,1)),IF(IF('Model inputs'!B3396="",0,1)="",0,IF('Model inputs'!B3396="",0,1)),IF(IF('Model inputs'!B3397="",0,1)="",0,IF('Model inputs'!B3397="",0,1)),IF(IF('Model inputs'!B3398="",0,1)="",0,IF('Model inputs'!B3398="",0,1)),IF(IF('Model inputs'!B3399="",0,1)="",0,IF('Model inputs'!B3399="",0,1)),IF(IF('Model inputs'!B3400="",0,1)="",0,IF('Model inputs'!B3400="",0,1)),IF(IF('Model inputs'!B3401="",0,1)="",0,IF('Model inputs'!B3401="",0,1)),IF(IF('Model inputs'!B3402="",0,1)="",0,IF('Model inputs'!B3402="",0,1)),IF(IF('Model inputs'!B3403="",0,1)="",0,IF('Model inputs'!B3403="",0,1)),IF(IF('Model inputs'!B3404="",0,1)="",0,IF('Model inputs'!B3404="",0,1)),IF(IF('Model inputs'!B3405="",0,1)="",0,IF('Model inputs'!B3405="",0,1)),IF(IF('Model inputs'!B3406="",0,1)="",0,IF('Model inputs'!B3406="",0,1)),IF(IF('Model inputs'!B3407="",0,1)="",0,IF('Model inputs'!B3407="",0,1)),IF(IF('Model inputs'!B3408="",0,1)="",0,IF('Model inputs'!B3408="",0,1)),IF(IF('Model inputs'!B3409="",0,1)="",0,IF('Model inputs'!B3409="",0,1)),IF(IF('Model inputs'!B3410="",0,1)="",0,IF('Model inputs'!B3410="",0,1)),IF(IF('Model inputs'!B3411="",0,1)="",0,IF('Model inputs'!B3411="",0,1)),IF(IF('Model inputs'!B3412="",0,1)="",0,IF('Model inputs'!B3412="",0,1)),IF(IF('Model inputs'!B3413="",0,1)="",0,IF('Model inputs'!B3413="",0,1)),IF(IF('Model inputs'!B3414="",0,1)="",0,IF('Model inputs'!B3414="",0,1)),IF(IF('Model inputs'!B3415="",0,1)="",0,IF('Model inputs'!B3415="",0,1)),IF(IF('Model inputs'!B3416="",0,1)="",0,IF('Model inputs'!B3416="",0,1)),IF(IF('Model inputs'!B3417="",0,1)="",0,IF('Model inputs'!B3417="",0,1)),IF(IF('Model inputs'!B3418="",0,1)="",0,IF('Model inputs'!B3418="",0,1)))</f>
      </c>
    </row>
    <row r="3420">
      <c r="A3420" t="inlineStr" s="25">
        <is>
          <t xml:space="preserve">Calculation</t>
        </is>
      </c>
      <c r="B3420">
        <f>IF(IF(DATE(2026,10,1)=EDATE(DATE(2029,7,1),-'Model inputs'!AM13*1)="",FALSE,DATE(2026,10,1)=EDATE(DATE(2029,7,1),-'Model inputs'!AM13*1)),IF('Model inputs'!C85="","",'Model inputs'!C85),"")</f>
      </c>
    </row>
    <row r="3421">
      <c r="A3421" t="inlineStr" s="25">
        <is>
          <t xml:space="preserve">Calculation</t>
        </is>
      </c>
      <c r="B3421">
        <f>IF(IF(DATE(2026,11,1)=EDATE(DATE(2029,7,1),-'Model inputs'!AM13*1)="",FALSE,DATE(2026,11,1)=EDATE(DATE(2029,7,1),-'Model inputs'!AM13*1)),IF('Model inputs'!D85="","",'Model inputs'!D85),"")</f>
      </c>
    </row>
    <row r="3422">
      <c r="A3422" t="inlineStr" s="25">
        <is>
          <t xml:space="preserve">Calculation</t>
        </is>
      </c>
      <c r="B3422">
        <f>IF(IF(DATE(2026,12,1)=EDATE(DATE(2029,7,1),-'Model inputs'!AM13*1)="",FALSE,DATE(2026,12,1)=EDATE(DATE(2029,7,1),-'Model inputs'!AM13*1)),IF('Model inputs'!E85="","",'Model inputs'!E85),"")</f>
      </c>
    </row>
    <row r="3423">
      <c r="A3423" t="inlineStr" s="25">
        <is>
          <t xml:space="preserve">Calculation</t>
        </is>
      </c>
      <c r="B3423">
        <f>IF(IF(DATE(2027,1,1)=EDATE(DATE(2029,7,1),-'Model inputs'!AM13*1)="",FALSE,DATE(2027,1,1)=EDATE(DATE(2029,7,1),-'Model inputs'!AM13*1)),IF('Model inputs'!F85="","",'Model inputs'!F85),"")</f>
      </c>
    </row>
    <row r="3424">
      <c r="A3424" t="inlineStr" s="25">
        <is>
          <t xml:space="preserve">Calculation</t>
        </is>
      </c>
      <c r="B3424">
        <f>IF(IF(DATE(2027,2,1)=EDATE(DATE(2029,7,1),-'Model inputs'!AM13*1)="",FALSE,DATE(2027,2,1)=EDATE(DATE(2029,7,1),-'Model inputs'!AM13*1)),IF('Model inputs'!G85="","",'Model inputs'!G85),"")</f>
      </c>
    </row>
    <row r="3425">
      <c r="A3425" t="inlineStr" s="25">
        <is>
          <t xml:space="preserve">Calculation</t>
        </is>
      </c>
      <c r="B3425">
        <f>IF(IF(DATE(2027,3,1)=EDATE(DATE(2029,7,1),-'Model inputs'!AM13*1)="",FALSE,DATE(2027,3,1)=EDATE(DATE(2029,7,1),-'Model inputs'!AM13*1)),IF('Model inputs'!H85="","",'Model inputs'!H85),"")</f>
      </c>
    </row>
    <row r="3426">
      <c r="A3426" t="inlineStr" s="25">
        <is>
          <t xml:space="preserve">Calculation</t>
        </is>
      </c>
      <c r="B3426">
        <f>IF(IF(DATE(2027,4,1)=EDATE(DATE(2029,7,1),-'Model inputs'!AM13*1)="",FALSE,DATE(2027,4,1)=EDATE(DATE(2029,7,1),-'Model inputs'!AM13*1)),IF('Model inputs'!I85="","",'Model inputs'!I85),"")</f>
      </c>
    </row>
    <row r="3427">
      <c r="A3427" t="inlineStr" s="25">
        <is>
          <t xml:space="preserve">Calculation</t>
        </is>
      </c>
      <c r="B3427">
        <f>IF(IF(DATE(2027,5,1)=EDATE(DATE(2029,7,1),-'Model inputs'!AM13*1)="",FALSE,DATE(2027,5,1)=EDATE(DATE(2029,7,1),-'Model inputs'!AM13*1)),IF('Model inputs'!J85="","",'Model inputs'!J85),"")</f>
      </c>
    </row>
    <row r="3428">
      <c r="A3428" t="inlineStr" s="25">
        <is>
          <t xml:space="preserve">Calculation</t>
        </is>
      </c>
      <c r="B3428">
        <f>IF(IF(DATE(2027,6,1)=EDATE(DATE(2029,7,1),-'Model inputs'!AM13*1)="",FALSE,DATE(2027,6,1)=EDATE(DATE(2029,7,1),-'Model inputs'!AM13*1)),IF('Model inputs'!K85="","",'Model inputs'!K85),"")</f>
      </c>
    </row>
    <row r="3429">
      <c r="A3429" t="inlineStr" s="25">
        <is>
          <t xml:space="preserve">Calculation</t>
        </is>
      </c>
      <c r="B3429">
        <f>IF(IF(DATE(2027,7,1)=EDATE(DATE(2029,7,1),-'Model inputs'!AM13*1)="",FALSE,DATE(2027,7,1)=EDATE(DATE(2029,7,1),-'Model inputs'!AM13*1)),IF('Model inputs'!L85="","",'Model inputs'!L85),"")</f>
      </c>
    </row>
    <row r="3430">
      <c r="A3430" t="inlineStr" s="25">
        <is>
          <t xml:space="preserve">Calculation</t>
        </is>
      </c>
      <c r="B3430">
        <f>IF(IF(DATE(2027,8,1)=EDATE(DATE(2029,7,1),-'Model inputs'!AM13*1)="",FALSE,DATE(2027,8,1)=EDATE(DATE(2029,7,1),-'Model inputs'!AM13*1)),IF('Model inputs'!M85="","",'Model inputs'!M85),"")</f>
      </c>
    </row>
    <row r="3431">
      <c r="A3431" t="inlineStr" s="25">
        <is>
          <t xml:space="preserve">Calculation</t>
        </is>
      </c>
      <c r="B3431">
        <f>IF(IF(DATE(2027,9,1)=EDATE(DATE(2029,7,1),-'Model inputs'!AM13*1)="",FALSE,DATE(2027,9,1)=EDATE(DATE(2029,7,1),-'Model inputs'!AM13*1)),IF('Model inputs'!N85="","",'Model inputs'!N85),"")</f>
      </c>
    </row>
    <row r="3432">
      <c r="A3432" t="inlineStr" s="25">
        <is>
          <t xml:space="preserve">Calculation</t>
        </is>
      </c>
      <c r="B3432">
        <f>IF(IF(DATE(2027,10,1)=EDATE(DATE(2029,7,1),-'Model inputs'!AM13*1)="",FALSE,DATE(2027,10,1)=EDATE(DATE(2029,7,1),-'Model inputs'!AM13*1)),IF('Model inputs'!O85="","",'Model inputs'!O85),"")</f>
      </c>
    </row>
    <row r="3433">
      <c r="A3433" t="inlineStr" s="25">
        <is>
          <t xml:space="preserve">Calculation</t>
        </is>
      </c>
      <c r="B3433">
        <f>IF(IF(DATE(2027,11,1)=EDATE(DATE(2029,7,1),-'Model inputs'!AM13*1)="",FALSE,DATE(2027,11,1)=EDATE(DATE(2029,7,1),-'Model inputs'!AM13*1)),IF('Model inputs'!P85="","",'Model inputs'!P85),"")</f>
      </c>
    </row>
    <row r="3434">
      <c r="A3434" t="inlineStr" s="25">
        <is>
          <t xml:space="preserve">Calculation</t>
        </is>
      </c>
      <c r="B3434">
        <f>IF(IF(DATE(2027,12,1)=EDATE(DATE(2029,7,1),-'Model inputs'!AM13*1)="",FALSE,DATE(2027,12,1)=EDATE(DATE(2029,7,1),-'Model inputs'!AM13*1)),IF('Model inputs'!Q85="","",'Model inputs'!Q85),"")</f>
      </c>
    </row>
    <row r="3435">
      <c r="A3435" t="inlineStr" s="25">
        <is>
          <t xml:space="preserve">Calculation</t>
        </is>
      </c>
      <c r="B3435">
        <f>IF(IF(DATE(2028,1,1)=EDATE(DATE(2029,7,1),-'Model inputs'!AM13*1)="",FALSE,DATE(2028,1,1)=EDATE(DATE(2029,7,1),-'Model inputs'!AM13*1)),IF('Model inputs'!R85="","",'Model inputs'!R85),"")</f>
      </c>
    </row>
    <row r="3436">
      <c r="A3436" t="inlineStr" s="25">
        <is>
          <t xml:space="preserve">Calculation</t>
        </is>
      </c>
      <c r="B3436">
        <f>IF(IF(DATE(2028,2,1)=EDATE(DATE(2029,7,1),-'Model inputs'!AM13*1)="",FALSE,DATE(2028,2,1)=EDATE(DATE(2029,7,1),-'Model inputs'!AM13*1)),IF('Model inputs'!S85="","",'Model inputs'!S85),"")</f>
      </c>
    </row>
    <row r="3437">
      <c r="A3437" t="inlineStr" s="25">
        <is>
          <t xml:space="preserve">Calculation</t>
        </is>
      </c>
      <c r="B3437">
        <f>IF(IF(DATE(2028,3,1)=EDATE(DATE(2029,7,1),-'Model inputs'!AM13*1)="",FALSE,DATE(2028,3,1)=EDATE(DATE(2029,7,1),-'Model inputs'!AM13*1)),IF('Model inputs'!T85="","",'Model inputs'!T85),"")</f>
      </c>
    </row>
    <row r="3438">
      <c r="A3438" t="inlineStr" s="25">
        <is>
          <t xml:space="preserve">Calculation</t>
        </is>
      </c>
      <c r="B3438">
        <f>IF(IF(DATE(2028,4,1)=EDATE(DATE(2029,7,1),-'Model inputs'!AM13*1)="",FALSE,DATE(2028,4,1)=EDATE(DATE(2029,7,1),-'Model inputs'!AM13*1)),IF('Model inputs'!U85="","",'Model inputs'!U85),"")</f>
      </c>
    </row>
    <row r="3439">
      <c r="A3439" t="inlineStr" s="25">
        <is>
          <t xml:space="preserve">Calculation</t>
        </is>
      </c>
      <c r="B3439">
        <f>IF(IF(DATE(2028,5,1)=EDATE(DATE(2029,7,1),-'Model inputs'!AM13*1)="",FALSE,DATE(2028,5,1)=EDATE(DATE(2029,7,1),-'Model inputs'!AM13*1)),IF('Model inputs'!V85="","",'Model inputs'!V85),"")</f>
      </c>
    </row>
    <row r="3440">
      <c r="A3440" t="inlineStr" s="25">
        <is>
          <t xml:space="preserve">Calculation</t>
        </is>
      </c>
      <c r="B3440">
        <f>IF(IF(DATE(2028,6,1)=EDATE(DATE(2029,7,1),-'Model inputs'!AM13*1)="",FALSE,DATE(2028,6,1)=EDATE(DATE(2029,7,1),-'Model inputs'!AM13*1)),IF('Model inputs'!W85="","",'Model inputs'!W85),"")</f>
      </c>
    </row>
    <row r="3441">
      <c r="A3441" t="inlineStr" s="25">
        <is>
          <t xml:space="preserve">Calculation</t>
        </is>
      </c>
      <c r="B3441">
        <f>IF(IF(DATE(2028,7,1)=EDATE(DATE(2029,7,1),-'Model inputs'!AM13*1)="",FALSE,DATE(2028,7,1)=EDATE(DATE(2029,7,1),-'Model inputs'!AM13*1)),IF('Model inputs'!X85="","",'Model inputs'!X85),"")</f>
      </c>
    </row>
    <row r="3442">
      <c r="A3442" t="inlineStr" s="25">
        <is>
          <t xml:space="preserve">Calculation</t>
        </is>
      </c>
      <c r="B3442">
        <f>IF(IF(DATE(2028,8,1)=EDATE(DATE(2029,7,1),-'Model inputs'!AM13*1)="",FALSE,DATE(2028,8,1)=EDATE(DATE(2029,7,1),-'Model inputs'!AM13*1)),IF('Model inputs'!Y85="","",'Model inputs'!Y85),"")</f>
      </c>
    </row>
    <row r="3443">
      <c r="A3443" t="inlineStr" s="25">
        <is>
          <t xml:space="preserve">Calculation</t>
        </is>
      </c>
      <c r="B3443">
        <f>IF(IF(DATE(2028,9,1)=EDATE(DATE(2029,7,1),-'Model inputs'!AM13*1)="",FALSE,DATE(2028,9,1)=EDATE(DATE(2029,7,1),-'Model inputs'!AM13*1)),IF('Model inputs'!Z85="","",'Model inputs'!Z85),"")</f>
      </c>
    </row>
    <row r="3444">
      <c r="A3444" t="inlineStr" s="25">
        <is>
          <t xml:space="preserve">Calculation</t>
        </is>
      </c>
      <c r="B3444">
        <f>IF(IF(DATE(2028,10,1)=EDATE(DATE(2029,7,1),-'Model inputs'!AM13*1)="",FALSE,DATE(2028,10,1)=EDATE(DATE(2029,7,1),-'Model inputs'!AM13*1)),IF('Model inputs'!AA85="","",'Model inputs'!AA85),"")</f>
      </c>
    </row>
    <row r="3445">
      <c r="A3445" t="inlineStr" s="25">
        <is>
          <t xml:space="preserve">Calculation</t>
        </is>
      </c>
      <c r="B3445">
        <f>IF(IF(DATE(2028,11,1)=EDATE(DATE(2029,7,1),-'Model inputs'!AM13*1)="",FALSE,DATE(2028,11,1)=EDATE(DATE(2029,7,1),-'Model inputs'!AM13*1)),IF('Model inputs'!AB85="","",'Model inputs'!AB85),"")</f>
      </c>
    </row>
    <row r="3446">
      <c r="A3446" t="inlineStr" s="25">
        <is>
          <t xml:space="preserve">Calculation</t>
        </is>
      </c>
      <c r="B3446">
        <f>IF(IF(DATE(2028,12,1)=EDATE(DATE(2029,7,1),-'Model inputs'!AM13*1)="",FALSE,DATE(2028,12,1)=EDATE(DATE(2029,7,1),-'Model inputs'!AM13*1)),IF('Model inputs'!AC85="","",'Model inputs'!AC85),"")</f>
      </c>
    </row>
    <row r="3447">
      <c r="A3447" t="inlineStr" s="25">
        <is>
          <t xml:space="preserve">Calculation</t>
        </is>
      </c>
      <c r="B3447">
        <f>IF(IF(DATE(2029,1,1)=EDATE(DATE(2029,7,1),-'Model inputs'!AM13*1)="",FALSE,DATE(2029,1,1)=EDATE(DATE(2029,7,1),-'Model inputs'!AM13*1)),IF('Model inputs'!AD85="","",'Model inputs'!AD85),"")</f>
      </c>
    </row>
    <row r="3448">
      <c r="A3448" t="inlineStr" s="25">
        <is>
          <t xml:space="preserve">Calculation</t>
        </is>
      </c>
      <c r="B3448">
        <f>IF(IF(DATE(2029,2,1)=EDATE(DATE(2029,7,1),-'Model inputs'!AM13*1)="",FALSE,DATE(2029,2,1)=EDATE(DATE(2029,7,1),-'Model inputs'!AM13*1)),IF('Model inputs'!AE85="","",'Model inputs'!AE85),"")</f>
      </c>
    </row>
    <row r="3449">
      <c r="A3449" t="inlineStr" s="25">
        <is>
          <t xml:space="preserve">Calculation</t>
        </is>
      </c>
      <c r="B3449">
        <f>IF(IF(DATE(2029,3,1)=EDATE(DATE(2029,7,1),-'Model inputs'!AM13*1)="",FALSE,DATE(2029,3,1)=EDATE(DATE(2029,7,1),-'Model inputs'!AM13*1)),IF('Model inputs'!AF85="","",'Model inputs'!AF85),"")</f>
      </c>
    </row>
    <row r="3450">
      <c r="A3450" t="inlineStr" s="25">
        <is>
          <t xml:space="preserve">Calculation</t>
        </is>
      </c>
      <c r="B3450">
        <f>IF(IF(DATE(2029,4,1)=EDATE(DATE(2029,7,1),-'Model inputs'!AM13*1)="",FALSE,DATE(2029,4,1)=EDATE(DATE(2029,7,1),-'Model inputs'!AM13*1)),IF('Model inputs'!AG85="","",'Model inputs'!AG85),"")</f>
      </c>
    </row>
    <row r="3451">
      <c r="A3451" t="inlineStr" s="25">
        <is>
          <t xml:space="preserve">Calculation</t>
        </is>
      </c>
      <c r="B3451">
        <f>IF(IF(DATE(2029,5,1)=EDATE(DATE(2029,7,1),-'Model inputs'!AM13*1)="",FALSE,DATE(2029,5,1)=EDATE(DATE(2029,7,1),-'Model inputs'!AM13*1)),IF('Model inputs'!AH85="","",'Model inputs'!AH85),"")</f>
      </c>
    </row>
    <row r="3452">
      <c r="A3452" t="inlineStr" s="25">
        <is>
          <t xml:space="preserve">Calculation</t>
        </is>
      </c>
      <c r="B3452">
        <f>IF(IF(DATE(2029,6,1)=EDATE(DATE(2029,7,1),-'Model inputs'!AM13*1)="",FALSE,DATE(2029,6,1)=EDATE(DATE(2029,7,1),-'Model inputs'!AM13*1)),IF('Model inputs'!AI85="","",'Model inputs'!AI85),"")</f>
      </c>
    </row>
    <row r="3453">
      <c r="A3453" t="inlineStr" s="25">
        <is>
          <t xml:space="preserve">Calculation</t>
        </is>
      </c>
      <c r="B3453">
        <f>IF(IF(DATE(2029,7,1)=EDATE(DATE(2029,7,1),-'Model inputs'!AM13*1)="",FALSE,DATE(2029,7,1)=EDATE(DATE(2029,7,1),-'Model inputs'!AM13*1)),IF('Model inputs'!AJ85="","",'Model inputs'!AJ85),"")</f>
      </c>
    </row>
    <row r="3454">
      <c r="A3454" t="inlineStr" s="25">
        <is>
          <t xml:space="preserve">Calculation</t>
        </is>
      </c>
      <c r="B3454">
        <f>IF(IF(DATE(2029,8,1)=EDATE(DATE(2029,7,1),-'Model inputs'!AM13*1)="",FALSE,DATE(2029,8,1)=EDATE(DATE(2029,7,1),-'Model inputs'!AM13*1)),IF('Model inputs'!AK85="","",'Model inputs'!AK85),"")</f>
      </c>
    </row>
    <row r="3455">
      <c r="A3455" t="inlineStr" s="25">
        <is>
          <t xml:space="preserve">Calculation</t>
        </is>
      </c>
      <c r="B3455">
        <f>IF(IF(DATE(2029,9,1)=EDATE(DATE(2029,7,1),-'Model inputs'!AM13*1)="",FALSE,DATE(2029,9,1)=EDATE(DATE(2029,7,1),-'Model inputs'!AM13*1)),IF('Model inputs'!AL85="","",'Model inputs'!AL85),"")</f>
      </c>
    </row>
    <row r="3456">
      <c r="A3456" t="inlineStr" s="25">
        <is>
          <t xml:space="preserve">Calculation</t>
        </is>
      </c>
      <c r="B3456">
        <f>SUM(IF(IF('Model inputs'!B2085="",0,1)="",0,IF('Model inputs'!B2085="",0,1)),IF(IF('Model inputs'!B3420="",0,1)="",0,IF('Model inputs'!B3420="",0,1)),IF(IF('Model inputs'!B3421="",0,1)="",0,IF('Model inputs'!B3421="",0,1)),IF(IF('Model inputs'!B3422="",0,1)="",0,IF('Model inputs'!B3422="",0,1)),IF(IF('Model inputs'!B3423="",0,1)="",0,IF('Model inputs'!B3423="",0,1)),IF(IF('Model inputs'!B3424="",0,1)="",0,IF('Model inputs'!B3424="",0,1)),IF(IF('Model inputs'!B3425="",0,1)="",0,IF('Model inputs'!B3425="",0,1)),IF(IF('Model inputs'!B3426="",0,1)="",0,IF('Model inputs'!B3426="",0,1)),IF(IF('Model inputs'!B3427="",0,1)="",0,IF('Model inputs'!B3427="",0,1)),IF(IF('Model inputs'!B3428="",0,1)="",0,IF('Model inputs'!B3428="",0,1)),IF(IF('Model inputs'!B3429="",0,1)="",0,IF('Model inputs'!B3429="",0,1)),IF(IF('Model inputs'!B3430="",0,1)="",0,IF('Model inputs'!B3430="",0,1)),IF(IF('Model inputs'!B3431="",0,1)="",0,IF('Model inputs'!B3431="",0,1)),IF(IF('Model inputs'!B3432="",0,1)="",0,IF('Model inputs'!B3432="",0,1)),IF(IF('Model inputs'!B3433="",0,1)="",0,IF('Model inputs'!B3433="",0,1)),IF(IF('Model inputs'!B3434="",0,1)="",0,IF('Model inputs'!B3434="",0,1)),IF(IF('Model inputs'!B3435="",0,1)="",0,IF('Model inputs'!B3435="",0,1)),IF(IF('Model inputs'!B3436="",0,1)="",0,IF('Model inputs'!B3436="",0,1)),IF(IF('Model inputs'!B3437="",0,1)="",0,IF('Model inputs'!B3437="",0,1)),IF(IF('Model inputs'!B3438="",0,1)="",0,IF('Model inputs'!B3438="",0,1)),IF(IF('Model inputs'!B3439="",0,1)="",0,IF('Model inputs'!B3439="",0,1)),IF(IF('Model inputs'!B3440="",0,1)="",0,IF('Model inputs'!B3440="",0,1)),IF(IF('Model inputs'!B3441="",0,1)="",0,IF('Model inputs'!B3441="",0,1)),IF(IF('Model inputs'!B3442="",0,1)="",0,IF('Model inputs'!B3442="",0,1)),IF(IF('Model inputs'!B3443="",0,1)="",0,IF('Model inputs'!B3443="",0,1)),IF(IF('Model inputs'!B3444="",0,1)="",0,IF('Model inputs'!B3444="",0,1)),IF(IF('Model inputs'!B3445="",0,1)="",0,IF('Model inputs'!B3445="",0,1)),IF(IF('Model inputs'!B3446="",0,1)="",0,IF('Model inputs'!B3446="",0,1)),IF(IF('Model inputs'!B3447="",0,1)="",0,IF('Model inputs'!B3447="",0,1)),IF(IF('Model inputs'!B3448="",0,1)="",0,IF('Model inputs'!B3448="",0,1)),IF(IF('Model inputs'!B3449="",0,1)="",0,IF('Model inputs'!B3449="",0,1)),IF(IF('Model inputs'!B3450="",0,1)="",0,IF('Model inputs'!B3450="",0,1)),IF(IF('Model inputs'!B3451="",0,1)="",0,IF('Model inputs'!B3451="",0,1)),IF(IF('Model inputs'!B3452="",0,1)="",0,IF('Model inputs'!B3452="",0,1)),IF(IF('Model inputs'!B3453="",0,1)="",0,IF('Model inputs'!B3453="",0,1)),IF(IF('Model inputs'!B3454="",0,1)="",0,IF('Model inputs'!B3454="",0,1)),IF(IF('Model inputs'!B3455="",0,1)="",0,IF('Model inputs'!B3455="",0,1)))</f>
      </c>
    </row>
    <row r="3457">
      <c r="A3457" t="inlineStr" s="25">
        <is>
          <t xml:space="preserve">Calculation</t>
        </is>
      </c>
      <c r="B3457">
        <f>IF(IF(DATE(2026,10,1)=EDATE(DATE(2029,8,1),-'Model inputs'!AM13*1)="",FALSE,DATE(2026,10,1)=EDATE(DATE(2029,8,1),-'Model inputs'!AM13*1)),IF('Model inputs'!C85="","",'Model inputs'!C85),"")</f>
      </c>
    </row>
    <row r="3458">
      <c r="A3458" t="inlineStr" s="25">
        <is>
          <t xml:space="preserve">Calculation</t>
        </is>
      </c>
      <c r="B3458">
        <f>IF(IF(DATE(2026,11,1)=EDATE(DATE(2029,8,1),-'Model inputs'!AM13*1)="",FALSE,DATE(2026,11,1)=EDATE(DATE(2029,8,1),-'Model inputs'!AM13*1)),IF('Model inputs'!D85="","",'Model inputs'!D85),"")</f>
      </c>
    </row>
    <row r="3459">
      <c r="A3459" t="inlineStr" s="25">
        <is>
          <t xml:space="preserve">Calculation</t>
        </is>
      </c>
      <c r="B3459">
        <f>IF(IF(DATE(2026,12,1)=EDATE(DATE(2029,8,1),-'Model inputs'!AM13*1)="",FALSE,DATE(2026,12,1)=EDATE(DATE(2029,8,1),-'Model inputs'!AM13*1)),IF('Model inputs'!E85="","",'Model inputs'!E85),"")</f>
      </c>
    </row>
    <row r="3460">
      <c r="A3460" t="inlineStr" s="25">
        <is>
          <t xml:space="preserve">Calculation</t>
        </is>
      </c>
      <c r="B3460">
        <f>IF(IF(DATE(2027,1,1)=EDATE(DATE(2029,8,1),-'Model inputs'!AM13*1)="",FALSE,DATE(2027,1,1)=EDATE(DATE(2029,8,1),-'Model inputs'!AM13*1)),IF('Model inputs'!F85="","",'Model inputs'!F85),"")</f>
      </c>
    </row>
    <row r="3461">
      <c r="A3461" t="inlineStr" s="25">
        <is>
          <t xml:space="preserve">Calculation</t>
        </is>
      </c>
      <c r="B3461">
        <f>IF(IF(DATE(2027,2,1)=EDATE(DATE(2029,8,1),-'Model inputs'!AM13*1)="",FALSE,DATE(2027,2,1)=EDATE(DATE(2029,8,1),-'Model inputs'!AM13*1)),IF('Model inputs'!G85="","",'Model inputs'!G85),"")</f>
      </c>
    </row>
    <row r="3462">
      <c r="A3462" t="inlineStr" s="25">
        <is>
          <t xml:space="preserve">Calculation</t>
        </is>
      </c>
      <c r="B3462">
        <f>IF(IF(DATE(2027,3,1)=EDATE(DATE(2029,8,1),-'Model inputs'!AM13*1)="",FALSE,DATE(2027,3,1)=EDATE(DATE(2029,8,1),-'Model inputs'!AM13*1)),IF('Model inputs'!H85="","",'Model inputs'!H85),"")</f>
      </c>
    </row>
    <row r="3463">
      <c r="A3463" t="inlineStr" s="25">
        <is>
          <t xml:space="preserve">Calculation</t>
        </is>
      </c>
      <c r="B3463">
        <f>IF(IF(DATE(2027,4,1)=EDATE(DATE(2029,8,1),-'Model inputs'!AM13*1)="",FALSE,DATE(2027,4,1)=EDATE(DATE(2029,8,1),-'Model inputs'!AM13*1)),IF('Model inputs'!I85="","",'Model inputs'!I85),"")</f>
      </c>
    </row>
    <row r="3464">
      <c r="A3464" t="inlineStr" s="25">
        <is>
          <t xml:space="preserve">Calculation</t>
        </is>
      </c>
      <c r="B3464">
        <f>IF(IF(DATE(2027,5,1)=EDATE(DATE(2029,8,1),-'Model inputs'!AM13*1)="",FALSE,DATE(2027,5,1)=EDATE(DATE(2029,8,1),-'Model inputs'!AM13*1)),IF('Model inputs'!J85="","",'Model inputs'!J85),"")</f>
      </c>
    </row>
    <row r="3465">
      <c r="A3465" t="inlineStr" s="25">
        <is>
          <t xml:space="preserve">Calculation</t>
        </is>
      </c>
      <c r="B3465">
        <f>IF(IF(DATE(2027,6,1)=EDATE(DATE(2029,8,1),-'Model inputs'!AM13*1)="",FALSE,DATE(2027,6,1)=EDATE(DATE(2029,8,1),-'Model inputs'!AM13*1)),IF('Model inputs'!K85="","",'Model inputs'!K85),"")</f>
      </c>
    </row>
    <row r="3466">
      <c r="A3466" t="inlineStr" s="25">
        <is>
          <t xml:space="preserve">Calculation</t>
        </is>
      </c>
      <c r="B3466">
        <f>IF(IF(DATE(2027,7,1)=EDATE(DATE(2029,8,1),-'Model inputs'!AM13*1)="",FALSE,DATE(2027,7,1)=EDATE(DATE(2029,8,1),-'Model inputs'!AM13*1)),IF('Model inputs'!L85="","",'Model inputs'!L85),"")</f>
      </c>
    </row>
    <row r="3467">
      <c r="A3467" t="inlineStr" s="25">
        <is>
          <t xml:space="preserve">Calculation</t>
        </is>
      </c>
      <c r="B3467">
        <f>IF(IF(DATE(2027,8,1)=EDATE(DATE(2029,8,1),-'Model inputs'!AM13*1)="",FALSE,DATE(2027,8,1)=EDATE(DATE(2029,8,1),-'Model inputs'!AM13*1)),IF('Model inputs'!M85="","",'Model inputs'!M85),"")</f>
      </c>
    </row>
    <row r="3468">
      <c r="A3468" t="inlineStr" s="25">
        <is>
          <t xml:space="preserve">Calculation</t>
        </is>
      </c>
      <c r="B3468">
        <f>IF(IF(DATE(2027,9,1)=EDATE(DATE(2029,8,1),-'Model inputs'!AM13*1)="",FALSE,DATE(2027,9,1)=EDATE(DATE(2029,8,1),-'Model inputs'!AM13*1)),IF('Model inputs'!N85="","",'Model inputs'!N85),"")</f>
      </c>
    </row>
    <row r="3469">
      <c r="A3469" t="inlineStr" s="25">
        <is>
          <t xml:space="preserve">Calculation</t>
        </is>
      </c>
      <c r="B3469">
        <f>IF(IF(DATE(2027,10,1)=EDATE(DATE(2029,8,1),-'Model inputs'!AM13*1)="",FALSE,DATE(2027,10,1)=EDATE(DATE(2029,8,1),-'Model inputs'!AM13*1)),IF('Model inputs'!O85="","",'Model inputs'!O85),"")</f>
      </c>
    </row>
    <row r="3470">
      <c r="A3470" t="inlineStr" s="25">
        <is>
          <t xml:space="preserve">Calculation</t>
        </is>
      </c>
      <c r="B3470">
        <f>IF(IF(DATE(2027,11,1)=EDATE(DATE(2029,8,1),-'Model inputs'!AM13*1)="",FALSE,DATE(2027,11,1)=EDATE(DATE(2029,8,1),-'Model inputs'!AM13*1)),IF('Model inputs'!P85="","",'Model inputs'!P85),"")</f>
      </c>
    </row>
    <row r="3471">
      <c r="A3471" t="inlineStr" s="25">
        <is>
          <t xml:space="preserve">Calculation</t>
        </is>
      </c>
      <c r="B3471">
        <f>IF(IF(DATE(2027,12,1)=EDATE(DATE(2029,8,1),-'Model inputs'!AM13*1)="",FALSE,DATE(2027,12,1)=EDATE(DATE(2029,8,1),-'Model inputs'!AM13*1)),IF('Model inputs'!Q85="","",'Model inputs'!Q85),"")</f>
      </c>
    </row>
    <row r="3472">
      <c r="A3472" t="inlineStr" s="25">
        <is>
          <t xml:space="preserve">Calculation</t>
        </is>
      </c>
      <c r="B3472">
        <f>IF(IF(DATE(2028,1,1)=EDATE(DATE(2029,8,1),-'Model inputs'!AM13*1)="",FALSE,DATE(2028,1,1)=EDATE(DATE(2029,8,1),-'Model inputs'!AM13*1)),IF('Model inputs'!R85="","",'Model inputs'!R85),"")</f>
      </c>
    </row>
    <row r="3473">
      <c r="A3473" t="inlineStr" s="25">
        <is>
          <t xml:space="preserve">Calculation</t>
        </is>
      </c>
      <c r="B3473">
        <f>IF(IF(DATE(2028,2,1)=EDATE(DATE(2029,8,1),-'Model inputs'!AM13*1)="",FALSE,DATE(2028,2,1)=EDATE(DATE(2029,8,1),-'Model inputs'!AM13*1)),IF('Model inputs'!S85="","",'Model inputs'!S85),"")</f>
      </c>
    </row>
    <row r="3474">
      <c r="A3474" t="inlineStr" s="25">
        <is>
          <t xml:space="preserve">Calculation</t>
        </is>
      </c>
      <c r="B3474">
        <f>IF(IF(DATE(2028,3,1)=EDATE(DATE(2029,8,1),-'Model inputs'!AM13*1)="",FALSE,DATE(2028,3,1)=EDATE(DATE(2029,8,1),-'Model inputs'!AM13*1)),IF('Model inputs'!T85="","",'Model inputs'!T85),"")</f>
      </c>
    </row>
    <row r="3475">
      <c r="A3475" t="inlineStr" s="25">
        <is>
          <t xml:space="preserve">Calculation</t>
        </is>
      </c>
      <c r="B3475">
        <f>IF(IF(DATE(2028,4,1)=EDATE(DATE(2029,8,1),-'Model inputs'!AM13*1)="",FALSE,DATE(2028,4,1)=EDATE(DATE(2029,8,1),-'Model inputs'!AM13*1)),IF('Model inputs'!U85="","",'Model inputs'!U85),"")</f>
      </c>
    </row>
    <row r="3476">
      <c r="A3476" t="inlineStr" s="25">
        <is>
          <t xml:space="preserve">Calculation</t>
        </is>
      </c>
      <c r="B3476">
        <f>IF(IF(DATE(2028,5,1)=EDATE(DATE(2029,8,1),-'Model inputs'!AM13*1)="",FALSE,DATE(2028,5,1)=EDATE(DATE(2029,8,1),-'Model inputs'!AM13*1)),IF('Model inputs'!V85="","",'Model inputs'!V85),"")</f>
      </c>
    </row>
    <row r="3477">
      <c r="A3477" t="inlineStr" s="25">
        <is>
          <t xml:space="preserve">Calculation</t>
        </is>
      </c>
      <c r="B3477">
        <f>IF(IF(DATE(2028,6,1)=EDATE(DATE(2029,8,1),-'Model inputs'!AM13*1)="",FALSE,DATE(2028,6,1)=EDATE(DATE(2029,8,1),-'Model inputs'!AM13*1)),IF('Model inputs'!W85="","",'Model inputs'!W85),"")</f>
      </c>
    </row>
    <row r="3478">
      <c r="A3478" t="inlineStr" s="25">
        <is>
          <t xml:space="preserve">Calculation</t>
        </is>
      </c>
      <c r="B3478">
        <f>IF(IF(DATE(2028,7,1)=EDATE(DATE(2029,8,1),-'Model inputs'!AM13*1)="",FALSE,DATE(2028,7,1)=EDATE(DATE(2029,8,1),-'Model inputs'!AM13*1)),IF('Model inputs'!X85="","",'Model inputs'!X85),"")</f>
      </c>
    </row>
    <row r="3479">
      <c r="A3479" t="inlineStr" s="25">
        <is>
          <t xml:space="preserve">Calculation</t>
        </is>
      </c>
      <c r="B3479">
        <f>IF(IF(DATE(2028,8,1)=EDATE(DATE(2029,8,1),-'Model inputs'!AM13*1)="",FALSE,DATE(2028,8,1)=EDATE(DATE(2029,8,1),-'Model inputs'!AM13*1)),IF('Model inputs'!Y85="","",'Model inputs'!Y85),"")</f>
      </c>
    </row>
    <row r="3480">
      <c r="A3480" t="inlineStr" s="25">
        <is>
          <t xml:space="preserve">Calculation</t>
        </is>
      </c>
      <c r="B3480">
        <f>IF(IF(DATE(2028,9,1)=EDATE(DATE(2029,8,1),-'Model inputs'!AM13*1)="",FALSE,DATE(2028,9,1)=EDATE(DATE(2029,8,1),-'Model inputs'!AM13*1)),IF('Model inputs'!Z85="","",'Model inputs'!Z85),"")</f>
      </c>
    </row>
    <row r="3481">
      <c r="A3481" t="inlineStr" s="25">
        <is>
          <t xml:space="preserve">Calculation</t>
        </is>
      </c>
      <c r="B3481">
        <f>IF(IF(DATE(2028,10,1)=EDATE(DATE(2029,8,1),-'Model inputs'!AM13*1)="",FALSE,DATE(2028,10,1)=EDATE(DATE(2029,8,1),-'Model inputs'!AM13*1)),IF('Model inputs'!AA85="","",'Model inputs'!AA85),"")</f>
      </c>
    </row>
    <row r="3482">
      <c r="A3482" t="inlineStr" s="25">
        <is>
          <t xml:space="preserve">Calculation</t>
        </is>
      </c>
      <c r="B3482">
        <f>IF(IF(DATE(2028,11,1)=EDATE(DATE(2029,8,1),-'Model inputs'!AM13*1)="",FALSE,DATE(2028,11,1)=EDATE(DATE(2029,8,1),-'Model inputs'!AM13*1)),IF('Model inputs'!AB85="","",'Model inputs'!AB85),"")</f>
      </c>
    </row>
    <row r="3483">
      <c r="A3483" t="inlineStr" s="25">
        <is>
          <t xml:space="preserve">Calculation</t>
        </is>
      </c>
      <c r="B3483">
        <f>IF(IF(DATE(2028,12,1)=EDATE(DATE(2029,8,1),-'Model inputs'!AM13*1)="",FALSE,DATE(2028,12,1)=EDATE(DATE(2029,8,1),-'Model inputs'!AM13*1)),IF('Model inputs'!AC85="","",'Model inputs'!AC85),"")</f>
      </c>
    </row>
    <row r="3484">
      <c r="A3484" t="inlineStr" s="25">
        <is>
          <t xml:space="preserve">Calculation</t>
        </is>
      </c>
      <c r="B3484">
        <f>IF(IF(DATE(2029,1,1)=EDATE(DATE(2029,8,1),-'Model inputs'!AM13*1)="",FALSE,DATE(2029,1,1)=EDATE(DATE(2029,8,1),-'Model inputs'!AM13*1)),IF('Model inputs'!AD85="","",'Model inputs'!AD85),"")</f>
      </c>
    </row>
    <row r="3485">
      <c r="A3485" t="inlineStr" s="25">
        <is>
          <t xml:space="preserve">Calculation</t>
        </is>
      </c>
      <c r="B3485">
        <f>IF(IF(DATE(2029,2,1)=EDATE(DATE(2029,8,1),-'Model inputs'!AM13*1)="",FALSE,DATE(2029,2,1)=EDATE(DATE(2029,8,1),-'Model inputs'!AM13*1)),IF('Model inputs'!AE85="","",'Model inputs'!AE85),"")</f>
      </c>
    </row>
    <row r="3486">
      <c r="A3486" t="inlineStr" s="25">
        <is>
          <t xml:space="preserve">Calculation</t>
        </is>
      </c>
      <c r="B3486">
        <f>IF(IF(DATE(2029,3,1)=EDATE(DATE(2029,8,1),-'Model inputs'!AM13*1)="",FALSE,DATE(2029,3,1)=EDATE(DATE(2029,8,1),-'Model inputs'!AM13*1)),IF('Model inputs'!AF85="","",'Model inputs'!AF85),"")</f>
      </c>
    </row>
    <row r="3487">
      <c r="A3487" t="inlineStr" s="25">
        <is>
          <t xml:space="preserve">Calculation</t>
        </is>
      </c>
      <c r="B3487">
        <f>IF(IF(DATE(2029,4,1)=EDATE(DATE(2029,8,1),-'Model inputs'!AM13*1)="",FALSE,DATE(2029,4,1)=EDATE(DATE(2029,8,1),-'Model inputs'!AM13*1)),IF('Model inputs'!AG85="","",'Model inputs'!AG85),"")</f>
      </c>
    </row>
    <row r="3488">
      <c r="A3488" t="inlineStr" s="25">
        <is>
          <t xml:space="preserve">Calculation</t>
        </is>
      </c>
      <c r="B3488">
        <f>IF(IF(DATE(2029,5,1)=EDATE(DATE(2029,8,1),-'Model inputs'!AM13*1)="",FALSE,DATE(2029,5,1)=EDATE(DATE(2029,8,1),-'Model inputs'!AM13*1)),IF('Model inputs'!AH85="","",'Model inputs'!AH85),"")</f>
      </c>
    </row>
    <row r="3489">
      <c r="A3489" t="inlineStr" s="25">
        <is>
          <t xml:space="preserve">Calculation</t>
        </is>
      </c>
      <c r="B3489">
        <f>IF(IF(DATE(2029,6,1)=EDATE(DATE(2029,8,1),-'Model inputs'!AM13*1)="",FALSE,DATE(2029,6,1)=EDATE(DATE(2029,8,1),-'Model inputs'!AM13*1)),IF('Model inputs'!AI85="","",'Model inputs'!AI85),"")</f>
      </c>
    </row>
    <row r="3490">
      <c r="A3490" t="inlineStr" s="25">
        <is>
          <t xml:space="preserve">Calculation</t>
        </is>
      </c>
      <c r="B3490">
        <f>IF(IF(DATE(2029,7,1)=EDATE(DATE(2029,8,1),-'Model inputs'!AM13*1)="",FALSE,DATE(2029,7,1)=EDATE(DATE(2029,8,1),-'Model inputs'!AM13*1)),IF('Model inputs'!AJ85="","",'Model inputs'!AJ85),"")</f>
      </c>
    </row>
    <row r="3491">
      <c r="A3491" t="inlineStr" s="25">
        <is>
          <t xml:space="preserve">Calculation</t>
        </is>
      </c>
      <c r="B3491">
        <f>IF(IF(DATE(2029,8,1)=EDATE(DATE(2029,8,1),-'Model inputs'!AM13*1)="",FALSE,DATE(2029,8,1)=EDATE(DATE(2029,8,1),-'Model inputs'!AM13*1)),IF('Model inputs'!AK85="","",'Model inputs'!AK85),"")</f>
      </c>
    </row>
    <row r="3492">
      <c r="A3492" t="inlineStr" s="25">
        <is>
          <t xml:space="preserve">Calculation</t>
        </is>
      </c>
      <c r="B3492">
        <f>IF(IF(DATE(2029,9,1)=EDATE(DATE(2029,8,1),-'Model inputs'!AM13*1)="",FALSE,DATE(2029,9,1)=EDATE(DATE(2029,8,1),-'Model inputs'!AM13*1)),IF('Model inputs'!AL85="","",'Model inputs'!AL85),"")</f>
      </c>
    </row>
    <row r="3493">
      <c r="A3493" t="inlineStr" s="25">
        <is>
          <t xml:space="preserve">Calculation</t>
        </is>
      </c>
      <c r="B3493">
        <f>SUM(IF(IF('Model inputs'!B2123="",0,1)="",0,IF('Model inputs'!B2123="",0,1)),IF(IF('Model inputs'!B3457="",0,1)="",0,IF('Model inputs'!B3457="",0,1)),IF(IF('Model inputs'!B3458="",0,1)="",0,IF('Model inputs'!B3458="",0,1)),IF(IF('Model inputs'!B3459="",0,1)="",0,IF('Model inputs'!B3459="",0,1)),IF(IF('Model inputs'!B3460="",0,1)="",0,IF('Model inputs'!B3460="",0,1)),IF(IF('Model inputs'!B3461="",0,1)="",0,IF('Model inputs'!B3461="",0,1)),IF(IF('Model inputs'!B3462="",0,1)="",0,IF('Model inputs'!B3462="",0,1)),IF(IF('Model inputs'!B3463="",0,1)="",0,IF('Model inputs'!B3463="",0,1)),IF(IF('Model inputs'!B3464="",0,1)="",0,IF('Model inputs'!B3464="",0,1)),IF(IF('Model inputs'!B3465="",0,1)="",0,IF('Model inputs'!B3465="",0,1)),IF(IF('Model inputs'!B3466="",0,1)="",0,IF('Model inputs'!B3466="",0,1)),IF(IF('Model inputs'!B3467="",0,1)="",0,IF('Model inputs'!B3467="",0,1)),IF(IF('Model inputs'!B3468="",0,1)="",0,IF('Model inputs'!B3468="",0,1)),IF(IF('Model inputs'!B3469="",0,1)="",0,IF('Model inputs'!B3469="",0,1)),IF(IF('Model inputs'!B3470="",0,1)="",0,IF('Model inputs'!B3470="",0,1)),IF(IF('Model inputs'!B3471="",0,1)="",0,IF('Model inputs'!B3471="",0,1)),IF(IF('Model inputs'!B3472="",0,1)="",0,IF('Model inputs'!B3472="",0,1)),IF(IF('Model inputs'!B3473="",0,1)="",0,IF('Model inputs'!B3473="",0,1)),IF(IF('Model inputs'!B3474="",0,1)="",0,IF('Model inputs'!B3474="",0,1)),IF(IF('Model inputs'!B3475="",0,1)="",0,IF('Model inputs'!B3475="",0,1)),IF(IF('Model inputs'!B3476="",0,1)="",0,IF('Model inputs'!B3476="",0,1)),IF(IF('Model inputs'!B3477="",0,1)="",0,IF('Model inputs'!B3477="",0,1)),IF(IF('Model inputs'!B3478="",0,1)="",0,IF('Model inputs'!B3478="",0,1)),IF(IF('Model inputs'!B3479="",0,1)="",0,IF('Model inputs'!B3479="",0,1)),IF(IF('Model inputs'!B3480="",0,1)="",0,IF('Model inputs'!B3480="",0,1)),IF(IF('Model inputs'!B3481="",0,1)="",0,IF('Model inputs'!B3481="",0,1)),IF(IF('Model inputs'!B3482="",0,1)="",0,IF('Model inputs'!B3482="",0,1)),IF(IF('Model inputs'!B3483="",0,1)="",0,IF('Model inputs'!B3483="",0,1)),IF(IF('Model inputs'!B3484="",0,1)="",0,IF('Model inputs'!B3484="",0,1)),IF(IF('Model inputs'!B3485="",0,1)="",0,IF('Model inputs'!B3485="",0,1)),IF(IF('Model inputs'!B3486="",0,1)="",0,IF('Model inputs'!B3486="",0,1)),IF(IF('Model inputs'!B3487="",0,1)="",0,IF('Model inputs'!B3487="",0,1)),IF(IF('Model inputs'!B3488="",0,1)="",0,IF('Model inputs'!B3488="",0,1)),IF(IF('Model inputs'!B3489="",0,1)="",0,IF('Model inputs'!B3489="",0,1)),IF(IF('Model inputs'!B3490="",0,1)="",0,IF('Model inputs'!B3490="",0,1)),IF(IF('Model inputs'!B3491="",0,1)="",0,IF('Model inputs'!B3491="",0,1)),IF(IF('Model inputs'!B3492="",0,1)="",0,IF('Model inputs'!B3492="",0,1)))</f>
      </c>
    </row>
    <row r="3494">
      <c r="A3494" t="inlineStr" s="25">
        <is>
          <t xml:space="preserve">Calculation</t>
        </is>
      </c>
      <c r="B3494">
        <f>IF(IF(DATE(2026,10,1)=EDATE(DATE(2029,9,1),-'Model inputs'!AM13*1)="",FALSE,DATE(2026,10,1)=EDATE(DATE(2029,9,1),-'Model inputs'!AM13*1)),IF('Model inputs'!C85="","",'Model inputs'!C85),"")</f>
      </c>
    </row>
    <row r="3495">
      <c r="A3495" t="inlineStr" s="25">
        <is>
          <t xml:space="preserve">Calculation</t>
        </is>
      </c>
      <c r="B3495">
        <f>IF(IF(DATE(2026,11,1)=EDATE(DATE(2029,9,1),-'Model inputs'!AM13*1)="",FALSE,DATE(2026,11,1)=EDATE(DATE(2029,9,1),-'Model inputs'!AM13*1)),IF('Model inputs'!D85="","",'Model inputs'!D85),"")</f>
      </c>
    </row>
    <row r="3496">
      <c r="A3496" t="inlineStr" s="25">
        <is>
          <t xml:space="preserve">Calculation</t>
        </is>
      </c>
      <c r="B3496">
        <f>IF(IF(DATE(2026,12,1)=EDATE(DATE(2029,9,1),-'Model inputs'!AM13*1)="",FALSE,DATE(2026,12,1)=EDATE(DATE(2029,9,1),-'Model inputs'!AM13*1)),IF('Model inputs'!E85="","",'Model inputs'!E85),"")</f>
      </c>
    </row>
    <row r="3497">
      <c r="A3497" t="inlineStr" s="25">
        <is>
          <t xml:space="preserve">Calculation</t>
        </is>
      </c>
      <c r="B3497">
        <f>IF(IF(DATE(2027,1,1)=EDATE(DATE(2029,9,1),-'Model inputs'!AM13*1)="",FALSE,DATE(2027,1,1)=EDATE(DATE(2029,9,1),-'Model inputs'!AM13*1)),IF('Model inputs'!F85="","",'Model inputs'!F85),"")</f>
      </c>
    </row>
    <row r="3498">
      <c r="A3498" t="inlineStr" s="25">
        <is>
          <t xml:space="preserve">Calculation</t>
        </is>
      </c>
      <c r="B3498">
        <f>IF(IF(DATE(2027,2,1)=EDATE(DATE(2029,9,1),-'Model inputs'!AM13*1)="",FALSE,DATE(2027,2,1)=EDATE(DATE(2029,9,1),-'Model inputs'!AM13*1)),IF('Model inputs'!G85="","",'Model inputs'!G85),"")</f>
      </c>
    </row>
    <row r="3499">
      <c r="A3499" t="inlineStr" s="25">
        <is>
          <t xml:space="preserve">Calculation</t>
        </is>
      </c>
      <c r="B3499">
        <f>IF(IF(DATE(2027,3,1)=EDATE(DATE(2029,9,1),-'Model inputs'!AM13*1)="",FALSE,DATE(2027,3,1)=EDATE(DATE(2029,9,1),-'Model inputs'!AM13*1)),IF('Model inputs'!H85="","",'Model inputs'!H85),"")</f>
      </c>
    </row>
    <row r="3500">
      <c r="A3500" t="inlineStr" s="25">
        <is>
          <t xml:space="preserve">Calculation</t>
        </is>
      </c>
      <c r="B3500">
        <f>IF(IF(DATE(2027,4,1)=EDATE(DATE(2029,9,1),-'Model inputs'!AM13*1)="",FALSE,DATE(2027,4,1)=EDATE(DATE(2029,9,1),-'Model inputs'!AM13*1)),IF('Model inputs'!I85="","",'Model inputs'!I85),"")</f>
      </c>
    </row>
    <row r="3501">
      <c r="A3501" t="inlineStr" s="25">
        <is>
          <t xml:space="preserve">Calculation</t>
        </is>
      </c>
      <c r="B3501">
        <f>IF(IF(DATE(2027,5,1)=EDATE(DATE(2029,9,1),-'Model inputs'!AM13*1)="",FALSE,DATE(2027,5,1)=EDATE(DATE(2029,9,1),-'Model inputs'!AM13*1)),IF('Model inputs'!J85="","",'Model inputs'!J85),"")</f>
      </c>
    </row>
    <row r="3502">
      <c r="A3502" t="inlineStr" s="25">
        <is>
          <t xml:space="preserve">Calculation</t>
        </is>
      </c>
      <c r="B3502">
        <f>IF(IF(DATE(2027,6,1)=EDATE(DATE(2029,9,1),-'Model inputs'!AM13*1)="",FALSE,DATE(2027,6,1)=EDATE(DATE(2029,9,1),-'Model inputs'!AM13*1)),IF('Model inputs'!K85="","",'Model inputs'!K85),"")</f>
      </c>
    </row>
    <row r="3503">
      <c r="A3503" t="inlineStr" s="25">
        <is>
          <t xml:space="preserve">Calculation</t>
        </is>
      </c>
      <c r="B3503">
        <f>IF(IF(DATE(2027,7,1)=EDATE(DATE(2029,9,1),-'Model inputs'!AM13*1)="",FALSE,DATE(2027,7,1)=EDATE(DATE(2029,9,1),-'Model inputs'!AM13*1)),IF('Model inputs'!L85="","",'Model inputs'!L85),"")</f>
      </c>
    </row>
    <row r="3504">
      <c r="A3504" t="inlineStr" s="25">
        <is>
          <t xml:space="preserve">Calculation</t>
        </is>
      </c>
      <c r="B3504">
        <f>IF(IF(DATE(2027,8,1)=EDATE(DATE(2029,9,1),-'Model inputs'!AM13*1)="",FALSE,DATE(2027,8,1)=EDATE(DATE(2029,9,1),-'Model inputs'!AM13*1)),IF('Model inputs'!M85="","",'Model inputs'!M85),"")</f>
      </c>
    </row>
    <row r="3505">
      <c r="A3505" t="inlineStr" s="25">
        <is>
          <t xml:space="preserve">Calculation</t>
        </is>
      </c>
      <c r="B3505">
        <f>IF(IF(DATE(2027,9,1)=EDATE(DATE(2029,9,1),-'Model inputs'!AM13*1)="",FALSE,DATE(2027,9,1)=EDATE(DATE(2029,9,1),-'Model inputs'!AM13*1)),IF('Model inputs'!N85="","",'Model inputs'!N85),"")</f>
      </c>
    </row>
    <row r="3506">
      <c r="A3506" t="inlineStr" s="25">
        <is>
          <t xml:space="preserve">Calculation</t>
        </is>
      </c>
      <c r="B3506">
        <f>IF(IF(DATE(2027,10,1)=EDATE(DATE(2029,9,1),-'Model inputs'!AM13*1)="",FALSE,DATE(2027,10,1)=EDATE(DATE(2029,9,1),-'Model inputs'!AM13*1)),IF('Model inputs'!O85="","",'Model inputs'!O85),"")</f>
      </c>
    </row>
    <row r="3507">
      <c r="A3507" t="inlineStr" s="25">
        <is>
          <t xml:space="preserve">Calculation</t>
        </is>
      </c>
      <c r="B3507">
        <f>IF(IF(DATE(2027,11,1)=EDATE(DATE(2029,9,1),-'Model inputs'!AM13*1)="",FALSE,DATE(2027,11,1)=EDATE(DATE(2029,9,1),-'Model inputs'!AM13*1)),IF('Model inputs'!P85="","",'Model inputs'!P85),"")</f>
      </c>
    </row>
    <row r="3508">
      <c r="A3508" t="inlineStr" s="25">
        <is>
          <t xml:space="preserve">Calculation</t>
        </is>
      </c>
      <c r="B3508">
        <f>IF(IF(DATE(2027,12,1)=EDATE(DATE(2029,9,1),-'Model inputs'!AM13*1)="",FALSE,DATE(2027,12,1)=EDATE(DATE(2029,9,1),-'Model inputs'!AM13*1)),IF('Model inputs'!Q85="","",'Model inputs'!Q85),"")</f>
      </c>
    </row>
    <row r="3509">
      <c r="A3509" t="inlineStr" s="25">
        <is>
          <t xml:space="preserve">Calculation</t>
        </is>
      </c>
      <c r="B3509">
        <f>IF(IF(DATE(2028,1,1)=EDATE(DATE(2029,9,1),-'Model inputs'!AM13*1)="",FALSE,DATE(2028,1,1)=EDATE(DATE(2029,9,1),-'Model inputs'!AM13*1)),IF('Model inputs'!R85="","",'Model inputs'!R85),"")</f>
      </c>
    </row>
    <row r="3510">
      <c r="A3510" t="inlineStr" s="25">
        <is>
          <t xml:space="preserve">Calculation</t>
        </is>
      </c>
      <c r="B3510">
        <f>IF(IF(DATE(2028,2,1)=EDATE(DATE(2029,9,1),-'Model inputs'!AM13*1)="",FALSE,DATE(2028,2,1)=EDATE(DATE(2029,9,1),-'Model inputs'!AM13*1)),IF('Model inputs'!S85="","",'Model inputs'!S85),"")</f>
      </c>
    </row>
    <row r="3511">
      <c r="A3511" t="inlineStr" s="25">
        <is>
          <t xml:space="preserve">Calculation</t>
        </is>
      </c>
      <c r="B3511">
        <f>IF(IF(DATE(2028,3,1)=EDATE(DATE(2029,9,1),-'Model inputs'!AM13*1)="",FALSE,DATE(2028,3,1)=EDATE(DATE(2029,9,1),-'Model inputs'!AM13*1)),IF('Model inputs'!T85="","",'Model inputs'!T85),"")</f>
      </c>
    </row>
    <row r="3512">
      <c r="A3512" t="inlineStr" s="25">
        <is>
          <t xml:space="preserve">Calculation</t>
        </is>
      </c>
      <c r="B3512">
        <f>IF(IF(DATE(2028,4,1)=EDATE(DATE(2029,9,1),-'Model inputs'!AM13*1)="",FALSE,DATE(2028,4,1)=EDATE(DATE(2029,9,1),-'Model inputs'!AM13*1)),IF('Model inputs'!U85="","",'Model inputs'!U85),"")</f>
      </c>
    </row>
    <row r="3513">
      <c r="A3513" t="inlineStr" s="25">
        <is>
          <t xml:space="preserve">Calculation</t>
        </is>
      </c>
      <c r="B3513">
        <f>IF(IF(DATE(2028,5,1)=EDATE(DATE(2029,9,1),-'Model inputs'!AM13*1)="",FALSE,DATE(2028,5,1)=EDATE(DATE(2029,9,1),-'Model inputs'!AM13*1)),IF('Model inputs'!V85="","",'Model inputs'!V85),"")</f>
      </c>
    </row>
    <row r="3514">
      <c r="A3514" t="inlineStr" s="25">
        <is>
          <t xml:space="preserve">Calculation</t>
        </is>
      </c>
      <c r="B3514">
        <f>IF(IF(DATE(2028,6,1)=EDATE(DATE(2029,9,1),-'Model inputs'!AM13*1)="",FALSE,DATE(2028,6,1)=EDATE(DATE(2029,9,1),-'Model inputs'!AM13*1)),IF('Model inputs'!W85="","",'Model inputs'!W85),"")</f>
      </c>
    </row>
    <row r="3515">
      <c r="A3515" t="inlineStr" s="25">
        <is>
          <t xml:space="preserve">Calculation</t>
        </is>
      </c>
      <c r="B3515">
        <f>IF(IF(DATE(2028,7,1)=EDATE(DATE(2029,9,1),-'Model inputs'!AM13*1)="",FALSE,DATE(2028,7,1)=EDATE(DATE(2029,9,1),-'Model inputs'!AM13*1)),IF('Model inputs'!X85="","",'Model inputs'!X85),"")</f>
      </c>
    </row>
    <row r="3516">
      <c r="A3516" t="inlineStr" s="25">
        <is>
          <t xml:space="preserve">Calculation</t>
        </is>
      </c>
      <c r="B3516">
        <f>IF(IF(DATE(2028,8,1)=EDATE(DATE(2029,9,1),-'Model inputs'!AM13*1)="",FALSE,DATE(2028,8,1)=EDATE(DATE(2029,9,1),-'Model inputs'!AM13*1)),IF('Model inputs'!Y85="","",'Model inputs'!Y85),"")</f>
      </c>
    </row>
    <row r="3517">
      <c r="A3517" t="inlineStr" s="25">
        <is>
          <t xml:space="preserve">Calculation</t>
        </is>
      </c>
      <c r="B3517">
        <f>IF(IF(DATE(2028,9,1)=EDATE(DATE(2029,9,1),-'Model inputs'!AM13*1)="",FALSE,DATE(2028,9,1)=EDATE(DATE(2029,9,1),-'Model inputs'!AM13*1)),IF('Model inputs'!Z85="","",'Model inputs'!Z85),"")</f>
      </c>
    </row>
    <row r="3518">
      <c r="A3518" t="inlineStr" s="25">
        <is>
          <t xml:space="preserve">Calculation</t>
        </is>
      </c>
      <c r="B3518">
        <f>IF(IF(DATE(2028,10,1)=EDATE(DATE(2029,9,1),-'Model inputs'!AM13*1)="",FALSE,DATE(2028,10,1)=EDATE(DATE(2029,9,1),-'Model inputs'!AM13*1)),IF('Model inputs'!AA85="","",'Model inputs'!AA85),"")</f>
      </c>
    </row>
    <row r="3519">
      <c r="A3519" t="inlineStr" s="25">
        <is>
          <t xml:space="preserve">Calculation</t>
        </is>
      </c>
      <c r="B3519">
        <f>IF(IF(DATE(2028,11,1)=EDATE(DATE(2029,9,1),-'Model inputs'!AM13*1)="",FALSE,DATE(2028,11,1)=EDATE(DATE(2029,9,1),-'Model inputs'!AM13*1)),IF('Model inputs'!AB85="","",'Model inputs'!AB85),"")</f>
      </c>
    </row>
    <row r="3520">
      <c r="A3520" t="inlineStr" s="25">
        <is>
          <t xml:space="preserve">Calculation</t>
        </is>
      </c>
      <c r="B3520">
        <f>IF(IF(DATE(2028,12,1)=EDATE(DATE(2029,9,1),-'Model inputs'!AM13*1)="",FALSE,DATE(2028,12,1)=EDATE(DATE(2029,9,1),-'Model inputs'!AM13*1)),IF('Model inputs'!AC85="","",'Model inputs'!AC85),"")</f>
      </c>
    </row>
    <row r="3521">
      <c r="A3521" t="inlineStr" s="25">
        <is>
          <t xml:space="preserve">Calculation</t>
        </is>
      </c>
      <c r="B3521">
        <f>IF(IF(DATE(2029,1,1)=EDATE(DATE(2029,9,1),-'Model inputs'!AM13*1)="",FALSE,DATE(2029,1,1)=EDATE(DATE(2029,9,1),-'Model inputs'!AM13*1)),IF('Model inputs'!AD85="","",'Model inputs'!AD85),"")</f>
      </c>
    </row>
    <row r="3522">
      <c r="A3522" t="inlineStr" s="25">
        <is>
          <t xml:space="preserve">Calculation</t>
        </is>
      </c>
      <c r="B3522">
        <f>IF(IF(DATE(2029,2,1)=EDATE(DATE(2029,9,1),-'Model inputs'!AM13*1)="",FALSE,DATE(2029,2,1)=EDATE(DATE(2029,9,1),-'Model inputs'!AM13*1)),IF('Model inputs'!AE85="","",'Model inputs'!AE85),"")</f>
      </c>
    </row>
    <row r="3523">
      <c r="A3523" t="inlineStr" s="25">
        <is>
          <t xml:space="preserve">Calculation</t>
        </is>
      </c>
      <c r="B3523">
        <f>IF(IF(DATE(2029,3,1)=EDATE(DATE(2029,9,1),-'Model inputs'!AM13*1)="",FALSE,DATE(2029,3,1)=EDATE(DATE(2029,9,1),-'Model inputs'!AM13*1)),IF('Model inputs'!AF85="","",'Model inputs'!AF85),"")</f>
      </c>
    </row>
    <row r="3524">
      <c r="A3524" t="inlineStr" s="25">
        <is>
          <t xml:space="preserve">Calculation</t>
        </is>
      </c>
      <c r="B3524">
        <f>IF(IF(DATE(2029,4,1)=EDATE(DATE(2029,9,1),-'Model inputs'!AM13*1)="",FALSE,DATE(2029,4,1)=EDATE(DATE(2029,9,1),-'Model inputs'!AM13*1)),IF('Model inputs'!AG85="","",'Model inputs'!AG85),"")</f>
      </c>
    </row>
    <row r="3525">
      <c r="A3525" t="inlineStr" s="25">
        <is>
          <t xml:space="preserve">Calculation</t>
        </is>
      </c>
      <c r="B3525">
        <f>IF(IF(DATE(2029,5,1)=EDATE(DATE(2029,9,1),-'Model inputs'!AM13*1)="",FALSE,DATE(2029,5,1)=EDATE(DATE(2029,9,1),-'Model inputs'!AM13*1)),IF('Model inputs'!AH85="","",'Model inputs'!AH85),"")</f>
      </c>
    </row>
    <row r="3526">
      <c r="A3526" t="inlineStr" s="25">
        <is>
          <t xml:space="preserve">Calculation</t>
        </is>
      </c>
      <c r="B3526">
        <f>IF(IF(DATE(2029,6,1)=EDATE(DATE(2029,9,1),-'Model inputs'!AM13*1)="",FALSE,DATE(2029,6,1)=EDATE(DATE(2029,9,1),-'Model inputs'!AM13*1)),IF('Model inputs'!AI85="","",'Model inputs'!AI85),"")</f>
      </c>
    </row>
    <row r="3527">
      <c r="A3527" t="inlineStr" s="25">
        <is>
          <t xml:space="preserve">Calculation</t>
        </is>
      </c>
      <c r="B3527">
        <f>IF(IF(DATE(2029,7,1)=EDATE(DATE(2029,9,1),-'Model inputs'!AM13*1)="",FALSE,DATE(2029,7,1)=EDATE(DATE(2029,9,1),-'Model inputs'!AM13*1)),IF('Model inputs'!AJ85="","",'Model inputs'!AJ85),"")</f>
      </c>
    </row>
    <row r="3528">
      <c r="A3528" t="inlineStr" s="25">
        <is>
          <t xml:space="preserve">Calculation</t>
        </is>
      </c>
      <c r="B3528">
        <f>IF(IF(DATE(2029,8,1)=EDATE(DATE(2029,9,1),-'Model inputs'!AM13*1)="",FALSE,DATE(2029,8,1)=EDATE(DATE(2029,9,1),-'Model inputs'!AM13*1)),IF('Model inputs'!AK85="","",'Model inputs'!AK85),"")</f>
      </c>
    </row>
    <row r="3529">
      <c r="A3529" t="inlineStr" s="25">
        <is>
          <t xml:space="preserve">Calculation</t>
        </is>
      </c>
      <c r="B3529">
        <f>IF(IF(DATE(2029,9,1)=EDATE(DATE(2029,9,1),-'Model inputs'!AM13*1)="",FALSE,DATE(2029,9,1)=EDATE(DATE(2029,9,1),-'Model inputs'!AM13*1)),IF('Model inputs'!AL85="","",'Model inputs'!AL85),"")</f>
      </c>
    </row>
    <row r="3530">
      <c r="A3530" t="inlineStr" s="25">
        <is>
          <t xml:space="preserve">Calculation</t>
        </is>
      </c>
      <c r="B3530">
        <f>SUM(IF(IF('Model inputs'!B2161="",0,1)="",0,IF('Model inputs'!B2161="",0,1)),IF(IF('Model inputs'!B3494="",0,1)="",0,IF('Model inputs'!B3494="",0,1)),IF(IF('Model inputs'!B3495="",0,1)="",0,IF('Model inputs'!B3495="",0,1)),IF(IF('Model inputs'!B3496="",0,1)="",0,IF('Model inputs'!B3496="",0,1)),IF(IF('Model inputs'!B3497="",0,1)="",0,IF('Model inputs'!B3497="",0,1)),IF(IF('Model inputs'!B3498="",0,1)="",0,IF('Model inputs'!B3498="",0,1)),IF(IF('Model inputs'!B3499="",0,1)="",0,IF('Model inputs'!B3499="",0,1)),IF(IF('Model inputs'!B3500="",0,1)="",0,IF('Model inputs'!B3500="",0,1)),IF(IF('Model inputs'!B3501="",0,1)="",0,IF('Model inputs'!B3501="",0,1)),IF(IF('Model inputs'!B3502="",0,1)="",0,IF('Model inputs'!B3502="",0,1)),IF(IF('Model inputs'!B3503="",0,1)="",0,IF('Model inputs'!B3503="",0,1)),IF(IF('Model inputs'!B3504="",0,1)="",0,IF('Model inputs'!B3504="",0,1)),IF(IF('Model inputs'!B3505="",0,1)="",0,IF('Model inputs'!B3505="",0,1)),IF(IF('Model inputs'!B3506="",0,1)="",0,IF('Model inputs'!B3506="",0,1)),IF(IF('Model inputs'!B3507="",0,1)="",0,IF('Model inputs'!B3507="",0,1)),IF(IF('Model inputs'!B3508="",0,1)="",0,IF('Model inputs'!B3508="",0,1)),IF(IF('Model inputs'!B3509="",0,1)="",0,IF('Model inputs'!B3509="",0,1)),IF(IF('Model inputs'!B3510="",0,1)="",0,IF('Model inputs'!B3510="",0,1)),IF(IF('Model inputs'!B3511="",0,1)="",0,IF('Model inputs'!B3511="",0,1)),IF(IF('Model inputs'!B3512="",0,1)="",0,IF('Model inputs'!B3512="",0,1)),IF(IF('Model inputs'!B3513="",0,1)="",0,IF('Model inputs'!B3513="",0,1)),IF(IF('Model inputs'!B3514="",0,1)="",0,IF('Model inputs'!B3514="",0,1)),IF(IF('Model inputs'!B3515="",0,1)="",0,IF('Model inputs'!B3515="",0,1)),IF(IF('Model inputs'!B3516="",0,1)="",0,IF('Model inputs'!B3516="",0,1)),IF(IF('Model inputs'!B3517="",0,1)="",0,IF('Model inputs'!B3517="",0,1)),IF(IF('Model inputs'!B3518="",0,1)="",0,IF('Model inputs'!B3518="",0,1)),IF(IF('Model inputs'!B3519="",0,1)="",0,IF('Model inputs'!B3519="",0,1)),IF(IF('Model inputs'!B3520="",0,1)="",0,IF('Model inputs'!B3520="",0,1)),IF(IF('Model inputs'!B3521="",0,1)="",0,IF('Model inputs'!B3521="",0,1)),IF(IF('Model inputs'!B3522="",0,1)="",0,IF('Model inputs'!B3522="",0,1)),IF(IF('Model inputs'!B3523="",0,1)="",0,IF('Model inputs'!B3523="",0,1)),IF(IF('Model inputs'!B3524="",0,1)="",0,IF('Model inputs'!B3524="",0,1)),IF(IF('Model inputs'!B3525="",0,1)="",0,IF('Model inputs'!B3525="",0,1)),IF(IF('Model inputs'!B3526="",0,1)="",0,IF('Model inputs'!B3526="",0,1)),IF(IF('Model inputs'!B3527="",0,1)="",0,IF('Model inputs'!B3527="",0,1)),IF(IF('Model inputs'!B3528="",0,1)="",0,IF('Model inputs'!B3528="",0,1)),IF(IF('Model inputs'!B3529="",0,1)="",0,IF('Model inputs'!B3529="",0,1)))</f>
      </c>
    </row>
    <row r="3531">
      <c r="A3531" t="inlineStr" s="25">
        <is>
          <t xml:space="preserve">Calculation</t>
        </is>
      </c>
      <c r="B3531">
        <f>IF((IF(IF(IF(ISERROR('Model inputs'!C95&lt;=6),'Model inputs'!C95&lt;=6,IF('Model inputs'!C95="","",'Model inputs'!C95&lt;=6))="",FALSE,IF(ISERROR('Model inputs'!C95&lt;=6),'Model inputs'!C95&lt;=6,IF('Model inputs'!C95="","",'Model inputs'!C95&lt;=6))),'Model inputs'!AM20+('Model inputs'!AM26-'Model inputs'!AM20)*('Model inputs'!C95-0)/6,IF(IF(IF(ISERROR('Model inputs'!C95&lt;=12),'Model inputs'!C95&lt;=12,IF('Model inputs'!C95="","",'Model inputs'!C95&lt;=12))="",FALSE,IF(ISERROR('Model inputs'!C95&lt;=12),'Model inputs'!C95&lt;=12,IF('Model inputs'!C95="","",'Model inputs'!C95&lt;=12))),'Model inputs'!AM26+('Model inputs'!AM21-'Model inputs'!AM26)*('Model inputs'!C95-6)/6,IF(IF(IF(ISERROR('Model inputs'!C95&lt;=18),'Model inputs'!C95&lt;=18,IF('Model inputs'!C95="","",'Model inputs'!C95&lt;=18))="",FALSE,IF(ISERROR('Model inputs'!C95&lt;=18),'Model inputs'!C95&lt;=18,IF('Model inputs'!C95="","",'Model inputs'!C95&lt;=18))),'Model inputs'!AM21+('Model inputs'!AM22-'Model inputs'!AM21)*('Model inputs'!C95-12)/6,IF(IF(IF(ISERROR('Model inputs'!C95&lt;=24),'Model inputs'!C95&lt;=24,IF('Model inputs'!C95="","",'Model inputs'!C95&lt;=24))="",FALSE,IF(ISERROR('Model inputs'!C95&lt;=24),'Model inputs'!C95&lt;=24,IF('Model inputs'!C95="","",'Model inputs'!C95&lt;=24))),'Model inputs'!AM22+('Model inputs'!AM23-'Model inputs'!AM22)*('Model inputs'!C95-18)/6,IF(IF(IF(ISERROR('Model inputs'!C95&lt;=30),'Model inputs'!C95&lt;=30,IF('Model inputs'!C95="","",'Model inputs'!C95&lt;=30))="",FALSE,IF(ISERROR('Model inputs'!C95&lt;=30),'Model inputs'!C95&lt;=30,IF('Model inputs'!C95="","",'Model inputs'!C95&lt;=30))),'Model inputs'!AM23+('Model inputs'!AM24-'Model inputs'!AM23)*('Model inputs'!C95-24)/6,IF(IF(IF(ISERROR('Model inputs'!C95&lt;=36),'Model inputs'!C95&lt;=36,IF('Model inputs'!C95="","",'Model inputs'!C95&lt;=36))="",FALSE,IF(ISERROR('Model inputs'!C95&lt;=36),'Model inputs'!C95&lt;=36,IF('Model inputs'!C95="","",'Model inputs'!C95&lt;=36))),'Model inputs'!AM24+('Model inputs'!AM25-'Model inputs'!AM24)*('Model inputs'!C95-30)/6,IF('Model inputs'!AM25="","",'Model inputs'!AM25))))))))="",0,(IF(IF(IF(ISERROR('Model inputs'!C95&lt;=6),'Model inputs'!C95&lt;=6,IF('Model inputs'!C95="","",'Model inputs'!C95&lt;=6))="",FALSE,IF(ISERROR('Model inputs'!C95&lt;=6),'Model inputs'!C95&lt;=6,IF('Model inputs'!C95="","",'Model inputs'!C95&lt;=6))),'Model inputs'!AM20+('Model inputs'!AM26-'Model inputs'!AM20)*('Model inputs'!C95-0)/6,IF(IF(IF(ISERROR('Model inputs'!C95&lt;=12),'Model inputs'!C95&lt;=12,IF('Model inputs'!C95="","",'Model inputs'!C95&lt;=12))="",FALSE,IF(ISERROR('Model inputs'!C95&lt;=12),'Model inputs'!C95&lt;=12,IF('Model inputs'!C95="","",'Model inputs'!C95&lt;=12))),'Model inputs'!AM26+('Model inputs'!AM21-'Model inputs'!AM26)*('Model inputs'!C95-6)/6,IF(IF(IF(ISERROR('Model inputs'!C95&lt;=18),'Model inputs'!C95&lt;=18,IF('Model inputs'!C95="","",'Model inputs'!C95&lt;=18))="",FALSE,IF(ISERROR('Model inputs'!C95&lt;=18),'Model inputs'!C95&lt;=18,IF('Model inputs'!C95="","",'Model inputs'!C95&lt;=18))),'Model inputs'!AM21+('Model inputs'!AM22-'Model inputs'!AM21)*('Model inputs'!C95-12)/6,IF(IF(IF(ISERROR('Model inputs'!C95&lt;=24),'Model inputs'!C95&lt;=24,IF('Model inputs'!C95="","",'Model inputs'!C95&lt;=24))="",FALSE,IF(ISERROR('Model inputs'!C95&lt;=24),'Model inputs'!C95&lt;=24,IF('Model inputs'!C95="","",'Model inputs'!C95&lt;=24))),'Model inputs'!AM22+('Model inputs'!AM23-'Model inputs'!AM22)*('Model inputs'!C95-18)/6,IF(IF(IF(ISERROR('Model inputs'!C95&lt;=30),'Model inputs'!C95&lt;=30,IF('Model inputs'!C95="","",'Model inputs'!C95&lt;=30))="",FALSE,IF(ISERROR('Model inputs'!C95&lt;=30),'Model inputs'!C95&lt;=30,IF('Model inputs'!C95="","",'Model inputs'!C95&lt;=30))),'Model inputs'!AM23+('Model inputs'!AM24-'Model inputs'!AM23)*('Model inputs'!C95-24)/6,IF(IF(IF(ISERROR('Model inputs'!C95&lt;=36),'Model inputs'!C95&lt;=36,IF('Model inputs'!C95="","",'Model inputs'!C95&lt;=36))="",FALSE,IF(ISERROR('Model inputs'!C95&lt;=36),'Model inputs'!C95&lt;=36,IF('Model inputs'!C95="","",'Model inputs'!C95&lt;=36))),'Model inputs'!AM24+('Model inputs'!AM25-'Model inputs'!AM24)*('Model inputs'!C95-30)/6,IF('Model inputs'!AM25="","",'Model inputs'!AM25)))))))))/'Model inputs'!AM9</f>
      </c>
    </row>
    <row r="3532">
      <c r="A3532" t="inlineStr" s="25">
        <is>
          <t xml:space="preserve">Calculation</t>
        </is>
      </c>
      <c r="B3532">
        <f>IF((IF(IF(IF(ISERROR('Model inputs'!D95&lt;=6),'Model inputs'!D95&lt;=6,IF('Model inputs'!D95="","",'Model inputs'!D95&lt;=6))="",FALSE,IF(ISERROR('Model inputs'!D95&lt;=6),'Model inputs'!D95&lt;=6,IF('Model inputs'!D95="","",'Model inputs'!D95&lt;=6))),'Model inputs'!AM20+('Model inputs'!AM26-'Model inputs'!AM20)*('Model inputs'!D95-0)/6,IF(IF(IF(ISERROR('Model inputs'!D95&lt;=12),'Model inputs'!D95&lt;=12,IF('Model inputs'!D95="","",'Model inputs'!D95&lt;=12))="",FALSE,IF(ISERROR('Model inputs'!D95&lt;=12),'Model inputs'!D95&lt;=12,IF('Model inputs'!D95="","",'Model inputs'!D95&lt;=12))),'Model inputs'!AM26+('Model inputs'!AM21-'Model inputs'!AM26)*('Model inputs'!D95-6)/6,IF(IF(IF(ISERROR('Model inputs'!D95&lt;=18),'Model inputs'!D95&lt;=18,IF('Model inputs'!D95="","",'Model inputs'!D95&lt;=18))="",FALSE,IF(ISERROR('Model inputs'!D95&lt;=18),'Model inputs'!D95&lt;=18,IF('Model inputs'!D95="","",'Model inputs'!D95&lt;=18))),'Model inputs'!AM21+('Model inputs'!AM22-'Model inputs'!AM21)*('Model inputs'!D95-12)/6,IF(IF(IF(ISERROR('Model inputs'!D95&lt;=24),'Model inputs'!D95&lt;=24,IF('Model inputs'!D95="","",'Model inputs'!D95&lt;=24))="",FALSE,IF(ISERROR('Model inputs'!D95&lt;=24),'Model inputs'!D95&lt;=24,IF('Model inputs'!D95="","",'Model inputs'!D95&lt;=24))),'Model inputs'!AM22+('Model inputs'!AM23-'Model inputs'!AM22)*('Model inputs'!D95-18)/6,IF(IF(IF(ISERROR('Model inputs'!D95&lt;=30),'Model inputs'!D95&lt;=30,IF('Model inputs'!D95="","",'Model inputs'!D95&lt;=30))="",FALSE,IF(ISERROR('Model inputs'!D95&lt;=30),'Model inputs'!D95&lt;=30,IF('Model inputs'!D95="","",'Model inputs'!D95&lt;=30))),'Model inputs'!AM23+('Model inputs'!AM24-'Model inputs'!AM23)*('Model inputs'!D95-24)/6,IF(IF(IF(ISERROR('Model inputs'!D95&lt;=36),'Model inputs'!D95&lt;=36,IF('Model inputs'!D95="","",'Model inputs'!D95&lt;=36))="",FALSE,IF(ISERROR('Model inputs'!D95&lt;=36),'Model inputs'!D95&lt;=36,IF('Model inputs'!D95="","",'Model inputs'!D95&lt;=36))),'Model inputs'!AM24+('Model inputs'!AM25-'Model inputs'!AM24)*('Model inputs'!D95-30)/6,IF('Model inputs'!AM25="","",'Model inputs'!AM25))))))))="",0,(IF(IF(IF(ISERROR('Model inputs'!D95&lt;=6),'Model inputs'!D95&lt;=6,IF('Model inputs'!D95="","",'Model inputs'!D95&lt;=6))="",FALSE,IF(ISERROR('Model inputs'!D95&lt;=6),'Model inputs'!D95&lt;=6,IF('Model inputs'!D95="","",'Model inputs'!D95&lt;=6))),'Model inputs'!AM20+('Model inputs'!AM26-'Model inputs'!AM20)*('Model inputs'!D95-0)/6,IF(IF(IF(ISERROR('Model inputs'!D95&lt;=12),'Model inputs'!D95&lt;=12,IF('Model inputs'!D95="","",'Model inputs'!D95&lt;=12))="",FALSE,IF(ISERROR('Model inputs'!D95&lt;=12),'Model inputs'!D95&lt;=12,IF('Model inputs'!D95="","",'Model inputs'!D95&lt;=12))),'Model inputs'!AM26+('Model inputs'!AM21-'Model inputs'!AM26)*('Model inputs'!D95-6)/6,IF(IF(IF(ISERROR('Model inputs'!D95&lt;=18),'Model inputs'!D95&lt;=18,IF('Model inputs'!D95="","",'Model inputs'!D95&lt;=18))="",FALSE,IF(ISERROR('Model inputs'!D95&lt;=18),'Model inputs'!D95&lt;=18,IF('Model inputs'!D95="","",'Model inputs'!D95&lt;=18))),'Model inputs'!AM21+('Model inputs'!AM22-'Model inputs'!AM21)*('Model inputs'!D95-12)/6,IF(IF(IF(ISERROR('Model inputs'!D95&lt;=24),'Model inputs'!D95&lt;=24,IF('Model inputs'!D95="","",'Model inputs'!D95&lt;=24))="",FALSE,IF(ISERROR('Model inputs'!D95&lt;=24),'Model inputs'!D95&lt;=24,IF('Model inputs'!D95="","",'Model inputs'!D95&lt;=24))),'Model inputs'!AM22+('Model inputs'!AM23-'Model inputs'!AM22)*('Model inputs'!D95-18)/6,IF(IF(IF(ISERROR('Model inputs'!D95&lt;=30),'Model inputs'!D95&lt;=30,IF('Model inputs'!D95="","",'Model inputs'!D95&lt;=30))="",FALSE,IF(ISERROR('Model inputs'!D95&lt;=30),'Model inputs'!D95&lt;=30,IF('Model inputs'!D95="","",'Model inputs'!D95&lt;=30))),'Model inputs'!AM23+('Model inputs'!AM24-'Model inputs'!AM23)*('Model inputs'!D95-24)/6,IF(IF(IF(ISERROR('Model inputs'!D95&lt;=36),'Model inputs'!D95&lt;=36,IF('Model inputs'!D95="","",'Model inputs'!D95&lt;=36))="",FALSE,IF(ISERROR('Model inputs'!D95&lt;=36),'Model inputs'!D95&lt;=36,IF('Model inputs'!D95="","",'Model inputs'!D95&lt;=36))),'Model inputs'!AM24+('Model inputs'!AM25-'Model inputs'!AM24)*('Model inputs'!D95-30)/6,IF('Model inputs'!AM25="","",'Model inputs'!AM25)))))))))/'Model inputs'!AM9</f>
      </c>
    </row>
    <row r="3533">
      <c r="A3533" t="inlineStr" s="25">
        <is>
          <t xml:space="preserve">Calculation</t>
        </is>
      </c>
      <c r="B3533">
        <f>IF((IF(IF(IF(ISERROR('Model inputs'!E95&lt;=6),'Model inputs'!E95&lt;=6,IF('Model inputs'!E95="","",'Model inputs'!E95&lt;=6))="",FALSE,IF(ISERROR('Model inputs'!E95&lt;=6),'Model inputs'!E95&lt;=6,IF('Model inputs'!E95="","",'Model inputs'!E95&lt;=6))),'Model inputs'!AM20+('Model inputs'!AM26-'Model inputs'!AM20)*('Model inputs'!E95-0)/6,IF(IF(IF(ISERROR('Model inputs'!E95&lt;=12),'Model inputs'!E95&lt;=12,IF('Model inputs'!E95="","",'Model inputs'!E95&lt;=12))="",FALSE,IF(ISERROR('Model inputs'!E95&lt;=12),'Model inputs'!E95&lt;=12,IF('Model inputs'!E95="","",'Model inputs'!E95&lt;=12))),'Model inputs'!AM26+('Model inputs'!AM21-'Model inputs'!AM26)*('Model inputs'!E95-6)/6,IF(IF(IF(ISERROR('Model inputs'!E95&lt;=18),'Model inputs'!E95&lt;=18,IF('Model inputs'!E95="","",'Model inputs'!E95&lt;=18))="",FALSE,IF(ISERROR('Model inputs'!E95&lt;=18),'Model inputs'!E95&lt;=18,IF('Model inputs'!E95="","",'Model inputs'!E95&lt;=18))),'Model inputs'!AM21+('Model inputs'!AM22-'Model inputs'!AM21)*('Model inputs'!E95-12)/6,IF(IF(IF(ISERROR('Model inputs'!E95&lt;=24),'Model inputs'!E95&lt;=24,IF('Model inputs'!E95="","",'Model inputs'!E95&lt;=24))="",FALSE,IF(ISERROR('Model inputs'!E95&lt;=24),'Model inputs'!E95&lt;=24,IF('Model inputs'!E95="","",'Model inputs'!E95&lt;=24))),'Model inputs'!AM22+('Model inputs'!AM23-'Model inputs'!AM22)*('Model inputs'!E95-18)/6,IF(IF(IF(ISERROR('Model inputs'!E95&lt;=30),'Model inputs'!E95&lt;=30,IF('Model inputs'!E95="","",'Model inputs'!E95&lt;=30))="",FALSE,IF(ISERROR('Model inputs'!E95&lt;=30),'Model inputs'!E95&lt;=30,IF('Model inputs'!E95="","",'Model inputs'!E95&lt;=30))),'Model inputs'!AM23+('Model inputs'!AM24-'Model inputs'!AM23)*('Model inputs'!E95-24)/6,IF(IF(IF(ISERROR('Model inputs'!E95&lt;=36),'Model inputs'!E95&lt;=36,IF('Model inputs'!E95="","",'Model inputs'!E95&lt;=36))="",FALSE,IF(ISERROR('Model inputs'!E95&lt;=36),'Model inputs'!E95&lt;=36,IF('Model inputs'!E95="","",'Model inputs'!E95&lt;=36))),'Model inputs'!AM24+('Model inputs'!AM25-'Model inputs'!AM24)*('Model inputs'!E95-30)/6,IF('Model inputs'!AM25="","",'Model inputs'!AM25))))))))="",0,(IF(IF(IF(ISERROR('Model inputs'!E95&lt;=6),'Model inputs'!E95&lt;=6,IF('Model inputs'!E95="","",'Model inputs'!E95&lt;=6))="",FALSE,IF(ISERROR('Model inputs'!E95&lt;=6),'Model inputs'!E95&lt;=6,IF('Model inputs'!E95="","",'Model inputs'!E95&lt;=6))),'Model inputs'!AM20+('Model inputs'!AM26-'Model inputs'!AM20)*('Model inputs'!E95-0)/6,IF(IF(IF(ISERROR('Model inputs'!E95&lt;=12),'Model inputs'!E95&lt;=12,IF('Model inputs'!E95="","",'Model inputs'!E95&lt;=12))="",FALSE,IF(ISERROR('Model inputs'!E95&lt;=12),'Model inputs'!E95&lt;=12,IF('Model inputs'!E95="","",'Model inputs'!E95&lt;=12))),'Model inputs'!AM26+('Model inputs'!AM21-'Model inputs'!AM26)*('Model inputs'!E95-6)/6,IF(IF(IF(ISERROR('Model inputs'!E95&lt;=18),'Model inputs'!E95&lt;=18,IF('Model inputs'!E95="","",'Model inputs'!E95&lt;=18))="",FALSE,IF(ISERROR('Model inputs'!E95&lt;=18),'Model inputs'!E95&lt;=18,IF('Model inputs'!E95="","",'Model inputs'!E95&lt;=18))),'Model inputs'!AM21+('Model inputs'!AM22-'Model inputs'!AM21)*('Model inputs'!E95-12)/6,IF(IF(IF(ISERROR('Model inputs'!E95&lt;=24),'Model inputs'!E95&lt;=24,IF('Model inputs'!E95="","",'Model inputs'!E95&lt;=24))="",FALSE,IF(ISERROR('Model inputs'!E95&lt;=24),'Model inputs'!E95&lt;=24,IF('Model inputs'!E95="","",'Model inputs'!E95&lt;=24))),'Model inputs'!AM22+('Model inputs'!AM23-'Model inputs'!AM22)*('Model inputs'!E95-18)/6,IF(IF(IF(ISERROR('Model inputs'!E95&lt;=30),'Model inputs'!E95&lt;=30,IF('Model inputs'!E95="","",'Model inputs'!E95&lt;=30))="",FALSE,IF(ISERROR('Model inputs'!E95&lt;=30),'Model inputs'!E95&lt;=30,IF('Model inputs'!E95="","",'Model inputs'!E95&lt;=30))),'Model inputs'!AM23+('Model inputs'!AM24-'Model inputs'!AM23)*('Model inputs'!E95-24)/6,IF(IF(IF(ISERROR('Model inputs'!E95&lt;=36),'Model inputs'!E95&lt;=36,IF('Model inputs'!E95="","",'Model inputs'!E95&lt;=36))="",FALSE,IF(ISERROR('Model inputs'!E95&lt;=36),'Model inputs'!E95&lt;=36,IF('Model inputs'!E95="","",'Model inputs'!E95&lt;=36))),'Model inputs'!AM24+('Model inputs'!AM25-'Model inputs'!AM24)*('Model inputs'!E95-30)/6,IF('Model inputs'!AM25="","",'Model inputs'!AM25)))))))))/'Model inputs'!AM9</f>
      </c>
    </row>
    <row r="3534">
      <c r="A3534" t="inlineStr" s="25">
        <is>
          <t xml:space="preserve">Calculation</t>
        </is>
      </c>
      <c r="B3534">
        <f>IF((IF(IF(IF(ISERROR('Model inputs'!F95&lt;=6),'Model inputs'!F95&lt;=6,IF('Model inputs'!F95="","",'Model inputs'!F95&lt;=6))="",FALSE,IF(ISERROR('Model inputs'!F95&lt;=6),'Model inputs'!F95&lt;=6,IF('Model inputs'!F95="","",'Model inputs'!F95&lt;=6))),'Model inputs'!AM20+('Model inputs'!AM26-'Model inputs'!AM20)*('Model inputs'!F95-0)/6,IF(IF(IF(ISERROR('Model inputs'!F95&lt;=12),'Model inputs'!F95&lt;=12,IF('Model inputs'!F95="","",'Model inputs'!F95&lt;=12))="",FALSE,IF(ISERROR('Model inputs'!F95&lt;=12),'Model inputs'!F95&lt;=12,IF('Model inputs'!F95="","",'Model inputs'!F95&lt;=12))),'Model inputs'!AM26+('Model inputs'!AM21-'Model inputs'!AM26)*('Model inputs'!F95-6)/6,IF(IF(IF(ISERROR('Model inputs'!F95&lt;=18),'Model inputs'!F95&lt;=18,IF('Model inputs'!F95="","",'Model inputs'!F95&lt;=18))="",FALSE,IF(ISERROR('Model inputs'!F95&lt;=18),'Model inputs'!F95&lt;=18,IF('Model inputs'!F95="","",'Model inputs'!F95&lt;=18))),'Model inputs'!AM21+('Model inputs'!AM22-'Model inputs'!AM21)*('Model inputs'!F95-12)/6,IF(IF(IF(ISERROR('Model inputs'!F95&lt;=24),'Model inputs'!F95&lt;=24,IF('Model inputs'!F95="","",'Model inputs'!F95&lt;=24))="",FALSE,IF(ISERROR('Model inputs'!F95&lt;=24),'Model inputs'!F95&lt;=24,IF('Model inputs'!F95="","",'Model inputs'!F95&lt;=24))),'Model inputs'!AM22+('Model inputs'!AM23-'Model inputs'!AM22)*('Model inputs'!F95-18)/6,IF(IF(IF(ISERROR('Model inputs'!F95&lt;=30),'Model inputs'!F95&lt;=30,IF('Model inputs'!F95="","",'Model inputs'!F95&lt;=30))="",FALSE,IF(ISERROR('Model inputs'!F95&lt;=30),'Model inputs'!F95&lt;=30,IF('Model inputs'!F95="","",'Model inputs'!F95&lt;=30))),'Model inputs'!AM23+('Model inputs'!AM24-'Model inputs'!AM23)*('Model inputs'!F95-24)/6,IF(IF(IF(ISERROR('Model inputs'!F95&lt;=36),'Model inputs'!F95&lt;=36,IF('Model inputs'!F95="","",'Model inputs'!F95&lt;=36))="",FALSE,IF(ISERROR('Model inputs'!F95&lt;=36),'Model inputs'!F95&lt;=36,IF('Model inputs'!F95="","",'Model inputs'!F95&lt;=36))),'Model inputs'!AM24+('Model inputs'!AM25-'Model inputs'!AM24)*('Model inputs'!F95-30)/6,IF('Model inputs'!AM25="","",'Model inputs'!AM25))))))))="",0,(IF(IF(IF(ISERROR('Model inputs'!F95&lt;=6),'Model inputs'!F95&lt;=6,IF('Model inputs'!F95="","",'Model inputs'!F95&lt;=6))="",FALSE,IF(ISERROR('Model inputs'!F95&lt;=6),'Model inputs'!F95&lt;=6,IF('Model inputs'!F95="","",'Model inputs'!F95&lt;=6))),'Model inputs'!AM20+('Model inputs'!AM26-'Model inputs'!AM20)*('Model inputs'!F95-0)/6,IF(IF(IF(ISERROR('Model inputs'!F95&lt;=12),'Model inputs'!F95&lt;=12,IF('Model inputs'!F95="","",'Model inputs'!F95&lt;=12))="",FALSE,IF(ISERROR('Model inputs'!F95&lt;=12),'Model inputs'!F95&lt;=12,IF('Model inputs'!F95="","",'Model inputs'!F95&lt;=12))),'Model inputs'!AM26+('Model inputs'!AM21-'Model inputs'!AM26)*('Model inputs'!F95-6)/6,IF(IF(IF(ISERROR('Model inputs'!F95&lt;=18),'Model inputs'!F95&lt;=18,IF('Model inputs'!F95="","",'Model inputs'!F95&lt;=18))="",FALSE,IF(ISERROR('Model inputs'!F95&lt;=18),'Model inputs'!F95&lt;=18,IF('Model inputs'!F95="","",'Model inputs'!F95&lt;=18))),'Model inputs'!AM21+('Model inputs'!AM22-'Model inputs'!AM21)*('Model inputs'!F95-12)/6,IF(IF(IF(ISERROR('Model inputs'!F95&lt;=24),'Model inputs'!F95&lt;=24,IF('Model inputs'!F95="","",'Model inputs'!F95&lt;=24))="",FALSE,IF(ISERROR('Model inputs'!F95&lt;=24),'Model inputs'!F95&lt;=24,IF('Model inputs'!F95="","",'Model inputs'!F95&lt;=24))),'Model inputs'!AM22+('Model inputs'!AM23-'Model inputs'!AM22)*('Model inputs'!F95-18)/6,IF(IF(IF(ISERROR('Model inputs'!F95&lt;=30),'Model inputs'!F95&lt;=30,IF('Model inputs'!F95="","",'Model inputs'!F95&lt;=30))="",FALSE,IF(ISERROR('Model inputs'!F95&lt;=30),'Model inputs'!F95&lt;=30,IF('Model inputs'!F95="","",'Model inputs'!F95&lt;=30))),'Model inputs'!AM23+('Model inputs'!AM24-'Model inputs'!AM23)*('Model inputs'!F95-24)/6,IF(IF(IF(ISERROR('Model inputs'!F95&lt;=36),'Model inputs'!F95&lt;=36,IF('Model inputs'!F95="","",'Model inputs'!F95&lt;=36))="",FALSE,IF(ISERROR('Model inputs'!F95&lt;=36),'Model inputs'!F95&lt;=36,IF('Model inputs'!F95="","",'Model inputs'!F95&lt;=36))),'Model inputs'!AM24+('Model inputs'!AM25-'Model inputs'!AM24)*('Model inputs'!F95-30)/6,IF('Model inputs'!AM25="","",'Model inputs'!AM25)))))))))/'Model inputs'!AM9</f>
      </c>
    </row>
    <row r="3535">
      <c r="A3535" t="inlineStr" s="25">
        <is>
          <t xml:space="preserve">Calculation</t>
        </is>
      </c>
      <c r="B3535">
        <f>IF((IF(IF(IF(ISERROR('Model inputs'!G95&lt;=6),'Model inputs'!G95&lt;=6,IF('Model inputs'!G95="","",'Model inputs'!G95&lt;=6))="",FALSE,IF(ISERROR('Model inputs'!G95&lt;=6),'Model inputs'!G95&lt;=6,IF('Model inputs'!G95="","",'Model inputs'!G95&lt;=6))),'Model inputs'!AM20+('Model inputs'!AM26-'Model inputs'!AM20)*('Model inputs'!G95-0)/6,IF(IF(IF(ISERROR('Model inputs'!G95&lt;=12),'Model inputs'!G95&lt;=12,IF('Model inputs'!G95="","",'Model inputs'!G95&lt;=12))="",FALSE,IF(ISERROR('Model inputs'!G95&lt;=12),'Model inputs'!G95&lt;=12,IF('Model inputs'!G95="","",'Model inputs'!G95&lt;=12))),'Model inputs'!AM26+('Model inputs'!AM21-'Model inputs'!AM26)*('Model inputs'!G95-6)/6,IF(IF(IF(ISERROR('Model inputs'!G95&lt;=18),'Model inputs'!G95&lt;=18,IF('Model inputs'!G95="","",'Model inputs'!G95&lt;=18))="",FALSE,IF(ISERROR('Model inputs'!G95&lt;=18),'Model inputs'!G95&lt;=18,IF('Model inputs'!G95="","",'Model inputs'!G95&lt;=18))),'Model inputs'!AM21+('Model inputs'!AM22-'Model inputs'!AM21)*('Model inputs'!G95-12)/6,IF(IF(IF(ISERROR('Model inputs'!G95&lt;=24),'Model inputs'!G95&lt;=24,IF('Model inputs'!G95="","",'Model inputs'!G95&lt;=24))="",FALSE,IF(ISERROR('Model inputs'!G95&lt;=24),'Model inputs'!G95&lt;=24,IF('Model inputs'!G95="","",'Model inputs'!G95&lt;=24))),'Model inputs'!AM22+('Model inputs'!AM23-'Model inputs'!AM22)*('Model inputs'!G95-18)/6,IF(IF(IF(ISERROR('Model inputs'!G95&lt;=30),'Model inputs'!G95&lt;=30,IF('Model inputs'!G95="","",'Model inputs'!G95&lt;=30))="",FALSE,IF(ISERROR('Model inputs'!G95&lt;=30),'Model inputs'!G95&lt;=30,IF('Model inputs'!G95="","",'Model inputs'!G95&lt;=30))),'Model inputs'!AM23+('Model inputs'!AM24-'Model inputs'!AM23)*('Model inputs'!G95-24)/6,IF(IF(IF(ISERROR('Model inputs'!G95&lt;=36),'Model inputs'!G95&lt;=36,IF('Model inputs'!G95="","",'Model inputs'!G95&lt;=36))="",FALSE,IF(ISERROR('Model inputs'!G95&lt;=36),'Model inputs'!G95&lt;=36,IF('Model inputs'!G95="","",'Model inputs'!G95&lt;=36))),'Model inputs'!AM24+('Model inputs'!AM25-'Model inputs'!AM24)*('Model inputs'!G95-30)/6,IF('Model inputs'!AM25="","",'Model inputs'!AM25))))))))="",0,(IF(IF(IF(ISERROR('Model inputs'!G95&lt;=6),'Model inputs'!G95&lt;=6,IF('Model inputs'!G95="","",'Model inputs'!G95&lt;=6))="",FALSE,IF(ISERROR('Model inputs'!G95&lt;=6),'Model inputs'!G95&lt;=6,IF('Model inputs'!G95="","",'Model inputs'!G95&lt;=6))),'Model inputs'!AM20+('Model inputs'!AM26-'Model inputs'!AM20)*('Model inputs'!G95-0)/6,IF(IF(IF(ISERROR('Model inputs'!G95&lt;=12),'Model inputs'!G95&lt;=12,IF('Model inputs'!G95="","",'Model inputs'!G95&lt;=12))="",FALSE,IF(ISERROR('Model inputs'!G95&lt;=12),'Model inputs'!G95&lt;=12,IF('Model inputs'!G95="","",'Model inputs'!G95&lt;=12))),'Model inputs'!AM26+('Model inputs'!AM21-'Model inputs'!AM26)*('Model inputs'!G95-6)/6,IF(IF(IF(ISERROR('Model inputs'!G95&lt;=18),'Model inputs'!G95&lt;=18,IF('Model inputs'!G95="","",'Model inputs'!G95&lt;=18))="",FALSE,IF(ISERROR('Model inputs'!G95&lt;=18),'Model inputs'!G95&lt;=18,IF('Model inputs'!G95="","",'Model inputs'!G95&lt;=18))),'Model inputs'!AM21+('Model inputs'!AM22-'Model inputs'!AM21)*('Model inputs'!G95-12)/6,IF(IF(IF(ISERROR('Model inputs'!G95&lt;=24),'Model inputs'!G95&lt;=24,IF('Model inputs'!G95="","",'Model inputs'!G95&lt;=24))="",FALSE,IF(ISERROR('Model inputs'!G95&lt;=24),'Model inputs'!G95&lt;=24,IF('Model inputs'!G95="","",'Model inputs'!G95&lt;=24))),'Model inputs'!AM22+('Model inputs'!AM23-'Model inputs'!AM22)*('Model inputs'!G95-18)/6,IF(IF(IF(ISERROR('Model inputs'!G95&lt;=30),'Model inputs'!G95&lt;=30,IF('Model inputs'!G95="","",'Model inputs'!G95&lt;=30))="",FALSE,IF(ISERROR('Model inputs'!G95&lt;=30),'Model inputs'!G95&lt;=30,IF('Model inputs'!G95="","",'Model inputs'!G95&lt;=30))),'Model inputs'!AM23+('Model inputs'!AM24-'Model inputs'!AM23)*('Model inputs'!G95-24)/6,IF(IF(IF(ISERROR('Model inputs'!G95&lt;=36),'Model inputs'!G95&lt;=36,IF('Model inputs'!G95="","",'Model inputs'!G95&lt;=36))="",FALSE,IF(ISERROR('Model inputs'!G95&lt;=36),'Model inputs'!G95&lt;=36,IF('Model inputs'!G95="","",'Model inputs'!G95&lt;=36))),'Model inputs'!AM24+('Model inputs'!AM25-'Model inputs'!AM24)*('Model inputs'!G95-30)/6,IF('Model inputs'!AM25="","",'Model inputs'!AM25)))))))))/'Model inputs'!AM9</f>
      </c>
    </row>
    <row r="3536">
      <c r="A3536" t="inlineStr" s="25">
        <is>
          <t xml:space="preserve">Calculation</t>
        </is>
      </c>
      <c r="B3536">
        <f>IF((IF(IF(IF(ISERROR('Model inputs'!H95&lt;=6),'Model inputs'!H95&lt;=6,IF('Model inputs'!H95="","",'Model inputs'!H95&lt;=6))="",FALSE,IF(ISERROR('Model inputs'!H95&lt;=6),'Model inputs'!H95&lt;=6,IF('Model inputs'!H95="","",'Model inputs'!H95&lt;=6))),'Model inputs'!AM20+('Model inputs'!AM26-'Model inputs'!AM20)*('Model inputs'!H95-0)/6,IF(IF(IF(ISERROR('Model inputs'!H95&lt;=12),'Model inputs'!H95&lt;=12,IF('Model inputs'!H95="","",'Model inputs'!H95&lt;=12))="",FALSE,IF(ISERROR('Model inputs'!H95&lt;=12),'Model inputs'!H95&lt;=12,IF('Model inputs'!H95="","",'Model inputs'!H95&lt;=12))),'Model inputs'!AM26+('Model inputs'!AM21-'Model inputs'!AM26)*('Model inputs'!H95-6)/6,IF(IF(IF(ISERROR('Model inputs'!H95&lt;=18),'Model inputs'!H95&lt;=18,IF('Model inputs'!H95="","",'Model inputs'!H95&lt;=18))="",FALSE,IF(ISERROR('Model inputs'!H95&lt;=18),'Model inputs'!H95&lt;=18,IF('Model inputs'!H95="","",'Model inputs'!H95&lt;=18))),'Model inputs'!AM21+('Model inputs'!AM22-'Model inputs'!AM21)*('Model inputs'!H95-12)/6,IF(IF(IF(ISERROR('Model inputs'!H95&lt;=24),'Model inputs'!H95&lt;=24,IF('Model inputs'!H95="","",'Model inputs'!H95&lt;=24))="",FALSE,IF(ISERROR('Model inputs'!H95&lt;=24),'Model inputs'!H95&lt;=24,IF('Model inputs'!H95="","",'Model inputs'!H95&lt;=24))),'Model inputs'!AM22+('Model inputs'!AM23-'Model inputs'!AM22)*('Model inputs'!H95-18)/6,IF(IF(IF(ISERROR('Model inputs'!H95&lt;=30),'Model inputs'!H95&lt;=30,IF('Model inputs'!H95="","",'Model inputs'!H95&lt;=30))="",FALSE,IF(ISERROR('Model inputs'!H95&lt;=30),'Model inputs'!H95&lt;=30,IF('Model inputs'!H95="","",'Model inputs'!H95&lt;=30))),'Model inputs'!AM23+('Model inputs'!AM24-'Model inputs'!AM23)*('Model inputs'!H95-24)/6,IF(IF(IF(ISERROR('Model inputs'!H95&lt;=36),'Model inputs'!H95&lt;=36,IF('Model inputs'!H95="","",'Model inputs'!H95&lt;=36))="",FALSE,IF(ISERROR('Model inputs'!H95&lt;=36),'Model inputs'!H95&lt;=36,IF('Model inputs'!H95="","",'Model inputs'!H95&lt;=36))),'Model inputs'!AM24+('Model inputs'!AM25-'Model inputs'!AM24)*('Model inputs'!H95-30)/6,IF('Model inputs'!AM25="","",'Model inputs'!AM25))))))))="",0,(IF(IF(IF(ISERROR('Model inputs'!H95&lt;=6),'Model inputs'!H95&lt;=6,IF('Model inputs'!H95="","",'Model inputs'!H95&lt;=6))="",FALSE,IF(ISERROR('Model inputs'!H95&lt;=6),'Model inputs'!H95&lt;=6,IF('Model inputs'!H95="","",'Model inputs'!H95&lt;=6))),'Model inputs'!AM20+('Model inputs'!AM26-'Model inputs'!AM20)*('Model inputs'!H95-0)/6,IF(IF(IF(ISERROR('Model inputs'!H95&lt;=12),'Model inputs'!H95&lt;=12,IF('Model inputs'!H95="","",'Model inputs'!H95&lt;=12))="",FALSE,IF(ISERROR('Model inputs'!H95&lt;=12),'Model inputs'!H95&lt;=12,IF('Model inputs'!H95="","",'Model inputs'!H95&lt;=12))),'Model inputs'!AM26+('Model inputs'!AM21-'Model inputs'!AM26)*('Model inputs'!H95-6)/6,IF(IF(IF(ISERROR('Model inputs'!H95&lt;=18),'Model inputs'!H95&lt;=18,IF('Model inputs'!H95="","",'Model inputs'!H95&lt;=18))="",FALSE,IF(ISERROR('Model inputs'!H95&lt;=18),'Model inputs'!H95&lt;=18,IF('Model inputs'!H95="","",'Model inputs'!H95&lt;=18))),'Model inputs'!AM21+('Model inputs'!AM22-'Model inputs'!AM21)*('Model inputs'!H95-12)/6,IF(IF(IF(ISERROR('Model inputs'!H95&lt;=24),'Model inputs'!H95&lt;=24,IF('Model inputs'!H95="","",'Model inputs'!H95&lt;=24))="",FALSE,IF(ISERROR('Model inputs'!H95&lt;=24),'Model inputs'!H95&lt;=24,IF('Model inputs'!H95="","",'Model inputs'!H95&lt;=24))),'Model inputs'!AM22+('Model inputs'!AM23-'Model inputs'!AM22)*('Model inputs'!H95-18)/6,IF(IF(IF(ISERROR('Model inputs'!H95&lt;=30),'Model inputs'!H95&lt;=30,IF('Model inputs'!H95="","",'Model inputs'!H95&lt;=30))="",FALSE,IF(ISERROR('Model inputs'!H95&lt;=30),'Model inputs'!H95&lt;=30,IF('Model inputs'!H95="","",'Model inputs'!H95&lt;=30))),'Model inputs'!AM23+('Model inputs'!AM24-'Model inputs'!AM23)*('Model inputs'!H95-24)/6,IF(IF(IF(ISERROR('Model inputs'!H95&lt;=36),'Model inputs'!H95&lt;=36,IF('Model inputs'!H95="","",'Model inputs'!H95&lt;=36))="",FALSE,IF(ISERROR('Model inputs'!H95&lt;=36),'Model inputs'!H95&lt;=36,IF('Model inputs'!H95="","",'Model inputs'!H95&lt;=36))),'Model inputs'!AM24+('Model inputs'!AM25-'Model inputs'!AM24)*('Model inputs'!H95-30)/6,IF('Model inputs'!AM25="","",'Model inputs'!AM25)))))))))/'Model inputs'!AM9</f>
      </c>
    </row>
    <row r="3537">
      <c r="A3537" t="inlineStr" s="25">
        <is>
          <t xml:space="preserve">Calculation</t>
        </is>
      </c>
      <c r="B3537">
        <f>IF((IF(IF(IF(ISERROR('Model inputs'!I95&lt;=6),'Model inputs'!I95&lt;=6,IF('Model inputs'!I95="","",'Model inputs'!I95&lt;=6))="",FALSE,IF(ISERROR('Model inputs'!I95&lt;=6),'Model inputs'!I95&lt;=6,IF('Model inputs'!I95="","",'Model inputs'!I95&lt;=6))),'Model inputs'!AM20+('Model inputs'!AM26-'Model inputs'!AM20)*('Model inputs'!I95-0)/6,IF(IF(IF(ISERROR('Model inputs'!I95&lt;=12),'Model inputs'!I95&lt;=12,IF('Model inputs'!I95="","",'Model inputs'!I95&lt;=12))="",FALSE,IF(ISERROR('Model inputs'!I95&lt;=12),'Model inputs'!I95&lt;=12,IF('Model inputs'!I95="","",'Model inputs'!I95&lt;=12))),'Model inputs'!AM26+('Model inputs'!AM21-'Model inputs'!AM26)*('Model inputs'!I95-6)/6,IF(IF(IF(ISERROR('Model inputs'!I95&lt;=18),'Model inputs'!I95&lt;=18,IF('Model inputs'!I95="","",'Model inputs'!I95&lt;=18))="",FALSE,IF(ISERROR('Model inputs'!I95&lt;=18),'Model inputs'!I95&lt;=18,IF('Model inputs'!I95="","",'Model inputs'!I95&lt;=18))),'Model inputs'!AM21+('Model inputs'!AM22-'Model inputs'!AM21)*('Model inputs'!I95-12)/6,IF(IF(IF(ISERROR('Model inputs'!I95&lt;=24),'Model inputs'!I95&lt;=24,IF('Model inputs'!I95="","",'Model inputs'!I95&lt;=24))="",FALSE,IF(ISERROR('Model inputs'!I95&lt;=24),'Model inputs'!I95&lt;=24,IF('Model inputs'!I95="","",'Model inputs'!I95&lt;=24))),'Model inputs'!AM22+('Model inputs'!AM23-'Model inputs'!AM22)*('Model inputs'!I95-18)/6,IF(IF(IF(ISERROR('Model inputs'!I95&lt;=30),'Model inputs'!I95&lt;=30,IF('Model inputs'!I95="","",'Model inputs'!I95&lt;=30))="",FALSE,IF(ISERROR('Model inputs'!I95&lt;=30),'Model inputs'!I95&lt;=30,IF('Model inputs'!I95="","",'Model inputs'!I95&lt;=30))),'Model inputs'!AM23+('Model inputs'!AM24-'Model inputs'!AM23)*('Model inputs'!I95-24)/6,IF(IF(IF(ISERROR('Model inputs'!I95&lt;=36),'Model inputs'!I95&lt;=36,IF('Model inputs'!I95="","",'Model inputs'!I95&lt;=36))="",FALSE,IF(ISERROR('Model inputs'!I95&lt;=36),'Model inputs'!I95&lt;=36,IF('Model inputs'!I95="","",'Model inputs'!I95&lt;=36))),'Model inputs'!AM24+('Model inputs'!AM25-'Model inputs'!AM24)*('Model inputs'!I95-30)/6,IF('Model inputs'!AM25="","",'Model inputs'!AM25))))))))="",0,(IF(IF(IF(ISERROR('Model inputs'!I95&lt;=6),'Model inputs'!I95&lt;=6,IF('Model inputs'!I95="","",'Model inputs'!I95&lt;=6))="",FALSE,IF(ISERROR('Model inputs'!I95&lt;=6),'Model inputs'!I95&lt;=6,IF('Model inputs'!I95="","",'Model inputs'!I95&lt;=6))),'Model inputs'!AM20+('Model inputs'!AM26-'Model inputs'!AM20)*('Model inputs'!I95-0)/6,IF(IF(IF(ISERROR('Model inputs'!I95&lt;=12),'Model inputs'!I95&lt;=12,IF('Model inputs'!I95="","",'Model inputs'!I95&lt;=12))="",FALSE,IF(ISERROR('Model inputs'!I95&lt;=12),'Model inputs'!I95&lt;=12,IF('Model inputs'!I95="","",'Model inputs'!I95&lt;=12))),'Model inputs'!AM26+('Model inputs'!AM21-'Model inputs'!AM26)*('Model inputs'!I95-6)/6,IF(IF(IF(ISERROR('Model inputs'!I95&lt;=18),'Model inputs'!I95&lt;=18,IF('Model inputs'!I95="","",'Model inputs'!I95&lt;=18))="",FALSE,IF(ISERROR('Model inputs'!I95&lt;=18),'Model inputs'!I95&lt;=18,IF('Model inputs'!I95="","",'Model inputs'!I95&lt;=18))),'Model inputs'!AM21+('Model inputs'!AM22-'Model inputs'!AM21)*('Model inputs'!I95-12)/6,IF(IF(IF(ISERROR('Model inputs'!I95&lt;=24),'Model inputs'!I95&lt;=24,IF('Model inputs'!I95="","",'Model inputs'!I95&lt;=24))="",FALSE,IF(ISERROR('Model inputs'!I95&lt;=24),'Model inputs'!I95&lt;=24,IF('Model inputs'!I95="","",'Model inputs'!I95&lt;=24))),'Model inputs'!AM22+('Model inputs'!AM23-'Model inputs'!AM22)*('Model inputs'!I95-18)/6,IF(IF(IF(ISERROR('Model inputs'!I95&lt;=30),'Model inputs'!I95&lt;=30,IF('Model inputs'!I95="","",'Model inputs'!I95&lt;=30))="",FALSE,IF(ISERROR('Model inputs'!I95&lt;=30),'Model inputs'!I95&lt;=30,IF('Model inputs'!I95="","",'Model inputs'!I95&lt;=30))),'Model inputs'!AM23+('Model inputs'!AM24-'Model inputs'!AM23)*('Model inputs'!I95-24)/6,IF(IF(IF(ISERROR('Model inputs'!I95&lt;=36),'Model inputs'!I95&lt;=36,IF('Model inputs'!I95="","",'Model inputs'!I95&lt;=36))="",FALSE,IF(ISERROR('Model inputs'!I95&lt;=36),'Model inputs'!I95&lt;=36,IF('Model inputs'!I95="","",'Model inputs'!I95&lt;=36))),'Model inputs'!AM24+('Model inputs'!AM25-'Model inputs'!AM24)*('Model inputs'!I95-30)/6,IF('Model inputs'!AM25="","",'Model inputs'!AM25)))))))))/'Model inputs'!AM9</f>
      </c>
    </row>
    <row r="3538">
      <c r="A3538" t="inlineStr" s="25">
        <is>
          <t xml:space="preserve">Calculation</t>
        </is>
      </c>
      <c r="B3538">
        <f>IF((IF(IF(IF(ISERROR('Model inputs'!J95&lt;=6),'Model inputs'!J95&lt;=6,IF('Model inputs'!J95="","",'Model inputs'!J95&lt;=6))="",FALSE,IF(ISERROR('Model inputs'!J95&lt;=6),'Model inputs'!J95&lt;=6,IF('Model inputs'!J95="","",'Model inputs'!J95&lt;=6))),'Model inputs'!AM20+('Model inputs'!AM26-'Model inputs'!AM20)*('Model inputs'!J95-0)/6,IF(IF(IF(ISERROR('Model inputs'!J95&lt;=12),'Model inputs'!J95&lt;=12,IF('Model inputs'!J95="","",'Model inputs'!J95&lt;=12))="",FALSE,IF(ISERROR('Model inputs'!J95&lt;=12),'Model inputs'!J95&lt;=12,IF('Model inputs'!J95="","",'Model inputs'!J95&lt;=12))),'Model inputs'!AM26+('Model inputs'!AM21-'Model inputs'!AM26)*('Model inputs'!J95-6)/6,IF(IF(IF(ISERROR('Model inputs'!J95&lt;=18),'Model inputs'!J95&lt;=18,IF('Model inputs'!J95="","",'Model inputs'!J95&lt;=18))="",FALSE,IF(ISERROR('Model inputs'!J95&lt;=18),'Model inputs'!J95&lt;=18,IF('Model inputs'!J95="","",'Model inputs'!J95&lt;=18))),'Model inputs'!AM21+('Model inputs'!AM22-'Model inputs'!AM21)*('Model inputs'!J95-12)/6,IF(IF(IF(ISERROR('Model inputs'!J95&lt;=24),'Model inputs'!J95&lt;=24,IF('Model inputs'!J95="","",'Model inputs'!J95&lt;=24))="",FALSE,IF(ISERROR('Model inputs'!J95&lt;=24),'Model inputs'!J95&lt;=24,IF('Model inputs'!J95="","",'Model inputs'!J95&lt;=24))),'Model inputs'!AM22+('Model inputs'!AM23-'Model inputs'!AM22)*('Model inputs'!J95-18)/6,IF(IF(IF(ISERROR('Model inputs'!J95&lt;=30),'Model inputs'!J95&lt;=30,IF('Model inputs'!J95="","",'Model inputs'!J95&lt;=30))="",FALSE,IF(ISERROR('Model inputs'!J95&lt;=30),'Model inputs'!J95&lt;=30,IF('Model inputs'!J95="","",'Model inputs'!J95&lt;=30))),'Model inputs'!AM23+('Model inputs'!AM24-'Model inputs'!AM23)*('Model inputs'!J95-24)/6,IF(IF(IF(ISERROR('Model inputs'!J95&lt;=36),'Model inputs'!J95&lt;=36,IF('Model inputs'!J95="","",'Model inputs'!J95&lt;=36))="",FALSE,IF(ISERROR('Model inputs'!J95&lt;=36),'Model inputs'!J95&lt;=36,IF('Model inputs'!J95="","",'Model inputs'!J95&lt;=36))),'Model inputs'!AM24+('Model inputs'!AM25-'Model inputs'!AM24)*('Model inputs'!J95-30)/6,IF('Model inputs'!AM25="","",'Model inputs'!AM25))))))))="",0,(IF(IF(IF(ISERROR('Model inputs'!J95&lt;=6),'Model inputs'!J95&lt;=6,IF('Model inputs'!J95="","",'Model inputs'!J95&lt;=6))="",FALSE,IF(ISERROR('Model inputs'!J95&lt;=6),'Model inputs'!J95&lt;=6,IF('Model inputs'!J95="","",'Model inputs'!J95&lt;=6))),'Model inputs'!AM20+('Model inputs'!AM26-'Model inputs'!AM20)*('Model inputs'!J95-0)/6,IF(IF(IF(ISERROR('Model inputs'!J95&lt;=12),'Model inputs'!J95&lt;=12,IF('Model inputs'!J95="","",'Model inputs'!J95&lt;=12))="",FALSE,IF(ISERROR('Model inputs'!J95&lt;=12),'Model inputs'!J95&lt;=12,IF('Model inputs'!J95="","",'Model inputs'!J95&lt;=12))),'Model inputs'!AM26+('Model inputs'!AM21-'Model inputs'!AM26)*('Model inputs'!J95-6)/6,IF(IF(IF(ISERROR('Model inputs'!J95&lt;=18),'Model inputs'!J95&lt;=18,IF('Model inputs'!J95="","",'Model inputs'!J95&lt;=18))="",FALSE,IF(ISERROR('Model inputs'!J95&lt;=18),'Model inputs'!J95&lt;=18,IF('Model inputs'!J95="","",'Model inputs'!J95&lt;=18))),'Model inputs'!AM21+('Model inputs'!AM22-'Model inputs'!AM21)*('Model inputs'!J95-12)/6,IF(IF(IF(ISERROR('Model inputs'!J95&lt;=24),'Model inputs'!J95&lt;=24,IF('Model inputs'!J95="","",'Model inputs'!J95&lt;=24))="",FALSE,IF(ISERROR('Model inputs'!J95&lt;=24),'Model inputs'!J95&lt;=24,IF('Model inputs'!J95="","",'Model inputs'!J95&lt;=24))),'Model inputs'!AM22+('Model inputs'!AM23-'Model inputs'!AM22)*('Model inputs'!J95-18)/6,IF(IF(IF(ISERROR('Model inputs'!J95&lt;=30),'Model inputs'!J95&lt;=30,IF('Model inputs'!J95="","",'Model inputs'!J95&lt;=30))="",FALSE,IF(ISERROR('Model inputs'!J95&lt;=30),'Model inputs'!J95&lt;=30,IF('Model inputs'!J95="","",'Model inputs'!J95&lt;=30))),'Model inputs'!AM23+('Model inputs'!AM24-'Model inputs'!AM23)*('Model inputs'!J95-24)/6,IF(IF(IF(ISERROR('Model inputs'!J95&lt;=36),'Model inputs'!J95&lt;=36,IF('Model inputs'!J95="","",'Model inputs'!J95&lt;=36))="",FALSE,IF(ISERROR('Model inputs'!J95&lt;=36),'Model inputs'!J95&lt;=36,IF('Model inputs'!J95="","",'Model inputs'!J95&lt;=36))),'Model inputs'!AM24+('Model inputs'!AM25-'Model inputs'!AM24)*('Model inputs'!J95-30)/6,IF('Model inputs'!AM25="","",'Model inputs'!AM25)))))))))/'Model inputs'!AM9</f>
      </c>
    </row>
    <row r="3539">
      <c r="A3539" t="inlineStr" s="25">
        <is>
          <t xml:space="preserve">Calculation</t>
        </is>
      </c>
      <c r="B3539">
        <f>IF((IF(IF(IF(ISERROR('Model inputs'!K95&lt;=6),'Model inputs'!K95&lt;=6,IF('Model inputs'!K95="","",'Model inputs'!K95&lt;=6))="",FALSE,IF(ISERROR('Model inputs'!K95&lt;=6),'Model inputs'!K95&lt;=6,IF('Model inputs'!K95="","",'Model inputs'!K95&lt;=6))),'Model inputs'!AM20+('Model inputs'!AM26-'Model inputs'!AM20)*('Model inputs'!K95-0)/6,IF(IF(IF(ISERROR('Model inputs'!K95&lt;=12),'Model inputs'!K95&lt;=12,IF('Model inputs'!K95="","",'Model inputs'!K95&lt;=12))="",FALSE,IF(ISERROR('Model inputs'!K95&lt;=12),'Model inputs'!K95&lt;=12,IF('Model inputs'!K95="","",'Model inputs'!K95&lt;=12))),'Model inputs'!AM26+('Model inputs'!AM21-'Model inputs'!AM26)*('Model inputs'!K95-6)/6,IF(IF(IF(ISERROR('Model inputs'!K95&lt;=18),'Model inputs'!K95&lt;=18,IF('Model inputs'!K95="","",'Model inputs'!K95&lt;=18))="",FALSE,IF(ISERROR('Model inputs'!K95&lt;=18),'Model inputs'!K95&lt;=18,IF('Model inputs'!K95="","",'Model inputs'!K95&lt;=18))),'Model inputs'!AM21+('Model inputs'!AM22-'Model inputs'!AM21)*('Model inputs'!K95-12)/6,IF(IF(IF(ISERROR('Model inputs'!K95&lt;=24),'Model inputs'!K95&lt;=24,IF('Model inputs'!K95="","",'Model inputs'!K95&lt;=24))="",FALSE,IF(ISERROR('Model inputs'!K95&lt;=24),'Model inputs'!K95&lt;=24,IF('Model inputs'!K95="","",'Model inputs'!K95&lt;=24))),'Model inputs'!AM22+('Model inputs'!AM23-'Model inputs'!AM22)*('Model inputs'!K95-18)/6,IF(IF(IF(ISERROR('Model inputs'!K95&lt;=30),'Model inputs'!K95&lt;=30,IF('Model inputs'!K95="","",'Model inputs'!K95&lt;=30))="",FALSE,IF(ISERROR('Model inputs'!K95&lt;=30),'Model inputs'!K95&lt;=30,IF('Model inputs'!K95="","",'Model inputs'!K95&lt;=30))),'Model inputs'!AM23+('Model inputs'!AM24-'Model inputs'!AM23)*('Model inputs'!K95-24)/6,IF(IF(IF(ISERROR('Model inputs'!K95&lt;=36),'Model inputs'!K95&lt;=36,IF('Model inputs'!K95="","",'Model inputs'!K95&lt;=36))="",FALSE,IF(ISERROR('Model inputs'!K95&lt;=36),'Model inputs'!K95&lt;=36,IF('Model inputs'!K95="","",'Model inputs'!K95&lt;=36))),'Model inputs'!AM24+('Model inputs'!AM25-'Model inputs'!AM24)*('Model inputs'!K95-30)/6,IF('Model inputs'!AM25="","",'Model inputs'!AM25))))))))="",0,(IF(IF(IF(ISERROR('Model inputs'!K95&lt;=6),'Model inputs'!K95&lt;=6,IF('Model inputs'!K95="","",'Model inputs'!K95&lt;=6))="",FALSE,IF(ISERROR('Model inputs'!K95&lt;=6),'Model inputs'!K95&lt;=6,IF('Model inputs'!K95="","",'Model inputs'!K95&lt;=6))),'Model inputs'!AM20+('Model inputs'!AM26-'Model inputs'!AM20)*('Model inputs'!K95-0)/6,IF(IF(IF(ISERROR('Model inputs'!K95&lt;=12),'Model inputs'!K95&lt;=12,IF('Model inputs'!K95="","",'Model inputs'!K95&lt;=12))="",FALSE,IF(ISERROR('Model inputs'!K95&lt;=12),'Model inputs'!K95&lt;=12,IF('Model inputs'!K95="","",'Model inputs'!K95&lt;=12))),'Model inputs'!AM26+('Model inputs'!AM21-'Model inputs'!AM26)*('Model inputs'!K95-6)/6,IF(IF(IF(ISERROR('Model inputs'!K95&lt;=18),'Model inputs'!K95&lt;=18,IF('Model inputs'!K95="","",'Model inputs'!K95&lt;=18))="",FALSE,IF(ISERROR('Model inputs'!K95&lt;=18),'Model inputs'!K95&lt;=18,IF('Model inputs'!K95="","",'Model inputs'!K95&lt;=18))),'Model inputs'!AM21+('Model inputs'!AM22-'Model inputs'!AM21)*('Model inputs'!K95-12)/6,IF(IF(IF(ISERROR('Model inputs'!K95&lt;=24),'Model inputs'!K95&lt;=24,IF('Model inputs'!K95="","",'Model inputs'!K95&lt;=24))="",FALSE,IF(ISERROR('Model inputs'!K95&lt;=24),'Model inputs'!K95&lt;=24,IF('Model inputs'!K95="","",'Model inputs'!K95&lt;=24))),'Model inputs'!AM22+('Model inputs'!AM23-'Model inputs'!AM22)*('Model inputs'!K95-18)/6,IF(IF(IF(ISERROR('Model inputs'!K95&lt;=30),'Model inputs'!K95&lt;=30,IF('Model inputs'!K95="","",'Model inputs'!K95&lt;=30))="",FALSE,IF(ISERROR('Model inputs'!K95&lt;=30),'Model inputs'!K95&lt;=30,IF('Model inputs'!K95="","",'Model inputs'!K95&lt;=30))),'Model inputs'!AM23+('Model inputs'!AM24-'Model inputs'!AM23)*('Model inputs'!K95-24)/6,IF(IF(IF(ISERROR('Model inputs'!K95&lt;=36),'Model inputs'!K95&lt;=36,IF('Model inputs'!K95="","",'Model inputs'!K95&lt;=36))="",FALSE,IF(ISERROR('Model inputs'!K95&lt;=36),'Model inputs'!K95&lt;=36,IF('Model inputs'!K95="","",'Model inputs'!K95&lt;=36))),'Model inputs'!AM24+('Model inputs'!AM25-'Model inputs'!AM24)*('Model inputs'!K95-30)/6,IF('Model inputs'!AM25="","",'Model inputs'!AM25)))))))))/'Model inputs'!AM9</f>
      </c>
    </row>
    <row r="3540">
      <c r="A3540" t="inlineStr" s="25">
        <is>
          <t xml:space="preserve">Calculation</t>
        </is>
      </c>
      <c r="B3540">
        <f>IF((IF(IF(IF(ISERROR('Model inputs'!L95&lt;=6),'Model inputs'!L95&lt;=6,IF('Model inputs'!L95="","",'Model inputs'!L95&lt;=6))="",FALSE,IF(ISERROR('Model inputs'!L95&lt;=6),'Model inputs'!L95&lt;=6,IF('Model inputs'!L95="","",'Model inputs'!L95&lt;=6))),'Model inputs'!AM20+('Model inputs'!AM26-'Model inputs'!AM20)*('Model inputs'!L95-0)/6,IF(IF(IF(ISERROR('Model inputs'!L95&lt;=12),'Model inputs'!L95&lt;=12,IF('Model inputs'!L95="","",'Model inputs'!L95&lt;=12))="",FALSE,IF(ISERROR('Model inputs'!L95&lt;=12),'Model inputs'!L95&lt;=12,IF('Model inputs'!L95="","",'Model inputs'!L95&lt;=12))),'Model inputs'!AM26+('Model inputs'!AM21-'Model inputs'!AM26)*('Model inputs'!L95-6)/6,IF(IF(IF(ISERROR('Model inputs'!L95&lt;=18),'Model inputs'!L95&lt;=18,IF('Model inputs'!L95="","",'Model inputs'!L95&lt;=18))="",FALSE,IF(ISERROR('Model inputs'!L95&lt;=18),'Model inputs'!L95&lt;=18,IF('Model inputs'!L95="","",'Model inputs'!L95&lt;=18))),'Model inputs'!AM21+('Model inputs'!AM22-'Model inputs'!AM21)*('Model inputs'!L95-12)/6,IF(IF(IF(ISERROR('Model inputs'!L95&lt;=24),'Model inputs'!L95&lt;=24,IF('Model inputs'!L95="","",'Model inputs'!L95&lt;=24))="",FALSE,IF(ISERROR('Model inputs'!L95&lt;=24),'Model inputs'!L95&lt;=24,IF('Model inputs'!L95="","",'Model inputs'!L95&lt;=24))),'Model inputs'!AM22+('Model inputs'!AM23-'Model inputs'!AM22)*('Model inputs'!L95-18)/6,IF(IF(IF(ISERROR('Model inputs'!L95&lt;=30),'Model inputs'!L95&lt;=30,IF('Model inputs'!L95="","",'Model inputs'!L95&lt;=30))="",FALSE,IF(ISERROR('Model inputs'!L95&lt;=30),'Model inputs'!L95&lt;=30,IF('Model inputs'!L95="","",'Model inputs'!L95&lt;=30))),'Model inputs'!AM23+('Model inputs'!AM24-'Model inputs'!AM23)*('Model inputs'!L95-24)/6,IF(IF(IF(ISERROR('Model inputs'!L95&lt;=36),'Model inputs'!L95&lt;=36,IF('Model inputs'!L95="","",'Model inputs'!L95&lt;=36))="",FALSE,IF(ISERROR('Model inputs'!L95&lt;=36),'Model inputs'!L95&lt;=36,IF('Model inputs'!L95="","",'Model inputs'!L95&lt;=36))),'Model inputs'!AM24+('Model inputs'!AM25-'Model inputs'!AM24)*('Model inputs'!L95-30)/6,IF('Model inputs'!AM25="","",'Model inputs'!AM25))))))))="",0,(IF(IF(IF(ISERROR('Model inputs'!L95&lt;=6),'Model inputs'!L95&lt;=6,IF('Model inputs'!L95="","",'Model inputs'!L95&lt;=6))="",FALSE,IF(ISERROR('Model inputs'!L95&lt;=6),'Model inputs'!L95&lt;=6,IF('Model inputs'!L95="","",'Model inputs'!L95&lt;=6))),'Model inputs'!AM20+('Model inputs'!AM26-'Model inputs'!AM20)*('Model inputs'!L95-0)/6,IF(IF(IF(ISERROR('Model inputs'!L95&lt;=12),'Model inputs'!L95&lt;=12,IF('Model inputs'!L95="","",'Model inputs'!L95&lt;=12))="",FALSE,IF(ISERROR('Model inputs'!L95&lt;=12),'Model inputs'!L95&lt;=12,IF('Model inputs'!L95="","",'Model inputs'!L95&lt;=12))),'Model inputs'!AM26+('Model inputs'!AM21-'Model inputs'!AM26)*('Model inputs'!L95-6)/6,IF(IF(IF(ISERROR('Model inputs'!L95&lt;=18),'Model inputs'!L95&lt;=18,IF('Model inputs'!L95="","",'Model inputs'!L95&lt;=18))="",FALSE,IF(ISERROR('Model inputs'!L95&lt;=18),'Model inputs'!L95&lt;=18,IF('Model inputs'!L95="","",'Model inputs'!L95&lt;=18))),'Model inputs'!AM21+('Model inputs'!AM22-'Model inputs'!AM21)*('Model inputs'!L95-12)/6,IF(IF(IF(ISERROR('Model inputs'!L95&lt;=24),'Model inputs'!L95&lt;=24,IF('Model inputs'!L95="","",'Model inputs'!L95&lt;=24))="",FALSE,IF(ISERROR('Model inputs'!L95&lt;=24),'Model inputs'!L95&lt;=24,IF('Model inputs'!L95="","",'Model inputs'!L95&lt;=24))),'Model inputs'!AM22+('Model inputs'!AM23-'Model inputs'!AM22)*('Model inputs'!L95-18)/6,IF(IF(IF(ISERROR('Model inputs'!L95&lt;=30),'Model inputs'!L95&lt;=30,IF('Model inputs'!L95="","",'Model inputs'!L95&lt;=30))="",FALSE,IF(ISERROR('Model inputs'!L95&lt;=30),'Model inputs'!L95&lt;=30,IF('Model inputs'!L95="","",'Model inputs'!L95&lt;=30))),'Model inputs'!AM23+('Model inputs'!AM24-'Model inputs'!AM23)*('Model inputs'!L95-24)/6,IF(IF(IF(ISERROR('Model inputs'!L95&lt;=36),'Model inputs'!L95&lt;=36,IF('Model inputs'!L95="","",'Model inputs'!L95&lt;=36))="",FALSE,IF(ISERROR('Model inputs'!L95&lt;=36),'Model inputs'!L95&lt;=36,IF('Model inputs'!L95="","",'Model inputs'!L95&lt;=36))),'Model inputs'!AM24+('Model inputs'!AM25-'Model inputs'!AM24)*('Model inputs'!L95-30)/6,IF('Model inputs'!AM25="","",'Model inputs'!AM25)))))))))/'Model inputs'!AM9</f>
      </c>
    </row>
    <row r="3541">
      <c r="A3541" t="inlineStr" s="25">
        <is>
          <t xml:space="preserve">Calculation</t>
        </is>
      </c>
      <c r="B3541">
        <f>IF((IF(IF(IF(ISERROR('Model inputs'!M95&lt;=6),'Model inputs'!M95&lt;=6,IF('Model inputs'!M95="","",'Model inputs'!M95&lt;=6))="",FALSE,IF(ISERROR('Model inputs'!M95&lt;=6),'Model inputs'!M95&lt;=6,IF('Model inputs'!M95="","",'Model inputs'!M95&lt;=6))),'Model inputs'!AM20+('Model inputs'!AM26-'Model inputs'!AM20)*('Model inputs'!M95-0)/6,IF(IF(IF(ISERROR('Model inputs'!M95&lt;=12),'Model inputs'!M95&lt;=12,IF('Model inputs'!M95="","",'Model inputs'!M95&lt;=12))="",FALSE,IF(ISERROR('Model inputs'!M95&lt;=12),'Model inputs'!M95&lt;=12,IF('Model inputs'!M95="","",'Model inputs'!M95&lt;=12))),'Model inputs'!AM26+('Model inputs'!AM21-'Model inputs'!AM26)*('Model inputs'!M95-6)/6,IF(IF(IF(ISERROR('Model inputs'!M95&lt;=18),'Model inputs'!M95&lt;=18,IF('Model inputs'!M95="","",'Model inputs'!M95&lt;=18))="",FALSE,IF(ISERROR('Model inputs'!M95&lt;=18),'Model inputs'!M95&lt;=18,IF('Model inputs'!M95="","",'Model inputs'!M95&lt;=18))),'Model inputs'!AM21+('Model inputs'!AM22-'Model inputs'!AM21)*('Model inputs'!M95-12)/6,IF(IF(IF(ISERROR('Model inputs'!M95&lt;=24),'Model inputs'!M95&lt;=24,IF('Model inputs'!M95="","",'Model inputs'!M95&lt;=24))="",FALSE,IF(ISERROR('Model inputs'!M95&lt;=24),'Model inputs'!M95&lt;=24,IF('Model inputs'!M95="","",'Model inputs'!M95&lt;=24))),'Model inputs'!AM22+('Model inputs'!AM23-'Model inputs'!AM22)*('Model inputs'!M95-18)/6,IF(IF(IF(ISERROR('Model inputs'!M95&lt;=30),'Model inputs'!M95&lt;=30,IF('Model inputs'!M95="","",'Model inputs'!M95&lt;=30))="",FALSE,IF(ISERROR('Model inputs'!M95&lt;=30),'Model inputs'!M95&lt;=30,IF('Model inputs'!M95="","",'Model inputs'!M95&lt;=30))),'Model inputs'!AM23+('Model inputs'!AM24-'Model inputs'!AM23)*('Model inputs'!M95-24)/6,IF(IF(IF(ISERROR('Model inputs'!M95&lt;=36),'Model inputs'!M95&lt;=36,IF('Model inputs'!M95="","",'Model inputs'!M95&lt;=36))="",FALSE,IF(ISERROR('Model inputs'!M95&lt;=36),'Model inputs'!M95&lt;=36,IF('Model inputs'!M95="","",'Model inputs'!M95&lt;=36))),'Model inputs'!AM24+('Model inputs'!AM25-'Model inputs'!AM24)*('Model inputs'!M95-30)/6,IF('Model inputs'!AM25="","",'Model inputs'!AM25))))))))="",0,(IF(IF(IF(ISERROR('Model inputs'!M95&lt;=6),'Model inputs'!M95&lt;=6,IF('Model inputs'!M95="","",'Model inputs'!M95&lt;=6))="",FALSE,IF(ISERROR('Model inputs'!M95&lt;=6),'Model inputs'!M95&lt;=6,IF('Model inputs'!M95="","",'Model inputs'!M95&lt;=6))),'Model inputs'!AM20+('Model inputs'!AM26-'Model inputs'!AM20)*('Model inputs'!M95-0)/6,IF(IF(IF(ISERROR('Model inputs'!M95&lt;=12),'Model inputs'!M95&lt;=12,IF('Model inputs'!M95="","",'Model inputs'!M95&lt;=12))="",FALSE,IF(ISERROR('Model inputs'!M95&lt;=12),'Model inputs'!M95&lt;=12,IF('Model inputs'!M95="","",'Model inputs'!M95&lt;=12))),'Model inputs'!AM26+('Model inputs'!AM21-'Model inputs'!AM26)*('Model inputs'!M95-6)/6,IF(IF(IF(ISERROR('Model inputs'!M95&lt;=18),'Model inputs'!M95&lt;=18,IF('Model inputs'!M95="","",'Model inputs'!M95&lt;=18))="",FALSE,IF(ISERROR('Model inputs'!M95&lt;=18),'Model inputs'!M95&lt;=18,IF('Model inputs'!M95="","",'Model inputs'!M95&lt;=18))),'Model inputs'!AM21+('Model inputs'!AM22-'Model inputs'!AM21)*('Model inputs'!M95-12)/6,IF(IF(IF(ISERROR('Model inputs'!M95&lt;=24),'Model inputs'!M95&lt;=24,IF('Model inputs'!M95="","",'Model inputs'!M95&lt;=24))="",FALSE,IF(ISERROR('Model inputs'!M95&lt;=24),'Model inputs'!M95&lt;=24,IF('Model inputs'!M95="","",'Model inputs'!M95&lt;=24))),'Model inputs'!AM22+('Model inputs'!AM23-'Model inputs'!AM22)*('Model inputs'!M95-18)/6,IF(IF(IF(ISERROR('Model inputs'!M95&lt;=30),'Model inputs'!M95&lt;=30,IF('Model inputs'!M95="","",'Model inputs'!M95&lt;=30))="",FALSE,IF(ISERROR('Model inputs'!M95&lt;=30),'Model inputs'!M95&lt;=30,IF('Model inputs'!M95="","",'Model inputs'!M95&lt;=30))),'Model inputs'!AM23+('Model inputs'!AM24-'Model inputs'!AM23)*('Model inputs'!M95-24)/6,IF(IF(IF(ISERROR('Model inputs'!M95&lt;=36),'Model inputs'!M95&lt;=36,IF('Model inputs'!M95="","",'Model inputs'!M95&lt;=36))="",FALSE,IF(ISERROR('Model inputs'!M95&lt;=36),'Model inputs'!M95&lt;=36,IF('Model inputs'!M95="","",'Model inputs'!M95&lt;=36))),'Model inputs'!AM24+('Model inputs'!AM25-'Model inputs'!AM24)*('Model inputs'!M95-30)/6,IF('Model inputs'!AM25="","",'Model inputs'!AM25)))))))))/'Model inputs'!AM9</f>
      </c>
    </row>
    <row r="3542">
      <c r="A3542" t="inlineStr" s="25">
        <is>
          <t xml:space="preserve">Calculation</t>
        </is>
      </c>
      <c r="B3542">
        <f>IF((IF(IF(IF(ISERROR('Model inputs'!N95&lt;=6),'Model inputs'!N95&lt;=6,IF('Model inputs'!N95="","",'Model inputs'!N95&lt;=6))="",FALSE,IF(ISERROR('Model inputs'!N95&lt;=6),'Model inputs'!N95&lt;=6,IF('Model inputs'!N95="","",'Model inputs'!N95&lt;=6))),'Model inputs'!AM20+('Model inputs'!AM26-'Model inputs'!AM20)*('Model inputs'!N95-0)/6,IF(IF(IF(ISERROR('Model inputs'!N95&lt;=12),'Model inputs'!N95&lt;=12,IF('Model inputs'!N95="","",'Model inputs'!N95&lt;=12))="",FALSE,IF(ISERROR('Model inputs'!N95&lt;=12),'Model inputs'!N95&lt;=12,IF('Model inputs'!N95="","",'Model inputs'!N95&lt;=12))),'Model inputs'!AM26+('Model inputs'!AM21-'Model inputs'!AM26)*('Model inputs'!N95-6)/6,IF(IF(IF(ISERROR('Model inputs'!N95&lt;=18),'Model inputs'!N95&lt;=18,IF('Model inputs'!N95="","",'Model inputs'!N95&lt;=18))="",FALSE,IF(ISERROR('Model inputs'!N95&lt;=18),'Model inputs'!N95&lt;=18,IF('Model inputs'!N95="","",'Model inputs'!N95&lt;=18))),'Model inputs'!AM21+('Model inputs'!AM22-'Model inputs'!AM21)*('Model inputs'!N95-12)/6,IF(IF(IF(ISERROR('Model inputs'!N95&lt;=24),'Model inputs'!N95&lt;=24,IF('Model inputs'!N95="","",'Model inputs'!N95&lt;=24))="",FALSE,IF(ISERROR('Model inputs'!N95&lt;=24),'Model inputs'!N95&lt;=24,IF('Model inputs'!N95="","",'Model inputs'!N95&lt;=24))),'Model inputs'!AM22+('Model inputs'!AM23-'Model inputs'!AM22)*('Model inputs'!N95-18)/6,IF(IF(IF(ISERROR('Model inputs'!N95&lt;=30),'Model inputs'!N95&lt;=30,IF('Model inputs'!N95="","",'Model inputs'!N95&lt;=30))="",FALSE,IF(ISERROR('Model inputs'!N95&lt;=30),'Model inputs'!N95&lt;=30,IF('Model inputs'!N95="","",'Model inputs'!N95&lt;=30))),'Model inputs'!AM23+('Model inputs'!AM24-'Model inputs'!AM23)*('Model inputs'!N95-24)/6,IF(IF(IF(ISERROR('Model inputs'!N95&lt;=36),'Model inputs'!N95&lt;=36,IF('Model inputs'!N95="","",'Model inputs'!N95&lt;=36))="",FALSE,IF(ISERROR('Model inputs'!N95&lt;=36),'Model inputs'!N95&lt;=36,IF('Model inputs'!N95="","",'Model inputs'!N95&lt;=36))),'Model inputs'!AM24+('Model inputs'!AM25-'Model inputs'!AM24)*('Model inputs'!N95-30)/6,IF('Model inputs'!AM25="","",'Model inputs'!AM25))))))))="",0,(IF(IF(IF(ISERROR('Model inputs'!N95&lt;=6),'Model inputs'!N95&lt;=6,IF('Model inputs'!N95="","",'Model inputs'!N95&lt;=6))="",FALSE,IF(ISERROR('Model inputs'!N95&lt;=6),'Model inputs'!N95&lt;=6,IF('Model inputs'!N95="","",'Model inputs'!N95&lt;=6))),'Model inputs'!AM20+('Model inputs'!AM26-'Model inputs'!AM20)*('Model inputs'!N95-0)/6,IF(IF(IF(ISERROR('Model inputs'!N95&lt;=12),'Model inputs'!N95&lt;=12,IF('Model inputs'!N95="","",'Model inputs'!N95&lt;=12))="",FALSE,IF(ISERROR('Model inputs'!N95&lt;=12),'Model inputs'!N95&lt;=12,IF('Model inputs'!N95="","",'Model inputs'!N95&lt;=12))),'Model inputs'!AM26+('Model inputs'!AM21-'Model inputs'!AM26)*('Model inputs'!N95-6)/6,IF(IF(IF(ISERROR('Model inputs'!N95&lt;=18),'Model inputs'!N95&lt;=18,IF('Model inputs'!N95="","",'Model inputs'!N95&lt;=18))="",FALSE,IF(ISERROR('Model inputs'!N95&lt;=18),'Model inputs'!N95&lt;=18,IF('Model inputs'!N95="","",'Model inputs'!N95&lt;=18))),'Model inputs'!AM21+('Model inputs'!AM22-'Model inputs'!AM21)*('Model inputs'!N95-12)/6,IF(IF(IF(ISERROR('Model inputs'!N95&lt;=24),'Model inputs'!N95&lt;=24,IF('Model inputs'!N95="","",'Model inputs'!N95&lt;=24))="",FALSE,IF(ISERROR('Model inputs'!N95&lt;=24),'Model inputs'!N95&lt;=24,IF('Model inputs'!N95="","",'Model inputs'!N95&lt;=24))),'Model inputs'!AM22+('Model inputs'!AM23-'Model inputs'!AM22)*('Model inputs'!N95-18)/6,IF(IF(IF(ISERROR('Model inputs'!N95&lt;=30),'Model inputs'!N95&lt;=30,IF('Model inputs'!N95="","",'Model inputs'!N95&lt;=30))="",FALSE,IF(ISERROR('Model inputs'!N95&lt;=30),'Model inputs'!N95&lt;=30,IF('Model inputs'!N95="","",'Model inputs'!N95&lt;=30))),'Model inputs'!AM23+('Model inputs'!AM24-'Model inputs'!AM23)*('Model inputs'!N95-24)/6,IF(IF(IF(ISERROR('Model inputs'!N95&lt;=36),'Model inputs'!N95&lt;=36,IF('Model inputs'!N95="","",'Model inputs'!N95&lt;=36))="",FALSE,IF(ISERROR('Model inputs'!N95&lt;=36),'Model inputs'!N95&lt;=36,IF('Model inputs'!N95="","",'Model inputs'!N95&lt;=36))),'Model inputs'!AM24+('Model inputs'!AM25-'Model inputs'!AM24)*('Model inputs'!N95-30)/6,IF('Model inputs'!AM25="","",'Model inputs'!AM25)))))))))/'Model inputs'!AM9</f>
      </c>
    </row>
    <row r="3543">
      <c r="A3543" t="inlineStr" s="25">
        <is>
          <t xml:space="preserve">Calculation</t>
        </is>
      </c>
      <c r="B3543">
        <f>IF((IF(IF(IF(ISERROR('Model inputs'!O95&lt;=6),'Model inputs'!O95&lt;=6,IF('Model inputs'!O95="","",'Model inputs'!O95&lt;=6))="",FALSE,IF(ISERROR('Model inputs'!O95&lt;=6),'Model inputs'!O95&lt;=6,IF('Model inputs'!O95="","",'Model inputs'!O95&lt;=6))),'Model inputs'!AM20+('Model inputs'!AM26-'Model inputs'!AM20)*('Model inputs'!O95-0)/6,IF(IF(IF(ISERROR('Model inputs'!O95&lt;=12),'Model inputs'!O95&lt;=12,IF('Model inputs'!O95="","",'Model inputs'!O95&lt;=12))="",FALSE,IF(ISERROR('Model inputs'!O95&lt;=12),'Model inputs'!O95&lt;=12,IF('Model inputs'!O95="","",'Model inputs'!O95&lt;=12))),'Model inputs'!AM26+('Model inputs'!AM21-'Model inputs'!AM26)*('Model inputs'!O95-6)/6,IF(IF(IF(ISERROR('Model inputs'!O95&lt;=18),'Model inputs'!O95&lt;=18,IF('Model inputs'!O95="","",'Model inputs'!O95&lt;=18))="",FALSE,IF(ISERROR('Model inputs'!O95&lt;=18),'Model inputs'!O95&lt;=18,IF('Model inputs'!O95="","",'Model inputs'!O95&lt;=18))),'Model inputs'!AM21+('Model inputs'!AM22-'Model inputs'!AM21)*('Model inputs'!O95-12)/6,IF(IF(IF(ISERROR('Model inputs'!O95&lt;=24),'Model inputs'!O95&lt;=24,IF('Model inputs'!O95="","",'Model inputs'!O95&lt;=24))="",FALSE,IF(ISERROR('Model inputs'!O95&lt;=24),'Model inputs'!O95&lt;=24,IF('Model inputs'!O95="","",'Model inputs'!O95&lt;=24))),'Model inputs'!AM22+('Model inputs'!AM23-'Model inputs'!AM22)*('Model inputs'!O95-18)/6,IF(IF(IF(ISERROR('Model inputs'!O95&lt;=30),'Model inputs'!O95&lt;=30,IF('Model inputs'!O95="","",'Model inputs'!O95&lt;=30))="",FALSE,IF(ISERROR('Model inputs'!O95&lt;=30),'Model inputs'!O95&lt;=30,IF('Model inputs'!O95="","",'Model inputs'!O95&lt;=30))),'Model inputs'!AM23+('Model inputs'!AM24-'Model inputs'!AM23)*('Model inputs'!O95-24)/6,IF(IF(IF(ISERROR('Model inputs'!O95&lt;=36),'Model inputs'!O95&lt;=36,IF('Model inputs'!O95="","",'Model inputs'!O95&lt;=36))="",FALSE,IF(ISERROR('Model inputs'!O95&lt;=36),'Model inputs'!O95&lt;=36,IF('Model inputs'!O95="","",'Model inputs'!O95&lt;=36))),'Model inputs'!AM24+('Model inputs'!AM25-'Model inputs'!AM24)*('Model inputs'!O95-30)/6,IF('Model inputs'!AM25="","",'Model inputs'!AM25))))))))="",0,(IF(IF(IF(ISERROR('Model inputs'!O95&lt;=6),'Model inputs'!O95&lt;=6,IF('Model inputs'!O95="","",'Model inputs'!O95&lt;=6))="",FALSE,IF(ISERROR('Model inputs'!O95&lt;=6),'Model inputs'!O95&lt;=6,IF('Model inputs'!O95="","",'Model inputs'!O95&lt;=6))),'Model inputs'!AM20+('Model inputs'!AM26-'Model inputs'!AM20)*('Model inputs'!O95-0)/6,IF(IF(IF(ISERROR('Model inputs'!O95&lt;=12),'Model inputs'!O95&lt;=12,IF('Model inputs'!O95="","",'Model inputs'!O95&lt;=12))="",FALSE,IF(ISERROR('Model inputs'!O95&lt;=12),'Model inputs'!O95&lt;=12,IF('Model inputs'!O95="","",'Model inputs'!O95&lt;=12))),'Model inputs'!AM26+('Model inputs'!AM21-'Model inputs'!AM26)*('Model inputs'!O95-6)/6,IF(IF(IF(ISERROR('Model inputs'!O95&lt;=18),'Model inputs'!O95&lt;=18,IF('Model inputs'!O95="","",'Model inputs'!O95&lt;=18))="",FALSE,IF(ISERROR('Model inputs'!O95&lt;=18),'Model inputs'!O95&lt;=18,IF('Model inputs'!O95="","",'Model inputs'!O95&lt;=18))),'Model inputs'!AM21+('Model inputs'!AM22-'Model inputs'!AM21)*('Model inputs'!O95-12)/6,IF(IF(IF(ISERROR('Model inputs'!O95&lt;=24),'Model inputs'!O95&lt;=24,IF('Model inputs'!O95="","",'Model inputs'!O95&lt;=24))="",FALSE,IF(ISERROR('Model inputs'!O95&lt;=24),'Model inputs'!O95&lt;=24,IF('Model inputs'!O95="","",'Model inputs'!O95&lt;=24))),'Model inputs'!AM22+('Model inputs'!AM23-'Model inputs'!AM22)*('Model inputs'!O95-18)/6,IF(IF(IF(ISERROR('Model inputs'!O95&lt;=30),'Model inputs'!O95&lt;=30,IF('Model inputs'!O95="","",'Model inputs'!O95&lt;=30))="",FALSE,IF(ISERROR('Model inputs'!O95&lt;=30),'Model inputs'!O95&lt;=30,IF('Model inputs'!O95="","",'Model inputs'!O95&lt;=30))),'Model inputs'!AM23+('Model inputs'!AM24-'Model inputs'!AM23)*('Model inputs'!O95-24)/6,IF(IF(IF(ISERROR('Model inputs'!O95&lt;=36),'Model inputs'!O95&lt;=36,IF('Model inputs'!O95="","",'Model inputs'!O95&lt;=36))="",FALSE,IF(ISERROR('Model inputs'!O95&lt;=36),'Model inputs'!O95&lt;=36,IF('Model inputs'!O95="","",'Model inputs'!O95&lt;=36))),'Model inputs'!AM24+('Model inputs'!AM25-'Model inputs'!AM24)*('Model inputs'!O95-30)/6,IF('Model inputs'!AM25="","",'Model inputs'!AM25)))))))))/'Model inputs'!AM9</f>
      </c>
    </row>
    <row r="3544">
      <c r="A3544" t="inlineStr" s="25">
        <is>
          <t xml:space="preserve">Calculation</t>
        </is>
      </c>
      <c r="B3544">
        <f>IF((IF(IF(IF(ISERROR('Model inputs'!P95&lt;=6),'Model inputs'!P95&lt;=6,IF('Model inputs'!P95="","",'Model inputs'!P95&lt;=6))="",FALSE,IF(ISERROR('Model inputs'!P95&lt;=6),'Model inputs'!P95&lt;=6,IF('Model inputs'!P95="","",'Model inputs'!P95&lt;=6))),'Model inputs'!AM20+('Model inputs'!AM26-'Model inputs'!AM20)*('Model inputs'!P95-0)/6,IF(IF(IF(ISERROR('Model inputs'!P95&lt;=12),'Model inputs'!P95&lt;=12,IF('Model inputs'!P95="","",'Model inputs'!P95&lt;=12))="",FALSE,IF(ISERROR('Model inputs'!P95&lt;=12),'Model inputs'!P95&lt;=12,IF('Model inputs'!P95="","",'Model inputs'!P95&lt;=12))),'Model inputs'!AM26+('Model inputs'!AM21-'Model inputs'!AM26)*('Model inputs'!P95-6)/6,IF(IF(IF(ISERROR('Model inputs'!P95&lt;=18),'Model inputs'!P95&lt;=18,IF('Model inputs'!P95="","",'Model inputs'!P95&lt;=18))="",FALSE,IF(ISERROR('Model inputs'!P95&lt;=18),'Model inputs'!P95&lt;=18,IF('Model inputs'!P95="","",'Model inputs'!P95&lt;=18))),'Model inputs'!AM21+('Model inputs'!AM22-'Model inputs'!AM21)*('Model inputs'!P95-12)/6,IF(IF(IF(ISERROR('Model inputs'!P95&lt;=24),'Model inputs'!P95&lt;=24,IF('Model inputs'!P95="","",'Model inputs'!P95&lt;=24))="",FALSE,IF(ISERROR('Model inputs'!P95&lt;=24),'Model inputs'!P95&lt;=24,IF('Model inputs'!P95="","",'Model inputs'!P95&lt;=24))),'Model inputs'!AM22+('Model inputs'!AM23-'Model inputs'!AM22)*('Model inputs'!P95-18)/6,IF(IF(IF(ISERROR('Model inputs'!P95&lt;=30),'Model inputs'!P95&lt;=30,IF('Model inputs'!P95="","",'Model inputs'!P95&lt;=30))="",FALSE,IF(ISERROR('Model inputs'!P95&lt;=30),'Model inputs'!P95&lt;=30,IF('Model inputs'!P95="","",'Model inputs'!P95&lt;=30))),'Model inputs'!AM23+('Model inputs'!AM24-'Model inputs'!AM23)*('Model inputs'!P95-24)/6,IF(IF(IF(ISERROR('Model inputs'!P95&lt;=36),'Model inputs'!P95&lt;=36,IF('Model inputs'!P95="","",'Model inputs'!P95&lt;=36))="",FALSE,IF(ISERROR('Model inputs'!P95&lt;=36),'Model inputs'!P95&lt;=36,IF('Model inputs'!P95="","",'Model inputs'!P95&lt;=36))),'Model inputs'!AM24+('Model inputs'!AM25-'Model inputs'!AM24)*('Model inputs'!P95-30)/6,IF('Model inputs'!AM25="","",'Model inputs'!AM25))))))))="",0,(IF(IF(IF(ISERROR('Model inputs'!P95&lt;=6),'Model inputs'!P95&lt;=6,IF('Model inputs'!P95="","",'Model inputs'!P95&lt;=6))="",FALSE,IF(ISERROR('Model inputs'!P95&lt;=6),'Model inputs'!P95&lt;=6,IF('Model inputs'!P95="","",'Model inputs'!P95&lt;=6))),'Model inputs'!AM20+('Model inputs'!AM26-'Model inputs'!AM20)*('Model inputs'!P95-0)/6,IF(IF(IF(ISERROR('Model inputs'!P95&lt;=12),'Model inputs'!P95&lt;=12,IF('Model inputs'!P95="","",'Model inputs'!P95&lt;=12))="",FALSE,IF(ISERROR('Model inputs'!P95&lt;=12),'Model inputs'!P95&lt;=12,IF('Model inputs'!P95="","",'Model inputs'!P95&lt;=12))),'Model inputs'!AM26+('Model inputs'!AM21-'Model inputs'!AM26)*('Model inputs'!P95-6)/6,IF(IF(IF(ISERROR('Model inputs'!P95&lt;=18),'Model inputs'!P95&lt;=18,IF('Model inputs'!P95="","",'Model inputs'!P95&lt;=18))="",FALSE,IF(ISERROR('Model inputs'!P95&lt;=18),'Model inputs'!P95&lt;=18,IF('Model inputs'!P95="","",'Model inputs'!P95&lt;=18))),'Model inputs'!AM21+('Model inputs'!AM22-'Model inputs'!AM21)*('Model inputs'!P95-12)/6,IF(IF(IF(ISERROR('Model inputs'!P95&lt;=24),'Model inputs'!P95&lt;=24,IF('Model inputs'!P95="","",'Model inputs'!P95&lt;=24))="",FALSE,IF(ISERROR('Model inputs'!P95&lt;=24),'Model inputs'!P95&lt;=24,IF('Model inputs'!P95="","",'Model inputs'!P95&lt;=24))),'Model inputs'!AM22+('Model inputs'!AM23-'Model inputs'!AM22)*('Model inputs'!P95-18)/6,IF(IF(IF(ISERROR('Model inputs'!P95&lt;=30),'Model inputs'!P95&lt;=30,IF('Model inputs'!P95="","",'Model inputs'!P95&lt;=30))="",FALSE,IF(ISERROR('Model inputs'!P95&lt;=30),'Model inputs'!P95&lt;=30,IF('Model inputs'!P95="","",'Model inputs'!P95&lt;=30))),'Model inputs'!AM23+('Model inputs'!AM24-'Model inputs'!AM23)*('Model inputs'!P95-24)/6,IF(IF(IF(ISERROR('Model inputs'!P95&lt;=36),'Model inputs'!P95&lt;=36,IF('Model inputs'!P95="","",'Model inputs'!P95&lt;=36))="",FALSE,IF(ISERROR('Model inputs'!P95&lt;=36),'Model inputs'!P95&lt;=36,IF('Model inputs'!P95="","",'Model inputs'!P95&lt;=36))),'Model inputs'!AM24+('Model inputs'!AM25-'Model inputs'!AM24)*('Model inputs'!P95-30)/6,IF('Model inputs'!AM25="","",'Model inputs'!AM25)))))))))/'Model inputs'!AM9</f>
      </c>
    </row>
    <row r="3545">
      <c r="A3545" t="inlineStr" s="25">
        <is>
          <t xml:space="preserve">Calculation</t>
        </is>
      </c>
      <c r="B3545">
        <f>IF((IF(IF(IF(ISERROR('Model inputs'!Q95&lt;=6),'Model inputs'!Q95&lt;=6,IF('Model inputs'!Q95="","",'Model inputs'!Q95&lt;=6))="",FALSE,IF(ISERROR('Model inputs'!Q95&lt;=6),'Model inputs'!Q95&lt;=6,IF('Model inputs'!Q95="","",'Model inputs'!Q95&lt;=6))),'Model inputs'!AM20+('Model inputs'!AM26-'Model inputs'!AM20)*('Model inputs'!Q95-0)/6,IF(IF(IF(ISERROR('Model inputs'!Q95&lt;=12),'Model inputs'!Q95&lt;=12,IF('Model inputs'!Q95="","",'Model inputs'!Q95&lt;=12))="",FALSE,IF(ISERROR('Model inputs'!Q95&lt;=12),'Model inputs'!Q95&lt;=12,IF('Model inputs'!Q95="","",'Model inputs'!Q95&lt;=12))),'Model inputs'!AM26+('Model inputs'!AM21-'Model inputs'!AM26)*('Model inputs'!Q95-6)/6,IF(IF(IF(ISERROR('Model inputs'!Q95&lt;=18),'Model inputs'!Q95&lt;=18,IF('Model inputs'!Q95="","",'Model inputs'!Q95&lt;=18))="",FALSE,IF(ISERROR('Model inputs'!Q95&lt;=18),'Model inputs'!Q95&lt;=18,IF('Model inputs'!Q95="","",'Model inputs'!Q95&lt;=18))),'Model inputs'!AM21+('Model inputs'!AM22-'Model inputs'!AM21)*('Model inputs'!Q95-12)/6,IF(IF(IF(ISERROR('Model inputs'!Q95&lt;=24),'Model inputs'!Q95&lt;=24,IF('Model inputs'!Q95="","",'Model inputs'!Q95&lt;=24))="",FALSE,IF(ISERROR('Model inputs'!Q95&lt;=24),'Model inputs'!Q95&lt;=24,IF('Model inputs'!Q95="","",'Model inputs'!Q95&lt;=24))),'Model inputs'!AM22+('Model inputs'!AM23-'Model inputs'!AM22)*('Model inputs'!Q95-18)/6,IF(IF(IF(ISERROR('Model inputs'!Q95&lt;=30),'Model inputs'!Q95&lt;=30,IF('Model inputs'!Q95="","",'Model inputs'!Q95&lt;=30))="",FALSE,IF(ISERROR('Model inputs'!Q95&lt;=30),'Model inputs'!Q95&lt;=30,IF('Model inputs'!Q95="","",'Model inputs'!Q95&lt;=30))),'Model inputs'!AM23+('Model inputs'!AM24-'Model inputs'!AM23)*('Model inputs'!Q95-24)/6,IF(IF(IF(ISERROR('Model inputs'!Q95&lt;=36),'Model inputs'!Q95&lt;=36,IF('Model inputs'!Q95="","",'Model inputs'!Q95&lt;=36))="",FALSE,IF(ISERROR('Model inputs'!Q95&lt;=36),'Model inputs'!Q95&lt;=36,IF('Model inputs'!Q95="","",'Model inputs'!Q95&lt;=36))),'Model inputs'!AM24+('Model inputs'!AM25-'Model inputs'!AM24)*('Model inputs'!Q95-30)/6,IF('Model inputs'!AM25="","",'Model inputs'!AM25))))))))="",0,(IF(IF(IF(ISERROR('Model inputs'!Q95&lt;=6),'Model inputs'!Q95&lt;=6,IF('Model inputs'!Q95="","",'Model inputs'!Q95&lt;=6))="",FALSE,IF(ISERROR('Model inputs'!Q95&lt;=6),'Model inputs'!Q95&lt;=6,IF('Model inputs'!Q95="","",'Model inputs'!Q95&lt;=6))),'Model inputs'!AM20+('Model inputs'!AM26-'Model inputs'!AM20)*('Model inputs'!Q95-0)/6,IF(IF(IF(ISERROR('Model inputs'!Q95&lt;=12),'Model inputs'!Q95&lt;=12,IF('Model inputs'!Q95="","",'Model inputs'!Q95&lt;=12))="",FALSE,IF(ISERROR('Model inputs'!Q95&lt;=12),'Model inputs'!Q95&lt;=12,IF('Model inputs'!Q95="","",'Model inputs'!Q95&lt;=12))),'Model inputs'!AM26+('Model inputs'!AM21-'Model inputs'!AM26)*('Model inputs'!Q95-6)/6,IF(IF(IF(ISERROR('Model inputs'!Q95&lt;=18),'Model inputs'!Q95&lt;=18,IF('Model inputs'!Q95="","",'Model inputs'!Q95&lt;=18))="",FALSE,IF(ISERROR('Model inputs'!Q95&lt;=18),'Model inputs'!Q95&lt;=18,IF('Model inputs'!Q95="","",'Model inputs'!Q95&lt;=18))),'Model inputs'!AM21+('Model inputs'!AM22-'Model inputs'!AM21)*('Model inputs'!Q95-12)/6,IF(IF(IF(ISERROR('Model inputs'!Q95&lt;=24),'Model inputs'!Q95&lt;=24,IF('Model inputs'!Q95="","",'Model inputs'!Q95&lt;=24))="",FALSE,IF(ISERROR('Model inputs'!Q95&lt;=24),'Model inputs'!Q95&lt;=24,IF('Model inputs'!Q95="","",'Model inputs'!Q95&lt;=24))),'Model inputs'!AM22+('Model inputs'!AM23-'Model inputs'!AM22)*('Model inputs'!Q95-18)/6,IF(IF(IF(ISERROR('Model inputs'!Q95&lt;=30),'Model inputs'!Q95&lt;=30,IF('Model inputs'!Q95="","",'Model inputs'!Q95&lt;=30))="",FALSE,IF(ISERROR('Model inputs'!Q95&lt;=30),'Model inputs'!Q95&lt;=30,IF('Model inputs'!Q95="","",'Model inputs'!Q95&lt;=30))),'Model inputs'!AM23+('Model inputs'!AM24-'Model inputs'!AM23)*('Model inputs'!Q95-24)/6,IF(IF(IF(ISERROR('Model inputs'!Q95&lt;=36),'Model inputs'!Q95&lt;=36,IF('Model inputs'!Q95="","",'Model inputs'!Q95&lt;=36))="",FALSE,IF(ISERROR('Model inputs'!Q95&lt;=36),'Model inputs'!Q95&lt;=36,IF('Model inputs'!Q95="","",'Model inputs'!Q95&lt;=36))),'Model inputs'!AM24+('Model inputs'!AM25-'Model inputs'!AM24)*('Model inputs'!Q95-30)/6,IF('Model inputs'!AM25="","",'Model inputs'!AM25)))))))))/'Model inputs'!AM9</f>
      </c>
    </row>
    <row r="3546">
      <c r="A3546" t="inlineStr" s="25">
        <is>
          <t xml:space="preserve">Calculation</t>
        </is>
      </c>
      <c r="B3546">
        <f>IF((IF(IF(IF(ISERROR('Model inputs'!R95&lt;=6),'Model inputs'!R95&lt;=6,IF('Model inputs'!R95="","",'Model inputs'!R95&lt;=6))="",FALSE,IF(ISERROR('Model inputs'!R95&lt;=6),'Model inputs'!R95&lt;=6,IF('Model inputs'!R95="","",'Model inputs'!R95&lt;=6))),'Model inputs'!AM20+('Model inputs'!AM26-'Model inputs'!AM20)*('Model inputs'!R95-0)/6,IF(IF(IF(ISERROR('Model inputs'!R95&lt;=12),'Model inputs'!R95&lt;=12,IF('Model inputs'!R95="","",'Model inputs'!R95&lt;=12))="",FALSE,IF(ISERROR('Model inputs'!R95&lt;=12),'Model inputs'!R95&lt;=12,IF('Model inputs'!R95="","",'Model inputs'!R95&lt;=12))),'Model inputs'!AM26+('Model inputs'!AM21-'Model inputs'!AM26)*('Model inputs'!R95-6)/6,IF(IF(IF(ISERROR('Model inputs'!R95&lt;=18),'Model inputs'!R95&lt;=18,IF('Model inputs'!R95="","",'Model inputs'!R95&lt;=18))="",FALSE,IF(ISERROR('Model inputs'!R95&lt;=18),'Model inputs'!R95&lt;=18,IF('Model inputs'!R95="","",'Model inputs'!R95&lt;=18))),'Model inputs'!AM21+('Model inputs'!AM22-'Model inputs'!AM21)*('Model inputs'!R95-12)/6,IF(IF(IF(ISERROR('Model inputs'!R95&lt;=24),'Model inputs'!R95&lt;=24,IF('Model inputs'!R95="","",'Model inputs'!R95&lt;=24))="",FALSE,IF(ISERROR('Model inputs'!R95&lt;=24),'Model inputs'!R95&lt;=24,IF('Model inputs'!R95="","",'Model inputs'!R95&lt;=24))),'Model inputs'!AM22+('Model inputs'!AM23-'Model inputs'!AM22)*('Model inputs'!R95-18)/6,IF(IF(IF(ISERROR('Model inputs'!R95&lt;=30),'Model inputs'!R95&lt;=30,IF('Model inputs'!R95="","",'Model inputs'!R95&lt;=30))="",FALSE,IF(ISERROR('Model inputs'!R95&lt;=30),'Model inputs'!R95&lt;=30,IF('Model inputs'!R95="","",'Model inputs'!R95&lt;=30))),'Model inputs'!AM23+('Model inputs'!AM24-'Model inputs'!AM23)*('Model inputs'!R95-24)/6,IF(IF(IF(ISERROR('Model inputs'!R95&lt;=36),'Model inputs'!R95&lt;=36,IF('Model inputs'!R95="","",'Model inputs'!R95&lt;=36))="",FALSE,IF(ISERROR('Model inputs'!R95&lt;=36),'Model inputs'!R95&lt;=36,IF('Model inputs'!R95="","",'Model inputs'!R95&lt;=36))),'Model inputs'!AM24+('Model inputs'!AM25-'Model inputs'!AM24)*('Model inputs'!R95-30)/6,IF('Model inputs'!AM25="","",'Model inputs'!AM25))))))))="",0,(IF(IF(IF(ISERROR('Model inputs'!R95&lt;=6),'Model inputs'!R95&lt;=6,IF('Model inputs'!R95="","",'Model inputs'!R95&lt;=6))="",FALSE,IF(ISERROR('Model inputs'!R95&lt;=6),'Model inputs'!R95&lt;=6,IF('Model inputs'!R95="","",'Model inputs'!R95&lt;=6))),'Model inputs'!AM20+('Model inputs'!AM26-'Model inputs'!AM20)*('Model inputs'!R95-0)/6,IF(IF(IF(ISERROR('Model inputs'!R95&lt;=12),'Model inputs'!R95&lt;=12,IF('Model inputs'!R95="","",'Model inputs'!R95&lt;=12))="",FALSE,IF(ISERROR('Model inputs'!R95&lt;=12),'Model inputs'!R95&lt;=12,IF('Model inputs'!R95="","",'Model inputs'!R95&lt;=12))),'Model inputs'!AM26+('Model inputs'!AM21-'Model inputs'!AM26)*('Model inputs'!R95-6)/6,IF(IF(IF(ISERROR('Model inputs'!R95&lt;=18),'Model inputs'!R95&lt;=18,IF('Model inputs'!R95="","",'Model inputs'!R95&lt;=18))="",FALSE,IF(ISERROR('Model inputs'!R95&lt;=18),'Model inputs'!R95&lt;=18,IF('Model inputs'!R95="","",'Model inputs'!R95&lt;=18))),'Model inputs'!AM21+('Model inputs'!AM22-'Model inputs'!AM21)*('Model inputs'!R95-12)/6,IF(IF(IF(ISERROR('Model inputs'!R95&lt;=24),'Model inputs'!R95&lt;=24,IF('Model inputs'!R95="","",'Model inputs'!R95&lt;=24))="",FALSE,IF(ISERROR('Model inputs'!R95&lt;=24),'Model inputs'!R95&lt;=24,IF('Model inputs'!R95="","",'Model inputs'!R95&lt;=24))),'Model inputs'!AM22+('Model inputs'!AM23-'Model inputs'!AM22)*('Model inputs'!R95-18)/6,IF(IF(IF(ISERROR('Model inputs'!R95&lt;=30),'Model inputs'!R95&lt;=30,IF('Model inputs'!R95="","",'Model inputs'!R95&lt;=30))="",FALSE,IF(ISERROR('Model inputs'!R95&lt;=30),'Model inputs'!R95&lt;=30,IF('Model inputs'!R95="","",'Model inputs'!R95&lt;=30))),'Model inputs'!AM23+('Model inputs'!AM24-'Model inputs'!AM23)*('Model inputs'!R95-24)/6,IF(IF(IF(ISERROR('Model inputs'!R95&lt;=36),'Model inputs'!R95&lt;=36,IF('Model inputs'!R95="","",'Model inputs'!R95&lt;=36))="",FALSE,IF(ISERROR('Model inputs'!R95&lt;=36),'Model inputs'!R95&lt;=36,IF('Model inputs'!R95="","",'Model inputs'!R95&lt;=36))),'Model inputs'!AM24+('Model inputs'!AM25-'Model inputs'!AM24)*('Model inputs'!R95-30)/6,IF('Model inputs'!AM25="","",'Model inputs'!AM25)))))))))/'Model inputs'!AM9</f>
      </c>
    </row>
    <row r="3547">
      <c r="A3547" t="inlineStr" s="25">
        <is>
          <t xml:space="preserve">Calculation</t>
        </is>
      </c>
      <c r="B3547">
        <f>IF((IF(IF(IF(ISERROR('Model inputs'!S95&lt;=6),'Model inputs'!S95&lt;=6,IF('Model inputs'!S95="","",'Model inputs'!S95&lt;=6))="",FALSE,IF(ISERROR('Model inputs'!S95&lt;=6),'Model inputs'!S95&lt;=6,IF('Model inputs'!S95="","",'Model inputs'!S95&lt;=6))),'Model inputs'!AM20+('Model inputs'!AM26-'Model inputs'!AM20)*('Model inputs'!S95-0)/6,IF(IF(IF(ISERROR('Model inputs'!S95&lt;=12),'Model inputs'!S95&lt;=12,IF('Model inputs'!S95="","",'Model inputs'!S95&lt;=12))="",FALSE,IF(ISERROR('Model inputs'!S95&lt;=12),'Model inputs'!S95&lt;=12,IF('Model inputs'!S95="","",'Model inputs'!S95&lt;=12))),'Model inputs'!AM26+('Model inputs'!AM21-'Model inputs'!AM26)*('Model inputs'!S95-6)/6,IF(IF(IF(ISERROR('Model inputs'!S95&lt;=18),'Model inputs'!S95&lt;=18,IF('Model inputs'!S95="","",'Model inputs'!S95&lt;=18))="",FALSE,IF(ISERROR('Model inputs'!S95&lt;=18),'Model inputs'!S95&lt;=18,IF('Model inputs'!S95="","",'Model inputs'!S95&lt;=18))),'Model inputs'!AM21+('Model inputs'!AM22-'Model inputs'!AM21)*('Model inputs'!S95-12)/6,IF(IF(IF(ISERROR('Model inputs'!S95&lt;=24),'Model inputs'!S95&lt;=24,IF('Model inputs'!S95="","",'Model inputs'!S95&lt;=24))="",FALSE,IF(ISERROR('Model inputs'!S95&lt;=24),'Model inputs'!S95&lt;=24,IF('Model inputs'!S95="","",'Model inputs'!S95&lt;=24))),'Model inputs'!AM22+('Model inputs'!AM23-'Model inputs'!AM22)*('Model inputs'!S95-18)/6,IF(IF(IF(ISERROR('Model inputs'!S95&lt;=30),'Model inputs'!S95&lt;=30,IF('Model inputs'!S95="","",'Model inputs'!S95&lt;=30))="",FALSE,IF(ISERROR('Model inputs'!S95&lt;=30),'Model inputs'!S95&lt;=30,IF('Model inputs'!S95="","",'Model inputs'!S95&lt;=30))),'Model inputs'!AM23+('Model inputs'!AM24-'Model inputs'!AM23)*('Model inputs'!S95-24)/6,IF(IF(IF(ISERROR('Model inputs'!S95&lt;=36),'Model inputs'!S95&lt;=36,IF('Model inputs'!S95="","",'Model inputs'!S95&lt;=36))="",FALSE,IF(ISERROR('Model inputs'!S95&lt;=36),'Model inputs'!S95&lt;=36,IF('Model inputs'!S95="","",'Model inputs'!S95&lt;=36))),'Model inputs'!AM24+('Model inputs'!AM25-'Model inputs'!AM24)*('Model inputs'!S95-30)/6,IF('Model inputs'!AM25="","",'Model inputs'!AM25))))))))="",0,(IF(IF(IF(ISERROR('Model inputs'!S95&lt;=6),'Model inputs'!S95&lt;=6,IF('Model inputs'!S95="","",'Model inputs'!S95&lt;=6))="",FALSE,IF(ISERROR('Model inputs'!S95&lt;=6),'Model inputs'!S95&lt;=6,IF('Model inputs'!S95="","",'Model inputs'!S95&lt;=6))),'Model inputs'!AM20+('Model inputs'!AM26-'Model inputs'!AM20)*('Model inputs'!S95-0)/6,IF(IF(IF(ISERROR('Model inputs'!S95&lt;=12),'Model inputs'!S95&lt;=12,IF('Model inputs'!S95="","",'Model inputs'!S95&lt;=12))="",FALSE,IF(ISERROR('Model inputs'!S95&lt;=12),'Model inputs'!S95&lt;=12,IF('Model inputs'!S95="","",'Model inputs'!S95&lt;=12))),'Model inputs'!AM26+('Model inputs'!AM21-'Model inputs'!AM26)*('Model inputs'!S95-6)/6,IF(IF(IF(ISERROR('Model inputs'!S95&lt;=18),'Model inputs'!S95&lt;=18,IF('Model inputs'!S95="","",'Model inputs'!S95&lt;=18))="",FALSE,IF(ISERROR('Model inputs'!S95&lt;=18),'Model inputs'!S95&lt;=18,IF('Model inputs'!S95="","",'Model inputs'!S95&lt;=18))),'Model inputs'!AM21+('Model inputs'!AM22-'Model inputs'!AM21)*('Model inputs'!S95-12)/6,IF(IF(IF(ISERROR('Model inputs'!S95&lt;=24),'Model inputs'!S95&lt;=24,IF('Model inputs'!S95="","",'Model inputs'!S95&lt;=24))="",FALSE,IF(ISERROR('Model inputs'!S95&lt;=24),'Model inputs'!S95&lt;=24,IF('Model inputs'!S95="","",'Model inputs'!S95&lt;=24))),'Model inputs'!AM22+('Model inputs'!AM23-'Model inputs'!AM22)*('Model inputs'!S95-18)/6,IF(IF(IF(ISERROR('Model inputs'!S95&lt;=30),'Model inputs'!S95&lt;=30,IF('Model inputs'!S95="","",'Model inputs'!S95&lt;=30))="",FALSE,IF(ISERROR('Model inputs'!S95&lt;=30),'Model inputs'!S95&lt;=30,IF('Model inputs'!S95="","",'Model inputs'!S95&lt;=30))),'Model inputs'!AM23+('Model inputs'!AM24-'Model inputs'!AM23)*('Model inputs'!S95-24)/6,IF(IF(IF(ISERROR('Model inputs'!S95&lt;=36),'Model inputs'!S95&lt;=36,IF('Model inputs'!S95="","",'Model inputs'!S95&lt;=36))="",FALSE,IF(ISERROR('Model inputs'!S95&lt;=36),'Model inputs'!S95&lt;=36,IF('Model inputs'!S95="","",'Model inputs'!S95&lt;=36))),'Model inputs'!AM24+('Model inputs'!AM25-'Model inputs'!AM24)*('Model inputs'!S95-30)/6,IF('Model inputs'!AM25="","",'Model inputs'!AM25)))))))))/'Model inputs'!AM9</f>
      </c>
    </row>
    <row r="3548">
      <c r="A3548" t="inlineStr" s="25">
        <is>
          <t xml:space="preserve">Calculation</t>
        </is>
      </c>
      <c r="B3548">
        <f>IF((IF(IF(IF(ISERROR('Model inputs'!T95&lt;=6),'Model inputs'!T95&lt;=6,IF('Model inputs'!T95="","",'Model inputs'!T95&lt;=6))="",FALSE,IF(ISERROR('Model inputs'!T95&lt;=6),'Model inputs'!T95&lt;=6,IF('Model inputs'!T95="","",'Model inputs'!T95&lt;=6))),'Model inputs'!AM20+('Model inputs'!AM26-'Model inputs'!AM20)*('Model inputs'!T95-0)/6,IF(IF(IF(ISERROR('Model inputs'!T95&lt;=12),'Model inputs'!T95&lt;=12,IF('Model inputs'!T95="","",'Model inputs'!T95&lt;=12))="",FALSE,IF(ISERROR('Model inputs'!T95&lt;=12),'Model inputs'!T95&lt;=12,IF('Model inputs'!T95="","",'Model inputs'!T95&lt;=12))),'Model inputs'!AM26+('Model inputs'!AM21-'Model inputs'!AM26)*('Model inputs'!T95-6)/6,IF(IF(IF(ISERROR('Model inputs'!T95&lt;=18),'Model inputs'!T95&lt;=18,IF('Model inputs'!T95="","",'Model inputs'!T95&lt;=18))="",FALSE,IF(ISERROR('Model inputs'!T95&lt;=18),'Model inputs'!T95&lt;=18,IF('Model inputs'!T95="","",'Model inputs'!T95&lt;=18))),'Model inputs'!AM21+('Model inputs'!AM22-'Model inputs'!AM21)*('Model inputs'!T95-12)/6,IF(IF(IF(ISERROR('Model inputs'!T95&lt;=24),'Model inputs'!T95&lt;=24,IF('Model inputs'!T95="","",'Model inputs'!T95&lt;=24))="",FALSE,IF(ISERROR('Model inputs'!T95&lt;=24),'Model inputs'!T95&lt;=24,IF('Model inputs'!T95="","",'Model inputs'!T95&lt;=24))),'Model inputs'!AM22+('Model inputs'!AM23-'Model inputs'!AM22)*('Model inputs'!T95-18)/6,IF(IF(IF(ISERROR('Model inputs'!T95&lt;=30),'Model inputs'!T95&lt;=30,IF('Model inputs'!T95="","",'Model inputs'!T95&lt;=30))="",FALSE,IF(ISERROR('Model inputs'!T95&lt;=30),'Model inputs'!T95&lt;=30,IF('Model inputs'!T95="","",'Model inputs'!T95&lt;=30))),'Model inputs'!AM23+('Model inputs'!AM24-'Model inputs'!AM23)*('Model inputs'!T95-24)/6,IF(IF(IF(ISERROR('Model inputs'!T95&lt;=36),'Model inputs'!T95&lt;=36,IF('Model inputs'!T95="","",'Model inputs'!T95&lt;=36))="",FALSE,IF(ISERROR('Model inputs'!T95&lt;=36),'Model inputs'!T95&lt;=36,IF('Model inputs'!T95="","",'Model inputs'!T95&lt;=36))),'Model inputs'!AM24+('Model inputs'!AM25-'Model inputs'!AM24)*('Model inputs'!T95-30)/6,IF('Model inputs'!AM25="","",'Model inputs'!AM25))))))))="",0,(IF(IF(IF(ISERROR('Model inputs'!T95&lt;=6),'Model inputs'!T95&lt;=6,IF('Model inputs'!T95="","",'Model inputs'!T95&lt;=6))="",FALSE,IF(ISERROR('Model inputs'!T95&lt;=6),'Model inputs'!T95&lt;=6,IF('Model inputs'!T95="","",'Model inputs'!T95&lt;=6))),'Model inputs'!AM20+('Model inputs'!AM26-'Model inputs'!AM20)*('Model inputs'!T95-0)/6,IF(IF(IF(ISERROR('Model inputs'!T95&lt;=12),'Model inputs'!T95&lt;=12,IF('Model inputs'!T95="","",'Model inputs'!T95&lt;=12))="",FALSE,IF(ISERROR('Model inputs'!T95&lt;=12),'Model inputs'!T95&lt;=12,IF('Model inputs'!T95="","",'Model inputs'!T95&lt;=12))),'Model inputs'!AM26+('Model inputs'!AM21-'Model inputs'!AM26)*('Model inputs'!T95-6)/6,IF(IF(IF(ISERROR('Model inputs'!T95&lt;=18),'Model inputs'!T95&lt;=18,IF('Model inputs'!T95="","",'Model inputs'!T95&lt;=18))="",FALSE,IF(ISERROR('Model inputs'!T95&lt;=18),'Model inputs'!T95&lt;=18,IF('Model inputs'!T95="","",'Model inputs'!T95&lt;=18))),'Model inputs'!AM21+('Model inputs'!AM22-'Model inputs'!AM21)*('Model inputs'!T95-12)/6,IF(IF(IF(ISERROR('Model inputs'!T95&lt;=24),'Model inputs'!T95&lt;=24,IF('Model inputs'!T95="","",'Model inputs'!T95&lt;=24))="",FALSE,IF(ISERROR('Model inputs'!T95&lt;=24),'Model inputs'!T95&lt;=24,IF('Model inputs'!T95="","",'Model inputs'!T95&lt;=24))),'Model inputs'!AM22+('Model inputs'!AM23-'Model inputs'!AM22)*('Model inputs'!T95-18)/6,IF(IF(IF(ISERROR('Model inputs'!T95&lt;=30),'Model inputs'!T95&lt;=30,IF('Model inputs'!T95="","",'Model inputs'!T95&lt;=30))="",FALSE,IF(ISERROR('Model inputs'!T95&lt;=30),'Model inputs'!T95&lt;=30,IF('Model inputs'!T95="","",'Model inputs'!T95&lt;=30))),'Model inputs'!AM23+('Model inputs'!AM24-'Model inputs'!AM23)*('Model inputs'!T95-24)/6,IF(IF(IF(ISERROR('Model inputs'!T95&lt;=36),'Model inputs'!T95&lt;=36,IF('Model inputs'!T95="","",'Model inputs'!T95&lt;=36))="",FALSE,IF(ISERROR('Model inputs'!T95&lt;=36),'Model inputs'!T95&lt;=36,IF('Model inputs'!T95="","",'Model inputs'!T95&lt;=36))),'Model inputs'!AM24+('Model inputs'!AM25-'Model inputs'!AM24)*('Model inputs'!T95-30)/6,IF('Model inputs'!AM25="","",'Model inputs'!AM25)))))))))/'Model inputs'!AM9</f>
      </c>
    </row>
    <row r="3549">
      <c r="A3549" t="inlineStr" s="25">
        <is>
          <t xml:space="preserve">Calculation</t>
        </is>
      </c>
      <c r="B3549">
        <f>IF((IF(IF(IF(ISERROR('Model inputs'!U95&lt;=6),'Model inputs'!U95&lt;=6,IF('Model inputs'!U95="","",'Model inputs'!U95&lt;=6))="",FALSE,IF(ISERROR('Model inputs'!U95&lt;=6),'Model inputs'!U95&lt;=6,IF('Model inputs'!U95="","",'Model inputs'!U95&lt;=6))),'Model inputs'!AM20+('Model inputs'!AM26-'Model inputs'!AM20)*('Model inputs'!U95-0)/6,IF(IF(IF(ISERROR('Model inputs'!U95&lt;=12),'Model inputs'!U95&lt;=12,IF('Model inputs'!U95="","",'Model inputs'!U95&lt;=12))="",FALSE,IF(ISERROR('Model inputs'!U95&lt;=12),'Model inputs'!U95&lt;=12,IF('Model inputs'!U95="","",'Model inputs'!U95&lt;=12))),'Model inputs'!AM26+('Model inputs'!AM21-'Model inputs'!AM26)*('Model inputs'!U95-6)/6,IF(IF(IF(ISERROR('Model inputs'!U95&lt;=18),'Model inputs'!U95&lt;=18,IF('Model inputs'!U95="","",'Model inputs'!U95&lt;=18))="",FALSE,IF(ISERROR('Model inputs'!U95&lt;=18),'Model inputs'!U95&lt;=18,IF('Model inputs'!U95="","",'Model inputs'!U95&lt;=18))),'Model inputs'!AM21+('Model inputs'!AM22-'Model inputs'!AM21)*('Model inputs'!U95-12)/6,IF(IF(IF(ISERROR('Model inputs'!U95&lt;=24),'Model inputs'!U95&lt;=24,IF('Model inputs'!U95="","",'Model inputs'!U95&lt;=24))="",FALSE,IF(ISERROR('Model inputs'!U95&lt;=24),'Model inputs'!U95&lt;=24,IF('Model inputs'!U95="","",'Model inputs'!U95&lt;=24))),'Model inputs'!AM22+('Model inputs'!AM23-'Model inputs'!AM22)*('Model inputs'!U95-18)/6,IF(IF(IF(ISERROR('Model inputs'!U95&lt;=30),'Model inputs'!U95&lt;=30,IF('Model inputs'!U95="","",'Model inputs'!U95&lt;=30))="",FALSE,IF(ISERROR('Model inputs'!U95&lt;=30),'Model inputs'!U95&lt;=30,IF('Model inputs'!U95="","",'Model inputs'!U95&lt;=30))),'Model inputs'!AM23+('Model inputs'!AM24-'Model inputs'!AM23)*('Model inputs'!U95-24)/6,IF(IF(IF(ISERROR('Model inputs'!U95&lt;=36),'Model inputs'!U95&lt;=36,IF('Model inputs'!U95="","",'Model inputs'!U95&lt;=36))="",FALSE,IF(ISERROR('Model inputs'!U95&lt;=36),'Model inputs'!U95&lt;=36,IF('Model inputs'!U95="","",'Model inputs'!U95&lt;=36))),'Model inputs'!AM24+('Model inputs'!AM25-'Model inputs'!AM24)*('Model inputs'!U95-30)/6,IF('Model inputs'!AM25="","",'Model inputs'!AM25))))))))="",0,(IF(IF(IF(ISERROR('Model inputs'!U95&lt;=6),'Model inputs'!U95&lt;=6,IF('Model inputs'!U95="","",'Model inputs'!U95&lt;=6))="",FALSE,IF(ISERROR('Model inputs'!U95&lt;=6),'Model inputs'!U95&lt;=6,IF('Model inputs'!U95="","",'Model inputs'!U95&lt;=6))),'Model inputs'!AM20+('Model inputs'!AM26-'Model inputs'!AM20)*('Model inputs'!U95-0)/6,IF(IF(IF(ISERROR('Model inputs'!U95&lt;=12),'Model inputs'!U95&lt;=12,IF('Model inputs'!U95="","",'Model inputs'!U95&lt;=12))="",FALSE,IF(ISERROR('Model inputs'!U95&lt;=12),'Model inputs'!U95&lt;=12,IF('Model inputs'!U95="","",'Model inputs'!U95&lt;=12))),'Model inputs'!AM26+('Model inputs'!AM21-'Model inputs'!AM26)*('Model inputs'!U95-6)/6,IF(IF(IF(ISERROR('Model inputs'!U95&lt;=18),'Model inputs'!U95&lt;=18,IF('Model inputs'!U95="","",'Model inputs'!U95&lt;=18))="",FALSE,IF(ISERROR('Model inputs'!U95&lt;=18),'Model inputs'!U95&lt;=18,IF('Model inputs'!U95="","",'Model inputs'!U95&lt;=18))),'Model inputs'!AM21+('Model inputs'!AM22-'Model inputs'!AM21)*('Model inputs'!U95-12)/6,IF(IF(IF(ISERROR('Model inputs'!U95&lt;=24),'Model inputs'!U95&lt;=24,IF('Model inputs'!U95="","",'Model inputs'!U95&lt;=24))="",FALSE,IF(ISERROR('Model inputs'!U95&lt;=24),'Model inputs'!U95&lt;=24,IF('Model inputs'!U95="","",'Model inputs'!U95&lt;=24))),'Model inputs'!AM22+('Model inputs'!AM23-'Model inputs'!AM22)*('Model inputs'!U95-18)/6,IF(IF(IF(ISERROR('Model inputs'!U95&lt;=30),'Model inputs'!U95&lt;=30,IF('Model inputs'!U95="","",'Model inputs'!U95&lt;=30))="",FALSE,IF(ISERROR('Model inputs'!U95&lt;=30),'Model inputs'!U95&lt;=30,IF('Model inputs'!U95="","",'Model inputs'!U95&lt;=30))),'Model inputs'!AM23+('Model inputs'!AM24-'Model inputs'!AM23)*('Model inputs'!U95-24)/6,IF(IF(IF(ISERROR('Model inputs'!U95&lt;=36),'Model inputs'!U95&lt;=36,IF('Model inputs'!U95="","",'Model inputs'!U95&lt;=36))="",FALSE,IF(ISERROR('Model inputs'!U95&lt;=36),'Model inputs'!U95&lt;=36,IF('Model inputs'!U95="","",'Model inputs'!U95&lt;=36))),'Model inputs'!AM24+('Model inputs'!AM25-'Model inputs'!AM24)*('Model inputs'!U95-30)/6,IF('Model inputs'!AM25="","",'Model inputs'!AM25)))))))))/'Model inputs'!AM9</f>
      </c>
    </row>
    <row r="3550">
      <c r="A3550" t="inlineStr" s="25">
        <is>
          <t xml:space="preserve">Calculation</t>
        </is>
      </c>
      <c r="B3550">
        <f>IF((IF(IF(IF(ISERROR('Model inputs'!V95&lt;=6),'Model inputs'!V95&lt;=6,IF('Model inputs'!V95="","",'Model inputs'!V95&lt;=6))="",FALSE,IF(ISERROR('Model inputs'!V95&lt;=6),'Model inputs'!V95&lt;=6,IF('Model inputs'!V95="","",'Model inputs'!V95&lt;=6))),'Model inputs'!AM20+('Model inputs'!AM26-'Model inputs'!AM20)*('Model inputs'!V95-0)/6,IF(IF(IF(ISERROR('Model inputs'!V95&lt;=12),'Model inputs'!V95&lt;=12,IF('Model inputs'!V95="","",'Model inputs'!V95&lt;=12))="",FALSE,IF(ISERROR('Model inputs'!V95&lt;=12),'Model inputs'!V95&lt;=12,IF('Model inputs'!V95="","",'Model inputs'!V95&lt;=12))),'Model inputs'!AM26+('Model inputs'!AM21-'Model inputs'!AM26)*('Model inputs'!V95-6)/6,IF(IF(IF(ISERROR('Model inputs'!V95&lt;=18),'Model inputs'!V95&lt;=18,IF('Model inputs'!V95="","",'Model inputs'!V95&lt;=18))="",FALSE,IF(ISERROR('Model inputs'!V95&lt;=18),'Model inputs'!V95&lt;=18,IF('Model inputs'!V95="","",'Model inputs'!V95&lt;=18))),'Model inputs'!AM21+('Model inputs'!AM22-'Model inputs'!AM21)*('Model inputs'!V95-12)/6,IF(IF(IF(ISERROR('Model inputs'!V95&lt;=24),'Model inputs'!V95&lt;=24,IF('Model inputs'!V95="","",'Model inputs'!V95&lt;=24))="",FALSE,IF(ISERROR('Model inputs'!V95&lt;=24),'Model inputs'!V95&lt;=24,IF('Model inputs'!V95="","",'Model inputs'!V95&lt;=24))),'Model inputs'!AM22+('Model inputs'!AM23-'Model inputs'!AM22)*('Model inputs'!V95-18)/6,IF(IF(IF(ISERROR('Model inputs'!V95&lt;=30),'Model inputs'!V95&lt;=30,IF('Model inputs'!V95="","",'Model inputs'!V95&lt;=30))="",FALSE,IF(ISERROR('Model inputs'!V95&lt;=30),'Model inputs'!V95&lt;=30,IF('Model inputs'!V95="","",'Model inputs'!V95&lt;=30))),'Model inputs'!AM23+('Model inputs'!AM24-'Model inputs'!AM23)*('Model inputs'!V95-24)/6,IF(IF(IF(ISERROR('Model inputs'!V95&lt;=36),'Model inputs'!V95&lt;=36,IF('Model inputs'!V95="","",'Model inputs'!V95&lt;=36))="",FALSE,IF(ISERROR('Model inputs'!V95&lt;=36),'Model inputs'!V95&lt;=36,IF('Model inputs'!V95="","",'Model inputs'!V95&lt;=36))),'Model inputs'!AM24+('Model inputs'!AM25-'Model inputs'!AM24)*('Model inputs'!V95-30)/6,IF('Model inputs'!AM25="","",'Model inputs'!AM25))))))))="",0,(IF(IF(IF(ISERROR('Model inputs'!V95&lt;=6),'Model inputs'!V95&lt;=6,IF('Model inputs'!V95="","",'Model inputs'!V95&lt;=6))="",FALSE,IF(ISERROR('Model inputs'!V95&lt;=6),'Model inputs'!V95&lt;=6,IF('Model inputs'!V95="","",'Model inputs'!V95&lt;=6))),'Model inputs'!AM20+('Model inputs'!AM26-'Model inputs'!AM20)*('Model inputs'!V95-0)/6,IF(IF(IF(ISERROR('Model inputs'!V95&lt;=12),'Model inputs'!V95&lt;=12,IF('Model inputs'!V95="","",'Model inputs'!V95&lt;=12))="",FALSE,IF(ISERROR('Model inputs'!V95&lt;=12),'Model inputs'!V95&lt;=12,IF('Model inputs'!V95="","",'Model inputs'!V95&lt;=12))),'Model inputs'!AM26+('Model inputs'!AM21-'Model inputs'!AM26)*('Model inputs'!V95-6)/6,IF(IF(IF(ISERROR('Model inputs'!V95&lt;=18),'Model inputs'!V95&lt;=18,IF('Model inputs'!V95="","",'Model inputs'!V95&lt;=18))="",FALSE,IF(ISERROR('Model inputs'!V95&lt;=18),'Model inputs'!V95&lt;=18,IF('Model inputs'!V95="","",'Model inputs'!V95&lt;=18))),'Model inputs'!AM21+('Model inputs'!AM22-'Model inputs'!AM21)*('Model inputs'!V95-12)/6,IF(IF(IF(ISERROR('Model inputs'!V95&lt;=24),'Model inputs'!V95&lt;=24,IF('Model inputs'!V95="","",'Model inputs'!V95&lt;=24))="",FALSE,IF(ISERROR('Model inputs'!V95&lt;=24),'Model inputs'!V95&lt;=24,IF('Model inputs'!V95="","",'Model inputs'!V95&lt;=24))),'Model inputs'!AM22+('Model inputs'!AM23-'Model inputs'!AM22)*('Model inputs'!V95-18)/6,IF(IF(IF(ISERROR('Model inputs'!V95&lt;=30),'Model inputs'!V95&lt;=30,IF('Model inputs'!V95="","",'Model inputs'!V95&lt;=30))="",FALSE,IF(ISERROR('Model inputs'!V95&lt;=30),'Model inputs'!V95&lt;=30,IF('Model inputs'!V95="","",'Model inputs'!V95&lt;=30))),'Model inputs'!AM23+('Model inputs'!AM24-'Model inputs'!AM23)*('Model inputs'!V95-24)/6,IF(IF(IF(ISERROR('Model inputs'!V95&lt;=36),'Model inputs'!V95&lt;=36,IF('Model inputs'!V95="","",'Model inputs'!V95&lt;=36))="",FALSE,IF(ISERROR('Model inputs'!V95&lt;=36),'Model inputs'!V95&lt;=36,IF('Model inputs'!V95="","",'Model inputs'!V95&lt;=36))),'Model inputs'!AM24+('Model inputs'!AM25-'Model inputs'!AM24)*('Model inputs'!V95-30)/6,IF('Model inputs'!AM25="","",'Model inputs'!AM25)))))))))/'Model inputs'!AM9</f>
      </c>
    </row>
    <row r="3551">
      <c r="A3551" t="inlineStr" s="25">
        <is>
          <t xml:space="preserve">Calculation</t>
        </is>
      </c>
      <c r="B3551">
        <f>IF((IF(IF(IF(ISERROR('Model inputs'!W95&lt;=6),'Model inputs'!W95&lt;=6,IF('Model inputs'!W95="","",'Model inputs'!W95&lt;=6))="",FALSE,IF(ISERROR('Model inputs'!W95&lt;=6),'Model inputs'!W95&lt;=6,IF('Model inputs'!W95="","",'Model inputs'!W95&lt;=6))),'Model inputs'!AM20+('Model inputs'!AM26-'Model inputs'!AM20)*('Model inputs'!W95-0)/6,IF(IF(IF(ISERROR('Model inputs'!W95&lt;=12),'Model inputs'!W95&lt;=12,IF('Model inputs'!W95="","",'Model inputs'!W95&lt;=12))="",FALSE,IF(ISERROR('Model inputs'!W95&lt;=12),'Model inputs'!W95&lt;=12,IF('Model inputs'!W95="","",'Model inputs'!W95&lt;=12))),'Model inputs'!AM26+('Model inputs'!AM21-'Model inputs'!AM26)*('Model inputs'!W95-6)/6,IF(IF(IF(ISERROR('Model inputs'!W95&lt;=18),'Model inputs'!W95&lt;=18,IF('Model inputs'!W95="","",'Model inputs'!W95&lt;=18))="",FALSE,IF(ISERROR('Model inputs'!W95&lt;=18),'Model inputs'!W95&lt;=18,IF('Model inputs'!W95="","",'Model inputs'!W95&lt;=18))),'Model inputs'!AM21+('Model inputs'!AM22-'Model inputs'!AM21)*('Model inputs'!W95-12)/6,IF(IF(IF(ISERROR('Model inputs'!W95&lt;=24),'Model inputs'!W95&lt;=24,IF('Model inputs'!W95="","",'Model inputs'!W95&lt;=24))="",FALSE,IF(ISERROR('Model inputs'!W95&lt;=24),'Model inputs'!W95&lt;=24,IF('Model inputs'!W95="","",'Model inputs'!W95&lt;=24))),'Model inputs'!AM22+('Model inputs'!AM23-'Model inputs'!AM22)*('Model inputs'!W95-18)/6,IF(IF(IF(ISERROR('Model inputs'!W95&lt;=30),'Model inputs'!W95&lt;=30,IF('Model inputs'!W95="","",'Model inputs'!W95&lt;=30))="",FALSE,IF(ISERROR('Model inputs'!W95&lt;=30),'Model inputs'!W95&lt;=30,IF('Model inputs'!W95="","",'Model inputs'!W95&lt;=30))),'Model inputs'!AM23+('Model inputs'!AM24-'Model inputs'!AM23)*('Model inputs'!W95-24)/6,IF(IF(IF(ISERROR('Model inputs'!W95&lt;=36),'Model inputs'!W95&lt;=36,IF('Model inputs'!W95="","",'Model inputs'!W95&lt;=36))="",FALSE,IF(ISERROR('Model inputs'!W95&lt;=36),'Model inputs'!W95&lt;=36,IF('Model inputs'!W95="","",'Model inputs'!W95&lt;=36))),'Model inputs'!AM24+('Model inputs'!AM25-'Model inputs'!AM24)*('Model inputs'!W95-30)/6,IF('Model inputs'!AM25="","",'Model inputs'!AM25))))))))="",0,(IF(IF(IF(ISERROR('Model inputs'!W95&lt;=6),'Model inputs'!W95&lt;=6,IF('Model inputs'!W95="","",'Model inputs'!W95&lt;=6))="",FALSE,IF(ISERROR('Model inputs'!W95&lt;=6),'Model inputs'!W95&lt;=6,IF('Model inputs'!W95="","",'Model inputs'!W95&lt;=6))),'Model inputs'!AM20+('Model inputs'!AM26-'Model inputs'!AM20)*('Model inputs'!W95-0)/6,IF(IF(IF(ISERROR('Model inputs'!W95&lt;=12),'Model inputs'!W95&lt;=12,IF('Model inputs'!W95="","",'Model inputs'!W95&lt;=12))="",FALSE,IF(ISERROR('Model inputs'!W95&lt;=12),'Model inputs'!W95&lt;=12,IF('Model inputs'!W95="","",'Model inputs'!W95&lt;=12))),'Model inputs'!AM26+('Model inputs'!AM21-'Model inputs'!AM26)*('Model inputs'!W95-6)/6,IF(IF(IF(ISERROR('Model inputs'!W95&lt;=18),'Model inputs'!W95&lt;=18,IF('Model inputs'!W95="","",'Model inputs'!W95&lt;=18))="",FALSE,IF(ISERROR('Model inputs'!W95&lt;=18),'Model inputs'!W95&lt;=18,IF('Model inputs'!W95="","",'Model inputs'!W95&lt;=18))),'Model inputs'!AM21+('Model inputs'!AM22-'Model inputs'!AM21)*('Model inputs'!W95-12)/6,IF(IF(IF(ISERROR('Model inputs'!W95&lt;=24),'Model inputs'!W95&lt;=24,IF('Model inputs'!W95="","",'Model inputs'!W95&lt;=24))="",FALSE,IF(ISERROR('Model inputs'!W95&lt;=24),'Model inputs'!W95&lt;=24,IF('Model inputs'!W95="","",'Model inputs'!W95&lt;=24))),'Model inputs'!AM22+('Model inputs'!AM23-'Model inputs'!AM22)*('Model inputs'!W95-18)/6,IF(IF(IF(ISERROR('Model inputs'!W95&lt;=30),'Model inputs'!W95&lt;=30,IF('Model inputs'!W95="","",'Model inputs'!W95&lt;=30))="",FALSE,IF(ISERROR('Model inputs'!W95&lt;=30),'Model inputs'!W95&lt;=30,IF('Model inputs'!W95="","",'Model inputs'!W95&lt;=30))),'Model inputs'!AM23+('Model inputs'!AM24-'Model inputs'!AM23)*('Model inputs'!W95-24)/6,IF(IF(IF(ISERROR('Model inputs'!W95&lt;=36),'Model inputs'!W95&lt;=36,IF('Model inputs'!W95="","",'Model inputs'!W95&lt;=36))="",FALSE,IF(ISERROR('Model inputs'!W95&lt;=36),'Model inputs'!W95&lt;=36,IF('Model inputs'!W95="","",'Model inputs'!W95&lt;=36))),'Model inputs'!AM24+('Model inputs'!AM25-'Model inputs'!AM24)*('Model inputs'!W95-30)/6,IF('Model inputs'!AM25="","",'Model inputs'!AM25)))))))))/'Model inputs'!AM9</f>
      </c>
    </row>
    <row r="3552">
      <c r="A3552" t="inlineStr" s="25">
        <is>
          <t xml:space="preserve">Calculation</t>
        </is>
      </c>
      <c r="B3552">
        <f>IF((IF(IF(IF(ISERROR('Model inputs'!X95&lt;=6),'Model inputs'!X95&lt;=6,IF('Model inputs'!X95="","",'Model inputs'!X95&lt;=6))="",FALSE,IF(ISERROR('Model inputs'!X95&lt;=6),'Model inputs'!X95&lt;=6,IF('Model inputs'!X95="","",'Model inputs'!X95&lt;=6))),'Model inputs'!AM20+('Model inputs'!AM26-'Model inputs'!AM20)*('Model inputs'!X95-0)/6,IF(IF(IF(ISERROR('Model inputs'!X95&lt;=12),'Model inputs'!X95&lt;=12,IF('Model inputs'!X95="","",'Model inputs'!X95&lt;=12))="",FALSE,IF(ISERROR('Model inputs'!X95&lt;=12),'Model inputs'!X95&lt;=12,IF('Model inputs'!X95="","",'Model inputs'!X95&lt;=12))),'Model inputs'!AM26+('Model inputs'!AM21-'Model inputs'!AM26)*('Model inputs'!X95-6)/6,IF(IF(IF(ISERROR('Model inputs'!X95&lt;=18),'Model inputs'!X95&lt;=18,IF('Model inputs'!X95="","",'Model inputs'!X95&lt;=18))="",FALSE,IF(ISERROR('Model inputs'!X95&lt;=18),'Model inputs'!X95&lt;=18,IF('Model inputs'!X95="","",'Model inputs'!X95&lt;=18))),'Model inputs'!AM21+('Model inputs'!AM22-'Model inputs'!AM21)*('Model inputs'!X95-12)/6,IF(IF(IF(ISERROR('Model inputs'!X95&lt;=24),'Model inputs'!X95&lt;=24,IF('Model inputs'!X95="","",'Model inputs'!X95&lt;=24))="",FALSE,IF(ISERROR('Model inputs'!X95&lt;=24),'Model inputs'!X95&lt;=24,IF('Model inputs'!X95="","",'Model inputs'!X95&lt;=24))),'Model inputs'!AM22+('Model inputs'!AM23-'Model inputs'!AM22)*('Model inputs'!X95-18)/6,IF(IF(IF(ISERROR('Model inputs'!X95&lt;=30),'Model inputs'!X95&lt;=30,IF('Model inputs'!X95="","",'Model inputs'!X95&lt;=30))="",FALSE,IF(ISERROR('Model inputs'!X95&lt;=30),'Model inputs'!X95&lt;=30,IF('Model inputs'!X95="","",'Model inputs'!X95&lt;=30))),'Model inputs'!AM23+('Model inputs'!AM24-'Model inputs'!AM23)*('Model inputs'!X95-24)/6,IF(IF(IF(ISERROR('Model inputs'!X95&lt;=36),'Model inputs'!X95&lt;=36,IF('Model inputs'!X95="","",'Model inputs'!X95&lt;=36))="",FALSE,IF(ISERROR('Model inputs'!X95&lt;=36),'Model inputs'!X95&lt;=36,IF('Model inputs'!X95="","",'Model inputs'!X95&lt;=36))),'Model inputs'!AM24+('Model inputs'!AM25-'Model inputs'!AM24)*('Model inputs'!X95-30)/6,IF('Model inputs'!AM25="","",'Model inputs'!AM25))))))))="",0,(IF(IF(IF(ISERROR('Model inputs'!X95&lt;=6),'Model inputs'!X95&lt;=6,IF('Model inputs'!X95="","",'Model inputs'!X95&lt;=6))="",FALSE,IF(ISERROR('Model inputs'!X95&lt;=6),'Model inputs'!X95&lt;=6,IF('Model inputs'!X95="","",'Model inputs'!X95&lt;=6))),'Model inputs'!AM20+('Model inputs'!AM26-'Model inputs'!AM20)*('Model inputs'!X95-0)/6,IF(IF(IF(ISERROR('Model inputs'!X95&lt;=12),'Model inputs'!X95&lt;=12,IF('Model inputs'!X95="","",'Model inputs'!X95&lt;=12))="",FALSE,IF(ISERROR('Model inputs'!X95&lt;=12),'Model inputs'!X95&lt;=12,IF('Model inputs'!X95="","",'Model inputs'!X95&lt;=12))),'Model inputs'!AM26+('Model inputs'!AM21-'Model inputs'!AM26)*('Model inputs'!X95-6)/6,IF(IF(IF(ISERROR('Model inputs'!X95&lt;=18),'Model inputs'!X95&lt;=18,IF('Model inputs'!X95="","",'Model inputs'!X95&lt;=18))="",FALSE,IF(ISERROR('Model inputs'!X95&lt;=18),'Model inputs'!X95&lt;=18,IF('Model inputs'!X95="","",'Model inputs'!X95&lt;=18))),'Model inputs'!AM21+('Model inputs'!AM22-'Model inputs'!AM21)*('Model inputs'!X95-12)/6,IF(IF(IF(ISERROR('Model inputs'!X95&lt;=24),'Model inputs'!X95&lt;=24,IF('Model inputs'!X95="","",'Model inputs'!X95&lt;=24))="",FALSE,IF(ISERROR('Model inputs'!X95&lt;=24),'Model inputs'!X95&lt;=24,IF('Model inputs'!X95="","",'Model inputs'!X95&lt;=24))),'Model inputs'!AM22+('Model inputs'!AM23-'Model inputs'!AM22)*('Model inputs'!X95-18)/6,IF(IF(IF(ISERROR('Model inputs'!X95&lt;=30),'Model inputs'!X95&lt;=30,IF('Model inputs'!X95="","",'Model inputs'!X95&lt;=30))="",FALSE,IF(ISERROR('Model inputs'!X95&lt;=30),'Model inputs'!X95&lt;=30,IF('Model inputs'!X95="","",'Model inputs'!X95&lt;=30))),'Model inputs'!AM23+('Model inputs'!AM24-'Model inputs'!AM23)*('Model inputs'!X95-24)/6,IF(IF(IF(ISERROR('Model inputs'!X95&lt;=36),'Model inputs'!X95&lt;=36,IF('Model inputs'!X95="","",'Model inputs'!X95&lt;=36))="",FALSE,IF(ISERROR('Model inputs'!X95&lt;=36),'Model inputs'!X95&lt;=36,IF('Model inputs'!X95="","",'Model inputs'!X95&lt;=36))),'Model inputs'!AM24+('Model inputs'!AM25-'Model inputs'!AM24)*('Model inputs'!X95-30)/6,IF('Model inputs'!AM25="","",'Model inputs'!AM25)))))))))/'Model inputs'!AM9</f>
      </c>
    </row>
    <row r="3553">
      <c r="A3553" t="inlineStr" s="25">
        <is>
          <t xml:space="preserve">Calculation</t>
        </is>
      </c>
      <c r="B3553">
        <f>IF((IF(IF(IF(ISERROR('Model inputs'!Y95&lt;=6),'Model inputs'!Y95&lt;=6,IF('Model inputs'!Y95="","",'Model inputs'!Y95&lt;=6))="",FALSE,IF(ISERROR('Model inputs'!Y95&lt;=6),'Model inputs'!Y95&lt;=6,IF('Model inputs'!Y95="","",'Model inputs'!Y95&lt;=6))),'Model inputs'!AM20+('Model inputs'!AM26-'Model inputs'!AM20)*('Model inputs'!Y95-0)/6,IF(IF(IF(ISERROR('Model inputs'!Y95&lt;=12),'Model inputs'!Y95&lt;=12,IF('Model inputs'!Y95="","",'Model inputs'!Y95&lt;=12))="",FALSE,IF(ISERROR('Model inputs'!Y95&lt;=12),'Model inputs'!Y95&lt;=12,IF('Model inputs'!Y95="","",'Model inputs'!Y95&lt;=12))),'Model inputs'!AM26+('Model inputs'!AM21-'Model inputs'!AM26)*('Model inputs'!Y95-6)/6,IF(IF(IF(ISERROR('Model inputs'!Y95&lt;=18),'Model inputs'!Y95&lt;=18,IF('Model inputs'!Y95="","",'Model inputs'!Y95&lt;=18))="",FALSE,IF(ISERROR('Model inputs'!Y95&lt;=18),'Model inputs'!Y95&lt;=18,IF('Model inputs'!Y95="","",'Model inputs'!Y95&lt;=18))),'Model inputs'!AM21+('Model inputs'!AM22-'Model inputs'!AM21)*('Model inputs'!Y95-12)/6,IF(IF(IF(ISERROR('Model inputs'!Y95&lt;=24),'Model inputs'!Y95&lt;=24,IF('Model inputs'!Y95="","",'Model inputs'!Y95&lt;=24))="",FALSE,IF(ISERROR('Model inputs'!Y95&lt;=24),'Model inputs'!Y95&lt;=24,IF('Model inputs'!Y95="","",'Model inputs'!Y95&lt;=24))),'Model inputs'!AM22+('Model inputs'!AM23-'Model inputs'!AM22)*('Model inputs'!Y95-18)/6,IF(IF(IF(ISERROR('Model inputs'!Y95&lt;=30),'Model inputs'!Y95&lt;=30,IF('Model inputs'!Y95="","",'Model inputs'!Y95&lt;=30))="",FALSE,IF(ISERROR('Model inputs'!Y95&lt;=30),'Model inputs'!Y95&lt;=30,IF('Model inputs'!Y95="","",'Model inputs'!Y95&lt;=30))),'Model inputs'!AM23+('Model inputs'!AM24-'Model inputs'!AM23)*('Model inputs'!Y95-24)/6,IF(IF(IF(ISERROR('Model inputs'!Y95&lt;=36),'Model inputs'!Y95&lt;=36,IF('Model inputs'!Y95="","",'Model inputs'!Y95&lt;=36))="",FALSE,IF(ISERROR('Model inputs'!Y95&lt;=36),'Model inputs'!Y95&lt;=36,IF('Model inputs'!Y95="","",'Model inputs'!Y95&lt;=36))),'Model inputs'!AM24+('Model inputs'!AM25-'Model inputs'!AM24)*('Model inputs'!Y95-30)/6,IF('Model inputs'!AM25="","",'Model inputs'!AM25))))))))="",0,(IF(IF(IF(ISERROR('Model inputs'!Y95&lt;=6),'Model inputs'!Y95&lt;=6,IF('Model inputs'!Y95="","",'Model inputs'!Y95&lt;=6))="",FALSE,IF(ISERROR('Model inputs'!Y95&lt;=6),'Model inputs'!Y95&lt;=6,IF('Model inputs'!Y95="","",'Model inputs'!Y95&lt;=6))),'Model inputs'!AM20+('Model inputs'!AM26-'Model inputs'!AM20)*('Model inputs'!Y95-0)/6,IF(IF(IF(ISERROR('Model inputs'!Y95&lt;=12),'Model inputs'!Y95&lt;=12,IF('Model inputs'!Y95="","",'Model inputs'!Y95&lt;=12))="",FALSE,IF(ISERROR('Model inputs'!Y95&lt;=12),'Model inputs'!Y95&lt;=12,IF('Model inputs'!Y95="","",'Model inputs'!Y95&lt;=12))),'Model inputs'!AM26+('Model inputs'!AM21-'Model inputs'!AM26)*('Model inputs'!Y95-6)/6,IF(IF(IF(ISERROR('Model inputs'!Y95&lt;=18),'Model inputs'!Y95&lt;=18,IF('Model inputs'!Y95="","",'Model inputs'!Y95&lt;=18))="",FALSE,IF(ISERROR('Model inputs'!Y95&lt;=18),'Model inputs'!Y95&lt;=18,IF('Model inputs'!Y95="","",'Model inputs'!Y95&lt;=18))),'Model inputs'!AM21+('Model inputs'!AM22-'Model inputs'!AM21)*('Model inputs'!Y95-12)/6,IF(IF(IF(ISERROR('Model inputs'!Y95&lt;=24),'Model inputs'!Y95&lt;=24,IF('Model inputs'!Y95="","",'Model inputs'!Y95&lt;=24))="",FALSE,IF(ISERROR('Model inputs'!Y95&lt;=24),'Model inputs'!Y95&lt;=24,IF('Model inputs'!Y95="","",'Model inputs'!Y95&lt;=24))),'Model inputs'!AM22+('Model inputs'!AM23-'Model inputs'!AM22)*('Model inputs'!Y95-18)/6,IF(IF(IF(ISERROR('Model inputs'!Y95&lt;=30),'Model inputs'!Y95&lt;=30,IF('Model inputs'!Y95="","",'Model inputs'!Y95&lt;=30))="",FALSE,IF(ISERROR('Model inputs'!Y95&lt;=30),'Model inputs'!Y95&lt;=30,IF('Model inputs'!Y95="","",'Model inputs'!Y95&lt;=30))),'Model inputs'!AM23+('Model inputs'!AM24-'Model inputs'!AM23)*('Model inputs'!Y95-24)/6,IF(IF(IF(ISERROR('Model inputs'!Y95&lt;=36),'Model inputs'!Y95&lt;=36,IF('Model inputs'!Y95="","",'Model inputs'!Y95&lt;=36))="",FALSE,IF(ISERROR('Model inputs'!Y95&lt;=36),'Model inputs'!Y95&lt;=36,IF('Model inputs'!Y95="","",'Model inputs'!Y95&lt;=36))),'Model inputs'!AM24+('Model inputs'!AM25-'Model inputs'!AM24)*('Model inputs'!Y95-30)/6,IF('Model inputs'!AM25="","",'Model inputs'!AM25)))))))))/'Model inputs'!AM9</f>
      </c>
    </row>
    <row r="3554">
      <c r="A3554" t="inlineStr" s="25">
        <is>
          <t xml:space="preserve">Calculation</t>
        </is>
      </c>
      <c r="B3554">
        <f>IF((IF(IF(IF(ISERROR('Model inputs'!Z95&lt;=6),'Model inputs'!Z95&lt;=6,IF('Model inputs'!Z95="","",'Model inputs'!Z95&lt;=6))="",FALSE,IF(ISERROR('Model inputs'!Z95&lt;=6),'Model inputs'!Z95&lt;=6,IF('Model inputs'!Z95="","",'Model inputs'!Z95&lt;=6))),'Model inputs'!AM20+('Model inputs'!AM26-'Model inputs'!AM20)*('Model inputs'!Z95-0)/6,IF(IF(IF(ISERROR('Model inputs'!Z95&lt;=12),'Model inputs'!Z95&lt;=12,IF('Model inputs'!Z95="","",'Model inputs'!Z95&lt;=12))="",FALSE,IF(ISERROR('Model inputs'!Z95&lt;=12),'Model inputs'!Z95&lt;=12,IF('Model inputs'!Z95="","",'Model inputs'!Z95&lt;=12))),'Model inputs'!AM26+('Model inputs'!AM21-'Model inputs'!AM26)*('Model inputs'!Z95-6)/6,IF(IF(IF(ISERROR('Model inputs'!Z95&lt;=18),'Model inputs'!Z95&lt;=18,IF('Model inputs'!Z95="","",'Model inputs'!Z95&lt;=18))="",FALSE,IF(ISERROR('Model inputs'!Z95&lt;=18),'Model inputs'!Z95&lt;=18,IF('Model inputs'!Z95="","",'Model inputs'!Z95&lt;=18))),'Model inputs'!AM21+('Model inputs'!AM22-'Model inputs'!AM21)*('Model inputs'!Z95-12)/6,IF(IF(IF(ISERROR('Model inputs'!Z95&lt;=24),'Model inputs'!Z95&lt;=24,IF('Model inputs'!Z95="","",'Model inputs'!Z95&lt;=24))="",FALSE,IF(ISERROR('Model inputs'!Z95&lt;=24),'Model inputs'!Z95&lt;=24,IF('Model inputs'!Z95="","",'Model inputs'!Z95&lt;=24))),'Model inputs'!AM22+('Model inputs'!AM23-'Model inputs'!AM22)*('Model inputs'!Z95-18)/6,IF(IF(IF(ISERROR('Model inputs'!Z95&lt;=30),'Model inputs'!Z95&lt;=30,IF('Model inputs'!Z95="","",'Model inputs'!Z95&lt;=30))="",FALSE,IF(ISERROR('Model inputs'!Z95&lt;=30),'Model inputs'!Z95&lt;=30,IF('Model inputs'!Z95="","",'Model inputs'!Z95&lt;=30))),'Model inputs'!AM23+('Model inputs'!AM24-'Model inputs'!AM23)*('Model inputs'!Z95-24)/6,IF(IF(IF(ISERROR('Model inputs'!Z95&lt;=36),'Model inputs'!Z95&lt;=36,IF('Model inputs'!Z95="","",'Model inputs'!Z95&lt;=36))="",FALSE,IF(ISERROR('Model inputs'!Z95&lt;=36),'Model inputs'!Z95&lt;=36,IF('Model inputs'!Z95="","",'Model inputs'!Z95&lt;=36))),'Model inputs'!AM24+('Model inputs'!AM25-'Model inputs'!AM24)*('Model inputs'!Z95-30)/6,IF('Model inputs'!AM25="","",'Model inputs'!AM25))))))))="",0,(IF(IF(IF(ISERROR('Model inputs'!Z95&lt;=6),'Model inputs'!Z95&lt;=6,IF('Model inputs'!Z95="","",'Model inputs'!Z95&lt;=6))="",FALSE,IF(ISERROR('Model inputs'!Z95&lt;=6),'Model inputs'!Z95&lt;=6,IF('Model inputs'!Z95="","",'Model inputs'!Z95&lt;=6))),'Model inputs'!AM20+('Model inputs'!AM26-'Model inputs'!AM20)*('Model inputs'!Z95-0)/6,IF(IF(IF(ISERROR('Model inputs'!Z95&lt;=12),'Model inputs'!Z95&lt;=12,IF('Model inputs'!Z95="","",'Model inputs'!Z95&lt;=12))="",FALSE,IF(ISERROR('Model inputs'!Z95&lt;=12),'Model inputs'!Z95&lt;=12,IF('Model inputs'!Z95="","",'Model inputs'!Z95&lt;=12))),'Model inputs'!AM26+('Model inputs'!AM21-'Model inputs'!AM26)*('Model inputs'!Z95-6)/6,IF(IF(IF(ISERROR('Model inputs'!Z95&lt;=18),'Model inputs'!Z95&lt;=18,IF('Model inputs'!Z95="","",'Model inputs'!Z95&lt;=18))="",FALSE,IF(ISERROR('Model inputs'!Z95&lt;=18),'Model inputs'!Z95&lt;=18,IF('Model inputs'!Z95="","",'Model inputs'!Z95&lt;=18))),'Model inputs'!AM21+('Model inputs'!AM22-'Model inputs'!AM21)*('Model inputs'!Z95-12)/6,IF(IF(IF(ISERROR('Model inputs'!Z95&lt;=24),'Model inputs'!Z95&lt;=24,IF('Model inputs'!Z95="","",'Model inputs'!Z95&lt;=24))="",FALSE,IF(ISERROR('Model inputs'!Z95&lt;=24),'Model inputs'!Z95&lt;=24,IF('Model inputs'!Z95="","",'Model inputs'!Z95&lt;=24))),'Model inputs'!AM22+('Model inputs'!AM23-'Model inputs'!AM22)*('Model inputs'!Z95-18)/6,IF(IF(IF(ISERROR('Model inputs'!Z95&lt;=30),'Model inputs'!Z95&lt;=30,IF('Model inputs'!Z95="","",'Model inputs'!Z95&lt;=30))="",FALSE,IF(ISERROR('Model inputs'!Z95&lt;=30),'Model inputs'!Z95&lt;=30,IF('Model inputs'!Z95="","",'Model inputs'!Z95&lt;=30))),'Model inputs'!AM23+('Model inputs'!AM24-'Model inputs'!AM23)*('Model inputs'!Z95-24)/6,IF(IF(IF(ISERROR('Model inputs'!Z95&lt;=36),'Model inputs'!Z95&lt;=36,IF('Model inputs'!Z95="","",'Model inputs'!Z95&lt;=36))="",FALSE,IF(ISERROR('Model inputs'!Z95&lt;=36),'Model inputs'!Z95&lt;=36,IF('Model inputs'!Z95="","",'Model inputs'!Z95&lt;=36))),'Model inputs'!AM24+('Model inputs'!AM25-'Model inputs'!AM24)*('Model inputs'!Z95-30)/6,IF('Model inputs'!AM25="","",'Model inputs'!AM25)))))))))/'Model inputs'!AM9</f>
      </c>
    </row>
    <row r="3555">
      <c r="A3555" t="inlineStr" s="25">
        <is>
          <t xml:space="preserve">Calculation</t>
        </is>
      </c>
      <c r="B3555">
        <f>IF((IF(IF(IF(ISERROR('Model inputs'!AA95&lt;=6),'Model inputs'!AA95&lt;=6,IF('Model inputs'!AA95="","",'Model inputs'!AA95&lt;=6))="",FALSE,IF(ISERROR('Model inputs'!AA95&lt;=6),'Model inputs'!AA95&lt;=6,IF('Model inputs'!AA95="","",'Model inputs'!AA95&lt;=6))),'Model inputs'!AM20+('Model inputs'!AM26-'Model inputs'!AM20)*('Model inputs'!AA95-0)/6,IF(IF(IF(ISERROR('Model inputs'!AA95&lt;=12),'Model inputs'!AA95&lt;=12,IF('Model inputs'!AA95="","",'Model inputs'!AA95&lt;=12))="",FALSE,IF(ISERROR('Model inputs'!AA95&lt;=12),'Model inputs'!AA95&lt;=12,IF('Model inputs'!AA95="","",'Model inputs'!AA95&lt;=12))),'Model inputs'!AM26+('Model inputs'!AM21-'Model inputs'!AM26)*('Model inputs'!AA95-6)/6,IF(IF(IF(ISERROR('Model inputs'!AA95&lt;=18),'Model inputs'!AA95&lt;=18,IF('Model inputs'!AA95="","",'Model inputs'!AA95&lt;=18))="",FALSE,IF(ISERROR('Model inputs'!AA95&lt;=18),'Model inputs'!AA95&lt;=18,IF('Model inputs'!AA95="","",'Model inputs'!AA95&lt;=18))),'Model inputs'!AM21+('Model inputs'!AM22-'Model inputs'!AM21)*('Model inputs'!AA95-12)/6,IF(IF(IF(ISERROR('Model inputs'!AA95&lt;=24),'Model inputs'!AA95&lt;=24,IF('Model inputs'!AA95="","",'Model inputs'!AA95&lt;=24))="",FALSE,IF(ISERROR('Model inputs'!AA95&lt;=24),'Model inputs'!AA95&lt;=24,IF('Model inputs'!AA95="","",'Model inputs'!AA95&lt;=24))),'Model inputs'!AM22+('Model inputs'!AM23-'Model inputs'!AM22)*('Model inputs'!AA95-18)/6,IF(IF(IF(ISERROR('Model inputs'!AA95&lt;=30),'Model inputs'!AA95&lt;=30,IF('Model inputs'!AA95="","",'Model inputs'!AA95&lt;=30))="",FALSE,IF(ISERROR('Model inputs'!AA95&lt;=30),'Model inputs'!AA95&lt;=30,IF('Model inputs'!AA95="","",'Model inputs'!AA95&lt;=30))),'Model inputs'!AM23+('Model inputs'!AM24-'Model inputs'!AM23)*('Model inputs'!AA95-24)/6,IF(IF(IF(ISERROR('Model inputs'!AA95&lt;=36),'Model inputs'!AA95&lt;=36,IF('Model inputs'!AA95="","",'Model inputs'!AA95&lt;=36))="",FALSE,IF(ISERROR('Model inputs'!AA95&lt;=36),'Model inputs'!AA95&lt;=36,IF('Model inputs'!AA95="","",'Model inputs'!AA95&lt;=36))),'Model inputs'!AM24+('Model inputs'!AM25-'Model inputs'!AM24)*('Model inputs'!AA95-30)/6,IF('Model inputs'!AM25="","",'Model inputs'!AM25))))))))="",0,(IF(IF(IF(ISERROR('Model inputs'!AA95&lt;=6),'Model inputs'!AA95&lt;=6,IF('Model inputs'!AA95="","",'Model inputs'!AA95&lt;=6))="",FALSE,IF(ISERROR('Model inputs'!AA95&lt;=6),'Model inputs'!AA95&lt;=6,IF('Model inputs'!AA95="","",'Model inputs'!AA95&lt;=6))),'Model inputs'!AM20+('Model inputs'!AM26-'Model inputs'!AM20)*('Model inputs'!AA95-0)/6,IF(IF(IF(ISERROR('Model inputs'!AA95&lt;=12),'Model inputs'!AA95&lt;=12,IF('Model inputs'!AA95="","",'Model inputs'!AA95&lt;=12))="",FALSE,IF(ISERROR('Model inputs'!AA95&lt;=12),'Model inputs'!AA95&lt;=12,IF('Model inputs'!AA95="","",'Model inputs'!AA95&lt;=12))),'Model inputs'!AM26+('Model inputs'!AM21-'Model inputs'!AM26)*('Model inputs'!AA95-6)/6,IF(IF(IF(ISERROR('Model inputs'!AA95&lt;=18),'Model inputs'!AA95&lt;=18,IF('Model inputs'!AA95="","",'Model inputs'!AA95&lt;=18))="",FALSE,IF(ISERROR('Model inputs'!AA95&lt;=18),'Model inputs'!AA95&lt;=18,IF('Model inputs'!AA95="","",'Model inputs'!AA95&lt;=18))),'Model inputs'!AM21+('Model inputs'!AM22-'Model inputs'!AM21)*('Model inputs'!AA95-12)/6,IF(IF(IF(ISERROR('Model inputs'!AA95&lt;=24),'Model inputs'!AA95&lt;=24,IF('Model inputs'!AA95="","",'Model inputs'!AA95&lt;=24))="",FALSE,IF(ISERROR('Model inputs'!AA95&lt;=24),'Model inputs'!AA95&lt;=24,IF('Model inputs'!AA95="","",'Model inputs'!AA95&lt;=24))),'Model inputs'!AM22+('Model inputs'!AM23-'Model inputs'!AM22)*('Model inputs'!AA95-18)/6,IF(IF(IF(ISERROR('Model inputs'!AA95&lt;=30),'Model inputs'!AA95&lt;=30,IF('Model inputs'!AA95="","",'Model inputs'!AA95&lt;=30))="",FALSE,IF(ISERROR('Model inputs'!AA95&lt;=30),'Model inputs'!AA95&lt;=30,IF('Model inputs'!AA95="","",'Model inputs'!AA95&lt;=30))),'Model inputs'!AM23+('Model inputs'!AM24-'Model inputs'!AM23)*('Model inputs'!AA95-24)/6,IF(IF(IF(ISERROR('Model inputs'!AA95&lt;=36),'Model inputs'!AA95&lt;=36,IF('Model inputs'!AA95="","",'Model inputs'!AA95&lt;=36))="",FALSE,IF(ISERROR('Model inputs'!AA95&lt;=36),'Model inputs'!AA95&lt;=36,IF('Model inputs'!AA95="","",'Model inputs'!AA95&lt;=36))),'Model inputs'!AM24+('Model inputs'!AM25-'Model inputs'!AM24)*('Model inputs'!AA95-30)/6,IF('Model inputs'!AM25="","",'Model inputs'!AM25)))))))))/'Model inputs'!AM9</f>
      </c>
    </row>
    <row r="3556">
      <c r="A3556" t="inlineStr" s="25">
        <is>
          <t xml:space="preserve">Calculation</t>
        </is>
      </c>
      <c r="B3556">
        <f>IF((IF(IF(IF(ISERROR('Model inputs'!AB95&lt;=6),'Model inputs'!AB95&lt;=6,IF('Model inputs'!AB95="","",'Model inputs'!AB95&lt;=6))="",FALSE,IF(ISERROR('Model inputs'!AB95&lt;=6),'Model inputs'!AB95&lt;=6,IF('Model inputs'!AB95="","",'Model inputs'!AB95&lt;=6))),'Model inputs'!AM20+('Model inputs'!AM26-'Model inputs'!AM20)*('Model inputs'!AB95-0)/6,IF(IF(IF(ISERROR('Model inputs'!AB95&lt;=12),'Model inputs'!AB95&lt;=12,IF('Model inputs'!AB95="","",'Model inputs'!AB95&lt;=12))="",FALSE,IF(ISERROR('Model inputs'!AB95&lt;=12),'Model inputs'!AB95&lt;=12,IF('Model inputs'!AB95="","",'Model inputs'!AB95&lt;=12))),'Model inputs'!AM26+('Model inputs'!AM21-'Model inputs'!AM26)*('Model inputs'!AB95-6)/6,IF(IF(IF(ISERROR('Model inputs'!AB95&lt;=18),'Model inputs'!AB95&lt;=18,IF('Model inputs'!AB95="","",'Model inputs'!AB95&lt;=18))="",FALSE,IF(ISERROR('Model inputs'!AB95&lt;=18),'Model inputs'!AB95&lt;=18,IF('Model inputs'!AB95="","",'Model inputs'!AB95&lt;=18))),'Model inputs'!AM21+('Model inputs'!AM22-'Model inputs'!AM21)*('Model inputs'!AB95-12)/6,IF(IF(IF(ISERROR('Model inputs'!AB95&lt;=24),'Model inputs'!AB95&lt;=24,IF('Model inputs'!AB95="","",'Model inputs'!AB95&lt;=24))="",FALSE,IF(ISERROR('Model inputs'!AB95&lt;=24),'Model inputs'!AB95&lt;=24,IF('Model inputs'!AB95="","",'Model inputs'!AB95&lt;=24))),'Model inputs'!AM22+('Model inputs'!AM23-'Model inputs'!AM22)*('Model inputs'!AB95-18)/6,IF(IF(IF(ISERROR('Model inputs'!AB95&lt;=30),'Model inputs'!AB95&lt;=30,IF('Model inputs'!AB95="","",'Model inputs'!AB95&lt;=30))="",FALSE,IF(ISERROR('Model inputs'!AB95&lt;=30),'Model inputs'!AB95&lt;=30,IF('Model inputs'!AB95="","",'Model inputs'!AB95&lt;=30))),'Model inputs'!AM23+('Model inputs'!AM24-'Model inputs'!AM23)*('Model inputs'!AB95-24)/6,IF(IF(IF(ISERROR('Model inputs'!AB95&lt;=36),'Model inputs'!AB95&lt;=36,IF('Model inputs'!AB95="","",'Model inputs'!AB95&lt;=36))="",FALSE,IF(ISERROR('Model inputs'!AB95&lt;=36),'Model inputs'!AB95&lt;=36,IF('Model inputs'!AB95="","",'Model inputs'!AB95&lt;=36))),'Model inputs'!AM24+('Model inputs'!AM25-'Model inputs'!AM24)*('Model inputs'!AB95-30)/6,IF('Model inputs'!AM25="","",'Model inputs'!AM25))))))))="",0,(IF(IF(IF(ISERROR('Model inputs'!AB95&lt;=6),'Model inputs'!AB95&lt;=6,IF('Model inputs'!AB95="","",'Model inputs'!AB95&lt;=6))="",FALSE,IF(ISERROR('Model inputs'!AB95&lt;=6),'Model inputs'!AB95&lt;=6,IF('Model inputs'!AB95="","",'Model inputs'!AB95&lt;=6))),'Model inputs'!AM20+('Model inputs'!AM26-'Model inputs'!AM20)*('Model inputs'!AB95-0)/6,IF(IF(IF(ISERROR('Model inputs'!AB95&lt;=12),'Model inputs'!AB95&lt;=12,IF('Model inputs'!AB95="","",'Model inputs'!AB95&lt;=12))="",FALSE,IF(ISERROR('Model inputs'!AB95&lt;=12),'Model inputs'!AB95&lt;=12,IF('Model inputs'!AB95="","",'Model inputs'!AB95&lt;=12))),'Model inputs'!AM26+('Model inputs'!AM21-'Model inputs'!AM26)*('Model inputs'!AB95-6)/6,IF(IF(IF(ISERROR('Model inputs'!AB95&lt;=18),'Model inputs'!AB95&lt;=18,IF('Model inputs'!AB95="","",'Model inputs'!AB95&lt;=18))="",FALSE,IF(ISERROR('Model inputs'!AB95&lt;=18),'Model inputs'!AB95&lt;=18,IF('Model inputs'!AB95="","",'Model inputs'!AB95&lt;=18))),'Model inputs'!AM21+('Model inputs'!AM22-'Model inputs'!AM21)*('Model inputs'!AB95-12)/6,IF(IF(IF(ISERROR('Model inputs'!AB95&lt;=24),'Model inputs'!AB95&lt;=24,IF('Model inputs'!AB95="","",'Model inputs'!AB95&lt;=24))="",FALSE,IF(ISERROR('Model inputs'!AB95&lt;=24),'Model inputs'!AB95&lt;=24,IF('Model inputs'!AB95="","",'Model inputs'!AB95&lt;=24))),'Model inputs'!AM22+('Model inputs'!AM23-'Model inputs'!AM22)*('Model inputs'!AB95-18)/6,IF(IF(IF(ISERROR('Model inputs'!AB95&lt;=30),'Model inputs'!AB95&lt;=30,IF('Model inputs'!AB95="","",'Model inputs'!AB95&lt;=30))="",FALSE,IF(ISERROR('Model inputs'!AB95&lt;=30),'Model inputs'!AB95&lt;=30,IF('Model inputs'!AB95="","",'Model inputs'!AB95&lt;=30))),'Model inputs'!AM23+('Model inputs'!AM24-'Model inputs'!AM23)*('Model inputs'!AB95-24)/6,IF(IF(IF(ISERROR('Model inputs'!AB95&lt;=36),'Model inputs'!AB95&lt;=36,IF('Model inputs'!AB95="","",'Model inputs'!AB95&lt;=36))="",FALSE,IF(ISERROR('Model inputs'!AB95&lt;=36),'Model inputs'!AB95&lt;=36,IF('Model inputs'!AB95="","",'Model inputs'!AB95&lt;=36))),'Model inputs'!AM24+('Model inputs'!AM25-'Model inputs'!AM24)*('Model inputs'!AB95-30)/6,IF('Model inputs'!AM25="","",'Model inputs'!AM25)))))))))/'Model inputs'!AM9</f>
      </c>
    </row>
    <row r="3557">
      <c r="A3557" t="inlineStr" s="25">
        <is>
          <t xml:space="preserve">Calculation</t>
        </is>
      </c>
      <c r="B3557">
        <f>IF((IF(IF(IF(ISERROR('Model inputs'!AC95&lt;=6),'Model inputs'!AC95&lt;=6,IF('Model inputs'!AC95="","",'Model inputs'!AC95&lt;=6))="",FALSE,IF(ISERROR('Model inputs'!AC95&lt;=6),'Model inputs'!AC95&lt;=6,IF('Model inputs'!AC95="","",'Model inputs'!AC95&lt;=6))),'Model inputs'!AM20+('Model inputs'!AM26-'Model inputs'!AM20)*('Model inputs'!AC95-0)/6,IF(IF(IF(ISERROR('Model inputs'!AC95&lt;=12),'Model inputs'!AC95&lt;=12,IF('Model inputs'!AC95="","",'Model inputs'!AC95&lt;=12))="",FALSE,IF(ISERROR('Model inputs'!AC95&lt;=12),'Model inputs'!AC95&lt;=12,IF('Model inputs'!AC95="","",'Model inputs'!AC95&lt;=12))),'Model inputs'!AM26+('Model inputs'!AM21-'Model inputs'!AM26)*('Model inputs'!AC95-6)/6,IF(IF(IF(ISERROR('Model inputs'!AC95&lt;=18),'Model inputs'!AC95&lt;=18,IF('Model inputs'!AC95="","",'Model inputs'!AC95&lt;=18))="",FALSE,IF(ISERROR('Model inputs'!AC95&lt;=18),'Model inputs'!AC95&lt;=18,IF('Model inputs'!AC95="","",'Model inputs'!AC95&lt;=18))),'Model inputs'!AM21+('Model inputs'!AM22-'Model inputs'!AM21)*('Model inputs'!AC95-12)/6,IF(IF(IF(ISERROR('Model inputs'!AC95&lt;=24),'Model inputs'!AC95&lt;=24,IF('Model inputs'!AC95="","",'Model inputs'!AC95&lt;=24))="",FALSE,IF(ISERROR('Model inputs'!AC95&lt;=24),'Model inputs'!AC95&lt;=24,IF('Model inputs'!AC95="","",'Model inputs'!AC95&lt;=24))),'Model inputs'!AM22+('Model inputs'!AM23-'Model inputs'!AM22)*('Model inputs'!AC95-18)/6,IF(IF(IF(ISERROR('Model inputs'!AC95&lt;=30),'Model inputs'!AC95&lt;=30,IF('Model inputs'!AC95="","",'Model inputs'!AC95&lt;=30))="",FALSE,IF(ISERROR('Model inputs'!AC95&lt;=30),'Model inputs'!AC95&lt;=30,IF('Model inputs'!AC95="","",'Model inputs'!AC95&lt;=30))),'Model inputs'!AM23+('Model inputs'!AM24-'Model inputs'!AM23)*('Model inputs'!AC95-24)/6,IF(IF(IF(ISERROR('Model inputs'!AC95&lt;=36),'Model inputs'!AC95&lt;=36,IF('Model inputs'!AC95="","",'Model inputs'!AC95&lt;=36))="",FALSE,IF(ISERROR('Model inputs'!AC95&lt;=36),'Model inputs'!AC95&lt;=36,IF('Model inputs'!AC95="","",'Model inputs'!AC95&lt;=36))),'Model inputs'!AM24+('Model inputs'!AM25-'Model inputs'!AM24)*('Model inputs'!AC95-30)/6,IF('Model inputs'!AM25="","",'Model inputs'!AM25))))))))="",0,(IF(IF(IF(ISERROR('Model inputs'!AC95&lt;=6),'Model inputs'!AC95&lt;=6,IF('Model inputs'!AC95="","",'Model inputs'!AC95&lt;=6))="",FALSE,IF(ISERROR('Model inputs'!AC95&lt;=6),'Model inputs'!AC95&lt;=6,IF('Model inputs'!AC95="","",'Model inputs'!AC95&lt;=6))),'Model inputs'!AM20+('Model inputs'!AM26-'Model inputs'!AM20)*('Model inputs'!AC95-0)/6,IF(IF(IF(ISERROR('Model inputs'!AC95&lt;=12),'Model inputs'!AC95&lt;=12,IF('Model inputs'!AC95="","",'Model inputs'!AC95&lt;=12))="",FALSE,IF(ISERROR('Model inputs'!AC95&lt;=12),'Model inputs'!AC95&lt;=12,IF('Model inputs'!AC95="","",'Model inputs'!AC95&lt;=12))),'Model inputs'!AM26+('Model inputs'!AM21-'Model inputs'!AM26)*('Model inputs'!AC95-6)/6,IF(IF(IF(ISERROR('Model inputs'!AC95&lt;=18),'Model inputs'!AC95&lt;=18,IF('Model inputs'!AC95="","",'Model inputs'!AC95&lt;=18))="",FALSE,IF(ISERROR('Model inputs'!AC95&lt;=18),'Model inputs'!AC95&lt;=18,IF('Model inputs'!AC95="","",'Model inputs'!AC95&lt;=18))),'Model inputs'!AM21+('Model inputs'!AM22-'Model inputs'!AM21)*('Model inputs'!AC95-12)/6,IF(IF(IF(ISERROR('Model inputs'!AC95&lt;=24),'Model inputs'!AC95&lt;=24,IF('Model inputs'!AC95="","",'Model inputs'!AC95&lt;=24))="",FALSE,IF(ISERROR('Model inputs'!AC95&lt;=24),'Model inputs'!AC95&lt;=24,IF('Model inputs'!AC95="","",'Model inputs'!AC95&lt;=24))),'Model inputs'!AM22+('Model inputs'!AM23-'Model inputs'!AM22)*('Model inputs'!AC95-18)/6,IF(IF(IF(ISERROR('Model inputs'!AC95&lt;=30),'Model inputs'!AC95&lt;=30,IF('Model inputs'!AC95="","",'Model inputs'!AC95&lt;=30))="",FALSE,IF(ISERROR('Model inputs'!AC95&lt;=30),'Model inputs'!AC95&lt;=30,IF('Model inputs'!AC95="","",'Model inputs'!AC95&lt;=30))),'Model inputs'!AM23+('Model inputs'!AM24-'Model inputs'!AM23)*('Model inputs'!AC95-24)/6,IF(IF(IF(ISERROR('Model inputs'!AC95&lt;=36),'Model inputs'!AC95&lt;=36,IF('Model inputs'!AC95="","",'Model inputs'!AC95&lt;=36))="",FALSE,IF(ISERROR('Model inputs'!AC95&lt;=36),'Model inputs'!AC95&lt;=36,IF('Model inputs'!AC95="","",'Model inputs'!AC95&lt;=36))),'Model inputs'!AM24+('Model inputs'!AM25-'Model inputs'!AM24)*('Model inputs'!AC95-30)/6,IF('Model inputs'!AM25="","",'Model inputs'!AM25)))))))))/'Model inputs'!AM9</f>
      </c>
    </row>
    <row r="3558">
      <c r="A3558" t="inlineStr" s="25">
        <is>
          <t xml:space="preserve">Calculation</t>
        </is>
      </c>
      <c r="B3558">
        <f>IF((IF(IF(IF(ISERROR('Model inputs'!AD95&lt;=6),'Model inputs'!AD95&lt;=6,IF('Model inputs'!AD95="","",'Model inputs'!AD95&lt;=6))="",FALSE,IF(ISERROR('Model inputs'!AD95&lt;=6),'Model inputs'!AD95&lt;=6,IF('Model inputs'!AD95="","",'Model inputs'!AD95&lt;=6))),'Model inputs'!AM20+('Model inputs'!AM26-'Model inputs'!AM20)*('Model inputs'!AD95-0)/6,IF(IF(IF(ISERROR('Model inputs'!AD95&lt;=12),'Model inputs'!AD95&lt;=12,IF('Model inputs'!AD95="","",'Model inputs'!AD95&lt;=12))="",FALSE,IF(ISERROR('Model inputs'!AD95&lt;=12),'Model inputs'!AD95&lt;=12,IF('Model inputs'!AD95="","",'Model inputs'!AD95&lt;=12))),'Model inputs'!AM26+('Model inputs'!AM21-'Model inputs'!AM26)*('Model inputs'!AD95-6)/6,IF(IF(IF(ISERROR('Model inputs'!AD95&lt;=18),'Model inputs'!AD95&lt;=18,IF('Model inputs'!AD95="","",'Model inputs'!AD95&lt;=18))="",FALSE,IF(ISERROR('Model inputs'!AD95&lt;=18),'Model inputs'!AD95&lt;=18,IF('Model inputs'!AD95="","",'Model inputs'!AD95&lt;=18))),'Model inputs'!AM21+('Model inputs'!AM22-'Model inputs'!AM21)*('Model inputs'!AD95-12)/6,IF(IF(IF(ISERROR('Model inputs'!AD95&lt;=24),'Model inputs'!AD95&lt;=24,IF('Model inputs'!AD95="","",'Model inputs'!AD95&lt;=24))="",FALSE,IF(ISERROR('Model inputs'!AD95&lt;=24),'Model inputs'!AD95&lt;=24,IF('Model inputs'!AD95="","",'Model inputs'!AD95&lt;=24))),'Model inputs'!AM22+('Model inputs'!AM23-'Model inputs'!AM22)*('Model inputs'!AD95-18)/6,IF(IF(IF(ISERROR('Model inputs'!AD95&lt;=30),'Model inputs'!AD95&lt;=30,IF('Model inputs'!AD95="","",'Model inputs'!AD95&lt;=30))="",FALSE,IF(ISERROR('Model inputs'!AD95&lt;=30),'Model inputs'!AD95&lt;=30,IF('Model inputs'!AD95="","",'Model inputs'!AD95&lt;=30))),'Model inputs'!AM23+('Model inputs'!AM24-'Model inputs'!AM23)*('Model inputs'!AD95-24)/6,IF(IF(IF(ISERROR('Model inputs'!AD95&lt;=36),'Model inputs'!AD95&lt;=36,IF('Model inputs'!AD95="","",'Model inputs'!AD95&lt;=36))="",FALSE,IF(ISERROR('Model inputs'!AD95&lt;=36),'Model inputs'!AD95&lt;=36,IF('Model inputs'!AD95="","",'Model inputs'!AD95&lt;=36))),'Model inputs'!AM24+('Model inputs'!AM25-'Model inputs'!AM24)*('Model inputs'!AD95-30)/6,IF('Model inputs'!AM25="","",'Model inputs'!AM25))))))))="",0,(IF(IF(IF(ISERROR('Model inputs'!AD95&lt;=6),'Model inputs'!AD95&lt;=6,IF('Model inputs'!AD95="","",'Model inputs'!AD95&lt;=6))="",FALSE,IF(ISERROR('Model inputs'!AD95&lt;=6),'Model inputs'!AD95&lt;=6,IF('Model inputs'!AD95="","",'Model inputs'!AD95&lt;=6))),'Model inputs'!AM20+('Model inputs'!AM26-'Model inputs'!AM20)*('Model inputs'!AD95-0)/6,IF(IF(IF(ISERROR('Model inputs'!AD95&lt;=12),'Model inputs'!AD95&lt;=12,IF('Model inputs'!AD95="","",'Model inputs'!AD95&lt;=12))="",FALSE,IF(ISERROR('Model inputs'!AD95&lt;=12),'Model inputs'!AD95&lt;=12,IF('Model inputs'!AD95="","",'Model inputs'!AD95&lt;=12))),'Model inputs'!AM26+('Model inputs'!AM21-'Model inputs'!AM26)*('Model inputs'!AD95-6)/6,IF(IF(IF(ISERROR('Model inputs'!AD95&lt;=18),'Model inputs'!AD95&lt;=18,IF('Model inputs'!AD95="","",'Model inputs'!AD95&lt;=18))="",FALSE,IF(ISERROR('Model inputs'!AD95&lt;=18),'Model inputs'!AD95&lt;=18,IF('Model inputs'!AD95="","",'Model inputs'!AD95&lt;=18))),'Model inputs'!AM21+('Model inputs'!AM22-'Model inputs'!AM21)*('Model inputs'!AD95-12)/6,IF(IF(IF(ISERROR('Model inputs'!AD95&lt;=24),'Model inputs'!AD95&lt;=24,IF('Model inputs'!AD95="","",'Model inputs'!AD95&lt;=24))="",FALSE,IF(ISERROR('Model inputs'!AD95&lt;=24),'Model inputs'!AD95&lt;=24,IF('Model inputs'!AD95="","",'Model inputs'!AD95&lt;=24))),'Model inputs'!AM22+('Model inputs'!AM23-'Model inputs'!AM22)*('Model inputs'!AD95-18)/6,IF(IF(IF(ISERROR('Model inputs'!AD95&lt;=30),'Model inputs'!AD95&lt;=30,IF('Model inputs'!AD95="","",'Model inputs'!AD95&lt;=30))="",FALSE,IF(ISERROR('Model inputs'!AD95&lt;=30),'Model inputs'!AD95&lt;=30,IF('Model inputs'!AD95="","",'Model inputs'!AD95&lt;=30))),'Model inputs'!AM23+('Model inputs'!AM24-'Model inputs'!AM23)*('Model inputs'!AD95-24)/6,IF(IF(IF(ISERROR('Model inputs'!AD95&lt;=36),'Model inputs'!AD95&lt;=36,IF('Model inputs'!AD95="","",'Model inputs'!AD95&lt;=36))="",FALSE,IF(ISERROR('Model inputs'!AD95&lt;=36),'Model inputs'!AD95&lt;=36,IF('Model inputs'!AD95="","",'Model inputs'!AD95&lt;=36))),'Model inputs'!AM24+('Model inputs'!AM25-'Model inputs'!AM24)*('Model inputs'!AD95-30)/6,IF('Model inputs'!AM25="","",'Model inputs'!AM25)))))))))/'Model inputs'!AM9</f>
      </c>
    </row>
    <row r="3559">
      <c r="A3559" t="inlineStr" s="25">
        <is>
          <t xml:space="preserve">Calculation</t>
        </is>
      </c>
      <c r="B3559">
        <f>IF((IF(IF(IF(ISERROR('Model inputs'!AE95&lt;=6),'Model inputs'!AE95&lt;=6,IF('Model inputs'!AE95="","",'Model inputs'!AE95&lt;=6))="",FALSE,IF(ISERROR('Model inputs'!AE95&lt;=6),'Model inputs'!AE95&lt;=6,IF('Model inputs'!AE95="","",'Model inputs'!AE95&lt;=6))),'Model inputs'!AM20+('Model inputs'!AM26-'Model inputs'!AM20)*('Model inputs'!AE95-0)/6,IF(IF(IF(ISERROR('Model inputs'!AE95&lt;=12),'Model inputs'!AE95&lt;=12,IF('Model inputs'!AE95="","",'Model inputs'!AE95&lt;=12))="",FALSE,IF(ISERROR('Model inputs'!AE95&lt;=12),'Model inputs'!AE95&lt;=12,IF('Model inputs'!AE95="","",'Model inputs'!AE95&lt;=12))),'Model inputs'!AM26+('Model inputs'!AM21-'Model inputs'!AM26)*('Model inputs'!AE95-6)/6,IF(IF(IF(ISERROR('Model inputs'!AE95&lt;=18),'Model inputs'!AE95&lt;=18,IF('Model inputs'!AE95="","",'Model inputs'!AE95&lt;=18))="",FALSE,IF(ISERROR('Model inputs'!AE95&lt;=18),'Model inputs'!AE95&lt;=18,IF('Model inputs'!AE95="","",'Model inputs'!AE95&lt;=18))),'Model inputs'!AM21+('Model inputs'!AM22-'Model inputs'!AM21)*('Model inputs'!AE95-12)/6,IF(IF(IF(ISERROR('Model inputs'!AE95&lt;=24),'Model inputs'!AE95&lt;=24,IF('Model inputs'!AE95="","",'Model inputs'!AE95&lt;=24))="",FALSE,IF(ISERROR('Model inputs'!AE95&lt;=24),'Model inputs'!AE95&lt;=24,IF('Model inputs'!AE95="","",'Model inputs'!AE95&lt;=24))),'Model inputs'!AM22+('Model inputs'!AM23-'Model inputs'!AM22)*('Model inputs'!AE95-18)/6,IF(IF(IF(ISERROR('Model inputs'!AE95&lt;=30),'Model inputs'!AE95&lt;=30,IF('Model inputs'!AE95="","",'Model inputs'!AE95&lt;=30))="",FALSE,IF(ISERROR('Model inputs'!AE95&lt;=30),'Model inputs'!AE95&lt;=30,IF('Model inputs'!AE95="","",'Model inputs'!AE95&lt;=30))),'Model inputs'!AM23+('Model inputs'!AM24-'Model inputs'!AM23)*('Model inputs'!AE95-24)/6,IF(IF(IF(ISERROR('Model inputs'!AE95&lt;=36),'Model inputs'!AE95&lt;=36,IF('Model inputs'!AE95="","",'Model inputs'!AE95&lt;=36))="",FALSE,IF(ISERROR('Model inputs'!AE95&lt;=36),'Model inputs'!AE95&lt;=36,IF('Model inputs'!AE95="","",'Model inputs'!AE95&lt;=36))),'Model inputs'!AM24+('Model inputs'!AM25-'Model inputs'!AM24)*('Model inputs'!AE95-30)/6,IF('Model inputs'!AM25="","",'Model inputs'!AM25))))))))="",0,(IF(IF(IF(ISERROR('Model inputs'!AE95&lt;=6),'Model inputs'!AE95&lt;=6,IF('Model inputs'!AE95="","",'Model inputs'!AE95&lt;=6))="",FALSE,IF(ISERROR('Model inputs'!AE95&lt;=6),'Model inputs'!AE95&lt;=6,IF('Model inputs'!AE95="","",'Model inputs'!AE95&lt;=6))),'Model inputs'!AM20+('Model inputs'!AM26-'Model inputs'!AM20)*('Model inputs'!AE95-0)/6,IF(IF(IF(ISERROR('Model inputs'!AE95&lt;=12),'Model inputs'!AE95&lt;=12,IF('Model inputs'!AE95="","",'Model inputs'!AE95&lt;=12))="",FALSE,IF(ISERROR('Model inputs'!AE95&lt;=12),'Model inputs'!AE95&lt;=12,IF('Model inputs'!AE95="","",'Model inputs'!AE95&lt;=12))),'Model inputs'!AM26+('Model inputs'!AM21-'Model inputs'!AM26)*('Model inputs'!AE95-6)/6,IF(IF(IF(ISERROR('Model inputs'!AE95&lt;=18),'Model inputs'!AE95&lt;=18,IF('Model inputs'!AE95="","",'Model inputs'!AE95&lt;=18))="",FALSE,IF(ISERROR('Model inputs'!AE95&lt;=18),'Model inputs'!AE95&lt;=18,IF('Model inputs'!AE95="","",'Model inputs'!AE95&lt;=18))),'Model inputs'!AM21+('Model inputs'!AM22-'Model inputs'!AM21)*('Model inputs'!AE95-12)/6,IF(IF(IF(ISERROR('Model inputs'!AE95&lt;=24),'Model inputs'!AE95&lt;=24,IF('Model inputs'!AE95="","",'Model inputs'!AE95&lt;=24))="",FALSE,IF(ISERROR('Model inputs'!AE95&lt;=24),'Model inputs'!AE95&lt;=24,IF('Model inputs'!AE95="","",'Model inputs'!AE95&lt;=24))),'Model inputs'!AM22+('Model inputs'!AM23-'Model inputs'!AM22)*('Model inputs'!AE95-18)/6,IF(IF(IF(ISERROR('Model inputs'!AE95&lt;=30),'Model inputs'!AE95&lt;=30,IF('Model inputs'!AE95="","",'Model inputs'!AE95&lt;=30))="",FALSE,IF(ISERROR('Model inputs'!AE95&lt;=30),'Model inputs'!AE95&lt;=30,IF('Model inputs'!AE95="","",'Model inputs'!AE95&lt;=30))),'Model inputs'!AM23+('Model inputs'!AM24-'Model inputs'!AM23)*('Model inputs'!AE95-24)/6,IF(IF(IF(ISERROR('Model inputs'!AE95&lt;=36),'Model inputs'!AE95&lt;=36,IF('Model inputs'!AE95="","",'Model inputs'!AE95&lt;=36))="",FALSE,IF(ISERROR('Model inputs'!AE95&lt;=36),'Model inputs'!AE95&lt;=36,IF('Model inputs'!AE95="","",'Model inputs'!AE95&lt;=36))),'Model inputs'!AM24+('Model inputs'!AM25-'Model inputs'!AM24)*('Model inputs'!AE95-30)/6,IF('Model inputs'!AM25="","",'Model inputs'!AM25)))))))))/'Model inputs'!AM9</f>
      </c>
    </row>
    <row r="3560">
      <c r="A3560" t="inlineStr" s="25">
        <is>
          <t xml:space="preserve">Calculation</t>
        </is>
      </c>
      <c r="B3560">
        <f>IF((IF(IF(IF(ISERROR('Model inputs'!AF95&lt;=6),'Model inputs'!AF95&lt;=6,IF('Model inputs'!AF95="","",'Model inputs'!AF95&lt;=6))="",FALSE,IF(ISERROR('Model inputs'!AF95&lt;=6),'Model inputs'!AF95&lt;=6,IF('Model inputs'!AF95="","",'Model inputs'!AF95&lt;=6))),'Model inputs'!AM20+('Model inputs'!AM26-'Model inputs'!AM20)*('Model inputs'!AF95-0)/6,IF(IF(IF(ISERROR('Model inputs'!AF95&lt;=12),'Model inputs'!AF95&lt;=12,IF('Model inputs'!AF95="","",'Model inputs'!AF95&lt;=12))="",FALSE,IF(ISERROR('Model inputs'!AF95&lt;=12),'Model inputs'!AF95&lt;=12,IF('Model inputs'!AF95="","",'Model inputs'!AF95&lt;=12))),'Model inputs'!AM26+('Model inputs'!AM21-'Model inputs'!AM26)*('Model inputs'!AF95-6)/6,IF(IF(IF(ISERROR('Model inputs'!AF95&lt;=18),'Model inputs'!AF95&lt;=18,IF('Model inputs'!AF95="","",'Model inputs'!AF95&lt;=18))="",FALSE,IF(ISERROR('Model inputs'!AF95&lt;=18),'Model inputs'!AF95&lt;=18,IF('Model inputs'!AF95="","",'Model inputs'!AF95&lt;=18))),'Model inputs'!AM21+('Model inputs'!AM22-'Model inputs'!AM21)*('Model inputs'!AF95-12)/6,IF(IF(IF(ISERROR('Model inputs'!AF95&lt;=24),'Model inputs'!AF95&lt;=24,IF('Model inputs'!AF95="","",'Model inputs'!AF95&lt;=24))="",FALSE,IF(ISERROR('Model inputs'!AF95&lt;=24),'Model inputs'!AF95&lt;=24,IF('Model inputs'!AF95="","",'Model inputs'!AF95&lt;=24))),'Model inputs'!AM22+('Model inputs'!AM23-'Model inputs'!AM22)*('Model inputs'!AF95-18)/6,IF(IF(IF(ISERROR('Model inputs'!AF95&lt;=30),'Model inputs'!AF95&lt;=30,IF('Model inputs'!AF95="","",'Model inputs'!AF95&lt;=30))="",FALSE,IF(ISERROR('Model inputs'!AF95&lt;=30),'Model inputs'!AF95&lt;=30,IF('Model inputs'!AF95="","",'Model inputs'!AF95&lt;=30))),'Model inputs'!AM23+('Model inputs'!AM24-'Model inputs'!AM23)*('Model inputs'!AF95-24)/6,IF(IF(IF(ISERROR('Model inputs'!AF95&lt;=36),'Model inputs'!AF95&lt;=36,IF('Model inputs'!AF95="","",'Model inputs'!AF95&lt;=36))="",FALSE,IF(ISERROR('Model inputs'!AF95&lt;=36),'Model inputs'!AF95&lt;=36,IF('Model inputs'!AF95="","",'Model inputs'!AF95&lt;=36))),'Model inputs'!AM24+('Model inputs'!AM25-'Model inputs'!AM24)*('Model inputs'!AF95-30)/6,IF('Model inputs'!AM25="","",'Model inputs'!AM25))))))))="",0,(IF(IF(IF(ISERROR('Model inputs'!AF95&lt;=6),'Model inputs'!AF95&lt;=6,IF('Model inputs'!AF95="","",'Model inputs'!AF95&lt;=6))="",FALSE,IF(ISERROR('Model inputs'!AF95&lt;=6),'Model inputs'!AF95&lt;=6,IF('Model inputs'!AF95="","",'Model inputs'!AF95&lt;=6))),'Model inputs'!AM20+('Model inputs'!AM26-'Model inputs'!AM20)*('Model inputs'!AF95-0)/6,IF(IF(IF(ISERROR('Model inputs'!AF95&lt;=12),'Model inputs'!AF95&lt;=12,IF('Model inputs'!AF95="","",'Model inputs'!AF95&lt;=12))="",FALSE,IF(ISERROR('Model inputs'!AF95&lt;=12),'Model inputs'!AF95&lt;=12,IF('Model inputs'!AF95="","",'Model inputs'!AF95&lt;=12))),'Model inputs'!AM26+('Model inputs'!AM21-'Model inputs'!AM26)*('Model inputs'!AF95-6)/6,IF(IF(IF(ISERROR('Model inputs'!AF95&lt;=18),'Model inputs'!AF95&lt;=18,IF('Model inputs'!AF95="","",'Model inputs'!AF95&lt;=18))="",FALSE,IF(ISERROR('Model inputs'!AF95&lt;=18),'Model inputs'!AF95&lt;=18,IF('Model inputs'!AF95="","",'Model inputs'!AF95&lt;=18))),'Model inputs'!AM21+('Model inputs'!AM22-'Model inputs'!AM21)*('Model inputs'!AF95-12)/6,IF(IF(IF(ISERROR('Model inputs'!AF95&lt;=24),'Model inputs'!AF95&lt;=24,IF('Model inputs'!AF95="","",'Model inputs'!AF95&lt;=24))="",FALSE,IF(ISERROR('Model inputs'!AF95&lt;=24),'Model inputs'!AF95&lt;=24,IF('Model inputs'!AF95="","",'Model inputs'!AF95&lt;=24))),'Model inputs'!AM22+('Model inputs'!AM23-'Model inputs'!AM22)*('Model inputs'!AF95-18)/6,IF(IF(IF(ISERROR('Model inputs'!AF95&lt;=30),'Model inputs'!AF95&lt;=30,IF('Model inputs'!AF95="","",'Model inputs'!AF95&lt;=30))="",FALSE,IF(ISERROR('Model inputs'!AF95&lt;=30),'Model inputs'!AF95&lt;=30,IF('Model inputs'!AF95="","",'Model inputs'!AF95&lt;=30))),'Model inputs'!AM23+('Model inputs'!AM24-'Model inputs'!AM23)*('Model inputs'!AF95-24)/6,IF(IF(IF(ISERROR('Model inputs'!AF95&lt;=36),'Model inputs'!AF95&lt;=36,IF('Model inputs'!AF95="","",'Model inputs'!AF95&lt;=36))="",FALSE,IF(ISERROR('Model inputs'!AF95&lt;=36),'Model inputs'!AF95&lt;=36,IF('Model inputs'!AF95="","",'Model inputs'!AF95&lt;=36))),'Model inputs'!AM24+('Model inputs'!AM25-'Model inputs'!AM24)*('Model inputs'!AF95-30)/6,IF('Model inputs'!AM25="","",'Model inputs'!AM25)))))))))/'Model inputs'!AM9</f>
      </c>
    </row>
    <row r="3561">
      <c r="A3561" t="inlineStr" s="25">
        <is>
          <t xml:space="preserve">Calculation</t>
        </is>
      </c>
      <c r="B3561">
        <f>IF((IF(IF(IF(ISERROR('Model inputs'!AG95&lt;=6),'Model inputs'!AG95&lt;=6,IF('Model inputs'!AG95="","",'Model inputs'!AG95&lt;=6))="",FALSE,IF(ISERROR('Model inputs'!AG95&lt;=6),'Model inputs'!AG95&lt;=6,IF('Model inputs'!AG95="","",'Model inputs'!AG95&lt;=6))),'Model inputs'!AM20+('Model inputs'!AM26-'Model inputs'!AM20)*('Model inputs'!AG95-0)/6,IF(IF(IF(ISERROR('Model inputs'!AG95&lt;=12),'Model inputs'!AG95&lt;=12,IF('Model inputs'!AG95="","",'Model inputs'!AG95&lt;=12))="",FALSE,IF(ISERROR('Model inputs'!AG95&lt;=12),'Model inputs'!AG95&lt;=12,IF('Model inputs'!AG95="","",'Model inputs'!AG95&lt;=12))),'Model inputs'!AM26+('Model inputs'!AM21-'Model inputs'!AM26)*('Model inputs'!AG95-6)/6,IF(IF(IF(ISERROR('Model inputs'!AG95&lt;=18),'Model inputs'!AG95&lt;=18,IF('Model inputs'!AG95="","",'Model inputs'!AG95&lt;=18))="",FALSE,IF(ISERROR('Model inputs'!AG95&lt;=18),'Model inputs'!AG95&lt;=18,IF('Model inputs'!AG95="","",'Model inputs'!AG95&lt;=18))),'Model inputs'!AM21+('Model inputs'!AM22-'Model inputs'!AM21)*('Model inputs'!AG95-12)/6,IF(IF(IF(ISERROR('Model inputs'!AG95&lt;=24),'Model inputs'!AG95&lt;=24,IF('Model inputs'!AG95="","",'Model inputs'!AG95&lt;=24))="",FALSE,IF(ISERROR('Model inputs'!AG95&lt;=24),'Model inputs'!AG95&lt;=24,IF('Model inputs'!AG95="","",'Model inputs'!AG95&lt;=24))),'Model inputs'!AM22+('Model inputs'!AM23-'Model inputs'!AM22)*('Model inputs'!AG95-18)/6,IF(IF(IF(ISERROR('Model inputs'!AG95&lt;=30),'Model inputs'!AG95&lt;=30,IF('Model inputs'!AG95="","",'Model inputs'!AG95&lt;=30))="",FALSE,IF(ISERROR('Model inputs'!AG95&lt;=30),'Model inputs'!AG95&lt;=30,IF('Model inputs'!AG95="","",'Model inputs'!AG95&lt;=30))),'Model inputs'!AM23+('Model inputs'!AM24-'Model inputs'!AM23)*('Model inputs'!AG95-24)/6,IF(IF(IF(ISERROR('Model inputs'!AG95&lt;=36),'Model inputs'!AG95&lt;=36,IF('Model inputs'!AG95="","",'Model inputs'!AG95&lt;=36))="",FALSE,IF(ISERROR('Model inputs'!AG95&lt;=36),'Model inputs'!AG95&lt;=36,IF('Model inputs'!AG95="","",'Model inputs'!AG95&lt;=36))),'Model inputs'!AM24+('Model inputs'!AM25-'Model inputs'!AM24)*('Model inputs'!AG95-30)/6,IF('Model inputs'!AM25="","",'Model inputs'!AM25))))))))="",0,(IF(IF(IF(ISERROR('Model inputs'!AG95&lt;=6),'Model inputs'!AG95&lt;=6,IF('Model inputs'!AG95="","",'Model inputs'!AG95&lt;=6))="",FALSE,IF(ISERROR('Model inputs'!AG95&lt;=6),'Model inputs'!AG95&lt;=6,IF('Model inputs'!AG95="","",'Model inputs'!AG95&lt;=6))),'Model inputs'!AM20+('Model inputs'!AM26-'Model inputs'!AM20)*('Model inputs'!AG95-0)/6,IF(IF(IF(ISERROR('Model inputs'!AG95&lt;=12),'Model inputs'!AG95&lt;=12,IF('Model inputs'!AG95="","",'Model inputs'!AG95&lt;=12))="",FALSE,IF(ISERROR('Model inputs'!AG95&lt;=12),'Model inputs'!AG95&lt;=12,IF('Model inputs'!AG95="","",'Model inputs'!AG95&lt;=12))),'Model inputs'!AM26+('Model inputs'!AM21-'Model inputs'!AM26)*('Model inputs'!AG95-6)/6,IF(IF(IF(ISERROR('Model inputs'!AG95&lt;=18),'Model inputs'!AG95&lt;=18,IF('Model inputs'!AG95="","",'Model inputs'!AG95&lt;=18))="",FALSE,IF(ISERROR('Model inputs'!AG95&lt;=18),'Model inputs'!AG95&lt;=18,IF('Model inputs'!AG95="","",'Model inputs'!AG95&lt;=18))),'Model inputs'!AM21+('Model inputs'!AM22-'Model inputs'!AM21)*('Model inputs'!AG95-12)/6,IF(IF(IF(ISERROR('Model inputs'!AG95&lt;=24),'Model inputs'!AG95&lt;=24,IF('Model inputs'!AG95="","",'Model inputs'!AG95&lt;=24))="",FALSE,IF(ISERROR('Model inputs'!AG95&lt;=24),'Model inputs'!AG95&lt;=24,IF('Model inputs'!AG95="","",'Model inputs'!AG95&lt;=24))),'Model inputs'!AM22+('Model inputs'!AM23-'Model inputs'!AM22)*('Model inputs'!AG95-18)/6,IF(IF(IF(ISERROR('Model inputs'!AG95&lt;=30),'Model inputs'!AG95&lt;=30,IF('Model inputs'!AG95="","",'Model inputs'!AG95&lt;=30))="",FALSE,IF(ISERROR('Model inputs'!AG95&lt;=30),'Model inputs'!AG95&lt;=30,IF('Model inputs'!AG95="","",'Model inputs'!AG95&lt;=30))),'Model inputs'!AM23+('Model inputs'!AM24-'Model inputs'!AM23)*('Model inputs'!AG95-24)/6,IF(IF(IF(ISERROR('Model inputs'!AG95&lt;=36),'Model inputs'!AG95&lt;=36,IF('Model inputs'!AG95="","",'Model inputs'!AG95&lt;=36))="",FALSE,IF(ISERROR('Model inputs'!AG95&lt;=36),'Model inputs'!AG95&lt;=36,IF('Model inputs'!AG95="","",'Model inputs'!AG95&lt;=36))),'Model inputs'!AM24+('Model inputs'!AM25-'Model inputs'!AM24)*('Model inputs'!AG95-30)/6,IF('Model inputs'!AM25="","",'Model inputs'!AM25)))))))))/'Model inputs'!AM9</f>
      </c>
    </row>
    <row r="3562">
      <c r="A3562" t="inlineStr" s="25">
        <is>
          <t xml:space="preserve">Calculation</t>
        </is>
      </c>
      <c r="B3562">
        <f>IF((IF(IF(IF(ISERROR('Model inputs'!AH95&lt;=6),'Model inputs'!AH95&lt;=6,IF('Model inputs'!AH95="","",'Model inputs'!AH95&lt;=6))="",FALSE,IF(ISERROR('Model inputs'!AH95&lt;=6),'Model inputs'!AH95&lt;=6,IF('Model inputs'!AH95="","",'Model inputs'!AH95&lt;=6))),'Model inputs'!AM20+('Model inputs'!AM26-'Model inputs'!AM20)*('Model inputs'!AH95-0)/6,IF(IF(IF(ISERROR('Model inputs'!AH95&lt;=12),'Model inputs'!AH95&lt;=12,IF('Model inputs'!AH95="","",'Model inputs'!AH95&lt;=12))="",FALSE,IF(ISERROR('Model inputs'!AH95&lt;=12),'Model inputs'!AH95&lt;=12,IF('Model inputs'!AH95="","",'Model inputs'!AH95&lt;=12))),'Model inputs'!AM26+('Model inputs'!AM21-'Model inputs'!AM26)*('Model inputs'!AH95-6)/6,IF(IF(IF(ISERROR('Model inputs'!AH95&lt;=18),'Model inputs'!AH95&lt;=18,IF('Model inputs'!AH95="","",'Model inputs'!AH95&lt;=18))="",FALSE,IF(ISERROR('Model inputs'!AH95&lt;=18),'Model inputs'!AH95&lt;=18,IF('Model inputs'!AH95="","",'Model inputs'!AH95&lt;=18))),'Model inputs'!AM21+('Model inputs'!AM22-'Model inputs'!AM21)*('Model inputs'!AH95-12)/6,IF(IF(IF(ISERROR('Model inputs'!AH95&lt;=24),'Model inputs'!AH95&lt;=24,IF('Model inputs'!AH95="","",'Model inputs'!AH95&lt;=24))="",FALSE,IF(ISERROR('Model inputs'!AH95&lt;=24),'Model inputs'!AH95&lt;=24,IF('Model inputs'!AH95="","",'Model inputs'!AH95&lt;=24))),'Model inputs'!AM22+('Model inputs'!AM23-'Model inputs'!AM22)*('Model inputs'!AH95-18)/6,IF(IF(IF(ISERROR('Model inputs'!AH95&lt;=30),'Model inputs'!AH95&lt;=30,IF('Model inputs'!AH95="","",'Model inputs'!AH95&lt;=30))="",FALSE,IF(ISERROR('Model inputs'!AH95&lt;=30),'Model inputs'!AH95&lt;=30,IF('Model inputs'!AH95="","",'Model inputs'!AH95&lt;=30))),'Model inputs'!AM23+('Model inputs'!AM24-'Model inputs'!AM23)*('Model inputs'!AH95-24)/6,IF(IF(IF(ISERROR('Model inputs'!AH95&lt;=36),'Model inputs'!AH95&lt;=36,IF('Model inputs'!AH95="","",'Model inputs'!AH95&lt;=36))="",FALSE,IF(ISERROR('Model inputs'!AH95&lt;=36),'Model inputs'!AH95&lt;=36,IF('Model inputs'!AH95="","",'Model inputs'!AH95&lt;=36))),'Model inputs'!AM24+('Model inputs'!AM25-'Model inputs'!AM24)*('Model inputs'!AH95-30)/6,IF('Model inputs'!AM25="","",'Model inputs'!AM25))))))))="",0,(IF(IF(IF(ISERROR('Model inputs'!AH95&lt;=6),'Model inputs'!AH95&lt;=6,IF('Model inputs'!AH95="","",'Model inputs'!AH95&lt;=6))="",FALSE,IF(ISERROR('Model inputs'!AH95&lt;=6),'Model inputs'!AH95&lt;=6,IF('Model inputs'!AH95="","",'Model inputs'!AH95&lt;=6))),'Model inputs'!AM20+('Model inputs'!AM26-'Model inputs'!AM20)*('Model inputs'!AH95-0)/6,IF(IF(IF(ISERROR('Model inputs'!AH95&lt;=12),'Model inputs'!AH95&lt;=12,IF('Model inputs'!AH95="","",'Model inputs'!AH95&lt;=12))="",FALSE,IF(ISERROR('Model inputs'!AH95&lt;=12),'Model inputs'!AH95&lt;=12,IF('Model inputs'!AH95="","",'Model inputs'!AH95&lt;=12))),'Model inputs'!AM26+('Model inputs'!AM21-'Model inputs'!AM26)*('Model inputs'!AH95-6)/6,IF(IF(IF(ISERROR('Model inputs'!AH95&lt;=18),'Model inputs'!AH95&lt;=18,IF('Model inputs'!AH95="","",'Model inputs'!AH95&lt;=18))="",FALSE,IF(ISERROR('Model inputs'!AH95&lt;=18),'Model inputs'!AH95&lt;=18,IF('Model inputs'!AH95="","",'Model inputs'!AH95&lt;=18))),'Model inputs'!AM21+('Model inputs'!AM22-'Model inputs'!AM21)*('Model inputs'!AH95-12)/6,IF(IF(IF(ISERROR('Model inputs'!AH95&lt;=24),'Model inputs'!AH95&lt;=24,IF('Model inputs'!AH95="","",'Model inputs'!AH95&lt;=24))="",FALSE,IF(ISERROR('Model inputs'!AH95&lt;=24),'Model inputs'!AH95&lt;=24,IF('Model inputs'!AH95="","",'Model inputs'!AH95&lt;=24))),'Model inputs'!AM22+('Model inputs'!AM23-'Model inputs'!AM22)*('Model inputs'!AH95-18)/6,IF(IF(IF(ISERROR('Model inputs'!AH95&lt;=30),'Model inputs'!AH95&lt;=30,IF('Model inputs'!AH95="","",'Model inputs'!AH95&lt;=30))="",FALSE,IF(ISERROR('Model inputs'!AH95&lt;=30),'Model inputs'!AH95&lt;=30,IF('Model inputs'!AH95="","",'Model inputs'!AH95&lt;=30))),'Model inputs'!AM23+('Model inputs'!AM24-'Model inputs'!AM23)*('Model inputs'!AH95-24)/6,IF(IF(IF(ISERROR('Model inputs'!AH95&lt;=36),'Model inputs'!AH95&lt;=36,IF('Model inputs'!AH95="","",'Model inputs'!AH95&lt;=36))="",FALSE,IF(ISERROR('Model inputs'!AH95&lt;=36),'Model inputs'!AH95&lt;=36,IF('Model inputs'!AH95="","",'Model inputs'!AH95&lt;=36))),'Model inputs'!AM24+('Model inputs'!AM25-'Model inputs'!AM24)*('Model inputs'!AH95-30)/6,IF('Model inputs'!AM25="","",'Model inputs'!AM25)))))))))/'Model inputs'!AM9</f>
      </c>
    </row>
    <row r="3563">
      <c r="A3563" t="inlineStr" s="25">
        <is>
          <t xml:space="preserve">Calculation</t>
        </is>
      </c>
      <c r="B3563">
        <f>IF((IF(IF(IF(ISERROR('Model inputs'!AI95&lt;=6),'Model inputs'!AI95&lt;=6,IF('Model inputs'!AI95="","",'Model inputs'!AI95&lt;=6))="",FALSE,IF(ISERROR('Model inputs'!AI95&lt;=6),'Model inputs'!AI95&lt;=6,IF('Model inputs'!AI95="","",'Model inputs'!AI95&lt;=6))),'Model inputs'!AM20+('Model inputs'!AM26-'Model inputs'!AM20)*('Model inputs'!AI95-0)/6,IF(IF(IF(ISERROR('Model inputs'!AI95&lt;=12),'Model inputs'!AI95&lt;=12,IF('Model inputs'!AI95="","",'Model inputs'!AI95&lt;=12))="",FALSE,IF(ISERROR('Model inputs'!AI95&lt;=12),'Model inputs'!AI95&lt;=12,IF('Model inputs'!AI95="","",'Model inputs'!AI95&lt;=12))),'Model inputs'!AM26+('Model inputs'!AM21-'Model inputs'!AM26)*('Model inputs'!AI95-6)/6,IF(IF(IF(ISERROR('Model inputs'!AI95&lt;=18),'Model inputs'!AI95&lt;=18,IF('Model inputs'!AI95="","",'Model inputs'!AI95&lt;=18))="",FALSE,IF(ISERROR('Model inputs'!AI95&lt;=18),'Model inputs'!AI95&lt;=18,IF('Model inputs'!AI95="","",'Model inputs'!AI95&lt;=18))),'Model inputs'!AM21+('Model inputs'!AM22-'Model inputs'!AM21)*('Model inputs'!AI95-12)/6,IF(IF(IF(ISERROR('Model inputs'!AI95&lt;=24),'Model inputs'!AI95&lt;=24,IF('Model inputs'!AI95="","",'Model inputs'!AI95&lt;=24))="",FALSE,IF(ISERROR('Model inputs'!AI95&lt;=24),'Model inputs'!AI95&lt;=24,IF('Model inputs'!AI95="","",'Model inputs'!AI95&lt;=24))),'Model inputs'!AM22+('Model inputs'!AM23-'Model inputs'!AM22)*('Model inputs'!AI95-18)/6,IF(IF(IF(ISERROR('Model inputs'!AI95&lt;=30),'Model inputs'!AI95&lt;=30,IF('Model inputs'!AI95="","",'Model inputs'!AI95&lt;=30))="",FALSE,IF(ISERROR('Model inputs'!AI95&lt;=30),'Model inputs'!AI95&lt;=30,IF('Model inputs'!AI95="","",'Model inputs'!AI95&lt;=30))),'Model inputs'!AM23+('Model inputs'!AM24-'Model inputs'!AM23)*('Model inputs'!AI95-24)/6,IF(IF(IF(ISERROR('Model inputs'!AI95&lt;=36),'Model inputs'!AI95&lt;=36,IF('Model inputs'!AI95="","",'Model inputs'!AI95&lt;=36))="",FALSE,IF(ISERROR('Model inputs'!AI95&lt;=36),'Model inputs'!AI95&lt;=36,IF('Model inputs'!AI95="","",'Model inputs'!AI95&lt;=36))),'Model inputs'!AM24+('Model inputs'!AM25-'Model inputs'!AM24)*('Model inputs'!AI95-30)/6,IF('Model inputs'!AM25="","",'Model inputs'!AM25))))))))="",0,(IF(IF(IF(ISERROR('Model inputs'!AI95&lt;=6),'Model inputs'!AI95&lt;=6,IF('Model inputs'!AI95="","",'Model inputs'!AI95&lt;=6))="",FALSE,IF(ISERROR('Model inputs'!AI95&lt;=6),'Model inputs'!AI95&lt;=6,IF('Model inputs'!AI95="","",'Model inputs'!AI95&lt;=6))),'Model inputs'!AM20+('Model inputs'!AM26-'Model inputs'!AM20)*('Model inputs'!AI95-0)/6,IF(IF(IF(ISERROR('Model inputs'!AI95&lt;=12),'Model inputs'!AI95&lt;=12,IF('Model inputs'!AI95="","",'Model inputs'!AI95&lt;=12))="",FALSE,IF(ISERROR('Model inputs'!AI95&lt;=12),'Model inputs'!AI95&lt;=12,IF('Model inputs'!AI95="","",'Model inputs'!AI95&lt;=12))),'Model inputs'!AM26+('Model inputs'!AM21-'Model inputs'!AM26)*('Model inputs'!AI95-6)/6,IF(IF(IF(ISERROR('Model inputs'!AI95&lt;=18),'Model inputs'!AI95&lt;=18,IF('Model inputs'!AI95="","",'Model inputs'!AI95&lt;=18))="",FALSE,IF(ISERROR('Model inputs'!AI95&lt;=18),'Model inputs'!AI95&lt;=18,IF('Model inputs'!AI95="","",'Model inputs'!AI95&lt;=18))),'Model inputs'!AM21+('Model inputs'!AM22-'Model inputs'!AM21)*('Model inputs'!AI95-12)/6,IF(IF(IF(ISERROR('Model inputs'!AI95&lt;=24),'Model inputs'!AI95&lt;=24,IF('Model inputs'!AI95="","",'Model inputs'!AI95&lt;=24))="",FALSE,IF(ISERROR('Model inputs'!AI95&lt;=24),'Model inputs'!AI95&lt;=24,IF('Model inputs'!AI95="","",'Model inputs'!AI95&lt;=24))),'Model inputs'!AM22+('Model inputs'!AM23-'Model inputs'!AM22)*('Model inputs'!AI95-18)/6,IF(IF(IF(ISERROR('Model inputs'!AI95&lt;=30),'Model inputs'!AI95&lt;=30,IF('Model inputs'!AI95="","",'Model inputs'!AI95&lt;=30))="",FALSE,IF(ISERROR('Model inputs'!AI95&lt;=30),'Model inputs'!AI95&lt;=30,IF('Model inputs'!AI95="","",'Model inputs'!AI95&lt;=30))),'Model inputs'!AM23+('Model inputs'!AM24-'Model inputs'!AM23)*('Model inputs'!AI95-24)/6,IF(IF(IF(ISERROR('Model inputs'!AI95&lt;=36),'Model inputs'!AI95&lt;=36,IF('Model inputs'!AI95="","",'Model inputs'!AI95&lt;=36))="",FALSE,IF(ISERROR('Model inputs'!AI95&lt;=36),'Model inputs'!AI95&lt;=36,IF('Model inputs'!AI95="","",'Model inputs'!AI95&lt;=36))),'Model inputs'!AM24+('Model inputs'!AM25-'Model inputs'!AM24)*('Model inputs'!AI95-30)/6,IF('Model inputs'!AM25="","",'Model inputs'!AM25)))))))))/'Model inputs'!AM9</f>
      </c>
    </row>
    <row r="3564">
      <c r="A3564" t="inlineStr" s="25">
        <is>
          <t xml:space="preserve">Calculation</t>
        </is>
      </c>
      <c r="B3564">
        <f>IF((IF(IF(IF(ISERROR('Model inputs'!AJ95&lt;=6),'Model inputs'!AJ95&lt;=6,IF('Model inputs'!AJ95="","",'Model inputs'!AJ95&lt;=6))="",FALSE,IF(ISERROR('Model inputs'!AJ95&lt;=6),'Model inputs'!AJ95&lt;=6,IF('Model inputs'!AJ95="","",'Model inputs'!AJ95&lt;=6))),'Model inputs'!AM20+('Model inputs'!AM26-'Model inputs'!AM20)*('Model inputs'!AJ95-0)/6,IF(IF(IF(ISERROR('Model inputs'!AJ95&lt;=12),'Model inputs'!AJ95&lt;=12,IF('Model inputs'!AJ95="","",'Model inputs'!AJ95&lt;=12))="",FALSE,IF(ISERROR('Model inputs'!AJ95&lt;=12),'Model inputs'!AJ95&lt;=12,IF('Model inputs'!AJ95="","",'Model inputs'!AJ95&lt;=12))),'Model inputs'!AM26+('Model inputs'!AM21-'Model inputs'!AM26)*('Model inputs'!AJ95-6)/6,IF(IF(IF(ISERROR('Model inputs'!AJ95&lt;=18),'Model inputs'!AJ95&lt;=18,IF('Model inputs'!AJ95="","",'Model inputs'!AJ95&lt;=18))="",FALSE,IF(ISERROR('Model inputs'!AJ95&lt;=18),'Model inputs'!AJ95&lt;=18,IF('Model inputs'!AJ95="","",'Model inputs'!AJ95&lt;=18))),'Model inputs'!AM21+('Model inputs'!AM22-'Model inputs'!AM21)*('Model inputs'!AJ95-12)/6,IF(IF(IF(ISERROR('Model inputs'!AJ95&lt;=24),'Model inputs'!AJ95&lt;=24,IF('Model inputs'!AJ95="","",'Model inputs'!AJ95&lt;=24))="",FALSE,IF(ISERROR('Model inputs'!AJ95&lt;=24),'Model inputs'!AJ95&lt;=24,IF('Model inputs'!AJ95="","",'Model inputs'!AJ95&lt;=24))),'Model inputs'!AM22+('Model inputs'!AM23-'Model inputs'!AM22)*('Model inputs'!AJ95-18)/6,IF(IF(IF(ISERROR('Model inputs'!AJ95&lt;=30),'Model inputs'!AJ95&lt;=30,IF('Model inputs'!AJ95="","",'Model inputs'!AJ95&lt;=30))="",FALSE,IF(ISERROR('Model inputs'!AJ95&lt;=30),'Model inputs'!AJ95&lt;=30,IF('Model inputs'!AJ95="","",'Model inputs'!AJ95&lt;=30))),'Model inputs'!AM23+('Model inputs'!AM24-'Model inputs'!AM23)*('Model inputs'!AJ95-24)/6,IF(IF(IF(ISERROR('Model inputs'!AJ95&lt;=36),'Model inputs'!AJ95&lt;=36,IF('Model inputs'!AJ95="","",'Model inputs'!AJ95&lt;=36))="",FALSE,IF(ISERROR('Model inputs'!AJ95&lt;=36),'Model inputs'!AJ95&lt;=36,IF('Model inputs'!AJ95="","",'Model inputs'!AJ95&lt;=36))),'Model inputs'!AM24+('Model inputs'!AM25-'Model inputs'!AM24)*('Model inputs'!AJ95-30)/6,IF('Model inputs'!AM25="","",'Model inputs'!AM25))))))))="",0,(IF(IF(IF(ISERROR('Model inputs'!AJ95&lt;=6),'Model inputs'!AJ95&lt;=6,IF('Model inputs'!AJ95="","",'Model inputs'!AJ95&lt;=6))="",FALSE,IF(ISERROR('Model inputs'!AJ95&lt;=6),'Model inputs'!AJ95&lt;=6,IF('Model inputs'!AJ95="","",'Model inputs'!AJ95&lt;=6))),'Model inputs'!AM20+('Model inputs'!AM26-'Model inputs'!AM20)*('Model inputs'!AJ95-0)/6,IF(IF(IF(ISERROR('Model inputs'!AJ95&lt;=12),'Model inputs'!AJ95&lt;=12,IF('Model inputs'!AJ95="","",'Model inputs'!AJ95&lt;=12))="",FALSE,IF(ISERROR('Model inputs'!AJ95&lt;=12),'Model inputs'!AJ95&lt;=12,IF('Model inputs'!AJ95="","",'Model inputs'!AJ95&lt;=12))),'Model inputs'!AM26+('Model inputs'!AM21-'Model inputs'!AM26)*('Model inputs'!AJ95-6)/6,IF(IF(IF(ISERROR('Model inputs'!AJ95&lt;=18),'Model inputs'!AJ95&lt;=18,IF('Model inputs'!AJ95="","",'Model inputs'!AJ95&lt;=18))="",FALSE,IF(ISERROR('Model inputs'!AJ95&lt;=18),'Model inputs'!AJ95&lt;=18,IF('Model inputs'!AJ95="","",'Model inputs'!AJ95&lt;=18))),'Model inputs'!AM21+('Model inputs'!AM22-'Model inputs'!AM21)*('Model inputs'!AJ95-12)/6,IF(IF(IF(ISERROR('Model inputs'!AJ95&lt;=24),'Model inputs'!AJ95&lt;=24,IF('Model inputs'!AJ95="","",'Model inputs'!AJ95&lt;=24))="",FALSE,IF(ISERROR('Model inputs'!AJ95&lt;=24),'Model inputs'!AJ95&lt;=24,IF('Model inputs'!AJ95="","",'Model inputs'!AJ95&lt;=24))),'Model inputs'!AM22+('Model inputs'!AM23-'Model inputs'!AM22)*('Model inputs'!AJ95-18)/6,IF(IF(IF(ISERROR('Model inputs'!AJ95&lt;=30),'Model inputs'!AJ95&lt;=30,IF('Model inputs'!AJ95="","",'Model inputs'!AJ95&lt;=30))="",FALSE,IF(ISERROR('Model inputs'!AJ95&lt;=30),'Model inputs'!AJ95&lt;=30,IF('Model inputs'!AJ95="","",'Model inputs'!AJ95&lt;=30))),'Model inputs'!AM23+('Model inputs'!AM24-'Model inputs'!AM23)*('Model inputs'!AJ95-24)/6,IF(IF(IF(ISERROR('Model inputs'!AJ95&lt;=36),'Model inputs'!AJ95&lt;=36,IF('Model inputs'!AJ95="","",'Model inputs'!AJ95&lt;=36))="",FALSE,IF(ISERROR('Model inputs'!AJ95&lt;=36),'Model inputs'!AJ95&lt;=36,IF('Model inputs'!AJ95="","",'Model inputs'!AJ95&lt;=36))),'Model inputs'!AM24+('Model inputs'!AM25-'Model inputs'!AM24)*('Model inputs'!AJ95-30)/6,IF('Model inputs'!AM25="","",'Model inputs'!AM25)))))))))/'Model inputs'!AM9</f>
      </c>
    </row>
    <row r="3565">
      <c r="A3565" t="inlineStr" s="25">
        <is>
          <t xml:space="preserve">Calculation</t>
        </is>
      </c>
      <c r="B3565">
        <f>IF((IF(IF(IF(ISERROR('Model inputs'!AK95&lt;=6),'Model inputs'!AK95&lt;=6,IF('Model inputs'!AK95="","",'Model inputs'!AK95&lt;=6))="",FALSE,IF(ISERROR('Model inputs'!AK95&lt;=6),'Model inputs'!AK95&lt;=6,IF('Model inputs'!AK95="","",'Model inputs'!AK95&lt;=6))),'Model inputs'!AM20+('Model inputs'!AM26-'Model inputs'!AM20)*('Model inputs'!AK95-0)/6,IF(IF(IF(ISERROR('Model inputs'!AK95&lt;=12),'Model inputs'!AK95&lt;=12,IF('Model inputs'!AK95="","",'Model inputs'!AK95&lt;=12))="",FALSE,IF(ISERROR('Model inputs'!AK95&lt;=12),'Model inputs'!AK95&lt;=12,IF('Model inputs'!AK95="","",'Model inputs'!AK95&lt;=12))),'Model inputs'!AM26+('Model inputs'!AM21-'Model inputs'!AM26)*('Model inputs'!AK95-6)/6,IF(IF(IF(ISERROR('Model inputs'!AK95&lt;=18),'Model inputs'!AK95&lt;=18,IF('Model inputs'!AK95="","",'Model inputs'!AK95&lt;=18))="",FALSE,IF(ISERROR('Model inputs'!AK95&lt;=18),'Model inputs'!AK95&lt;=18,IF('Model inputs'!AK95="","",'Model inputs'!AK95&lt;=18))),'Model inputs'!AM21+('Model inputs'!AM22-'Model inputs'!AM21)*('Model inputs'!AK95-12)/6,IF(IF(IF(ISERROR('Model inputs'!AK95&lt;=24),'Model inputs'!AK95&lt;=24,IF('Model inputs'!AK95="","",'Model inputs'!AK95&lt;=24))="",FALSE,IF(ISERROR('Model inputs'!AK95&lt;=24),'Model inputs'!AK95&lt;=24,IF('Model inputs'!AK95="","",'Model inputs'!AK95&lt;=24))),'Model inputs'!AM22+('Model inputs'!AM23-'Model inputs'!AM22)*('Model inputs'!AK95-18)/6,IF(IF(IF(ISERROR('Model inputs'!AK95&lt;=30),'Model inputs'!AK95&lt;=30,IF('Model inputs'!AK95="","",'Model inputs'!AK95&lt;=30))="",FALSE,IF(ISERROR('Model inputs'!AK95&lt;=30),'Model inputs'!AK95&lt;=30,IF('Model inputs'!AK95="","",'Model inputs'!AK95&lt;=30))),'Model inputs'!AM23+('Model inputs'!AM24-'Model inputs'!AM23)*('Model inputs'!AK95-24)/6,IF(IF(IF(ISERROR('Model inputs'!AK95&lt;=36),'Model inputs'!AK95&lt;=36,IF('Model inputs'!AK95="","",'Model inputs'!AK95&lt;=36))="",FALSE,IF(ISERROR('Model inputs'!AK95&lt;=36),'Model inputs'!AK95&lt;=36,IF('Model inputs'!AK95="","",'Model inputs'!AK95&lt;=36))),'Model inputs'!AM24+('Model inputs'!AM25-'Model inputs'!AM24)*('Model inputs'!AK95-30)/6,IF('Model inputs'!AM25="","",'Model inputs'!AM25))))))))="",0,(IF(IF(IF(ISERROR('Model inputs'!AK95&lt;=6),'Model inputs'!AK95&lt;=6,IF('Model inputs'!AK95="","",'Model inputs'!AK95&lt;=6))="",FALSE,IF(ISERROR('Model inputs'!AK95&lt;=6),'Model inputs'!AK95&lt;=6,IF('Model inputs'!AK95="","",'Model inputs'!AK95&lt;=6))),'Model inputs'!AM20+('Model inputs'!AM26-'Model inputs'!AM20)*('Model inputs'!AK95-0)/6,IF(IF(IF(ISERROR('Model inputs'!AK95&lt;=12),'Model inputs'!AK95&lt;=12,IF('Model inputs'!AK95="","",'Model inputs'!AK95&lt;=12))="",FALSE,IF(ISERROR('Model inputs'!AK95&lt;=12),'Model inputs'!AK95&lt;=12,IF('Model inputs'!AK95="","",'Model inputs'!AK95&lt;=12))),'Model inputs'!AM26+('Model inputs'!AM21-'Model inputs'!AM26)*('Model inputs'!AK95-6)/6,IF(IF(IF(ISERROR('Model inputs'!AK95&lt;=18),'Model inputs'!AK95&lt;=18,IF('Model inputs'!AK95="","",'Model inputs'!AK95&lt;=18))="",FALSE,IF(ISERROR('Model inputs'!AK95&lt;=18),'Model inputs'!AK95&lt;=18,IF('Model inputs'!AK95="","",'Model inputs'!AK95&lt;=18))),'Model inputs'!AM21+('Model inputs'!AM22-'Model inputs'!AM21)*('Model inputs'!AK95-12)/6,IF(IF(IF(ISERROR('Model inputs'!AK95&lt;=24),'Model inputs'!AK95&lt;=24,IF('Model inputs'!AK95="","",'Model inputs'!AK95&lt;=24))="",FALSE,IF(ISERROR('Model inputs'!AK95&lt;=24),'Model inputs'!AK95&lt;=24,IF('Model inputs'!AK95="","",'Model inputs'!AK95&lt;=24))),'Model inputs'!AM22+('Model inputs'!AM23-'Model inputs'!AM22)*('Model inputs'!AK95-18)/6,IF(IF(IF(ISERROR('Model inputs'!AK95&lt;=30),'Model inputs'!AK95&lt;=30,IF('Model inputs'!AK95="","",'Model inputs'!AK95&lt;=30))="",FALSE,IF(ISERROR('Model inputs'!AK95&lt;=30),'Model inputs'!AK95&lt;=30,IF('Model inputs'!AK95="","",'Model inputs'!AK95&lt;=30))),'Model inputs'!AM23+('Model inputs'!AM24-'Model inputs'!AM23)*('Model inputs'!AK95-24)/6,IF(IF(IF(ISERROR('Model inputs'!AK95&lt;=36),'Model inputs'!AK95&lt;=36,IF('Model inputs'!AK95="","",'Model inputs'!AK95&lt;=36))="",FALSE,IF(ISERROR('Model inputs'!AK95&lt;=36),'Model inputs'!AK95&lt;=36,IF('Model inputs'!AK95="","",'Model inputs'!AK95&lt;=36))),'Model inputs'!AM24+('Model inputs'!AM25-'Model inputs'!AM24)*('Model inputs'!AK95-30)/6,IF('Model inputs'!AM25="","",'Model inputs'!AM25)))))))))/'Model inputs'!AM9</f>
      </c>
    </row>
    <row r="3566">
      <c r="A3566" t="inlineStr" s="25">
        <is>
          <t xml:space="preserve">Calculation</t>
        </is>
      </c>
      <c r="B3566">
        <f>IF((IF(IF(IF(ISERROR('Model inputs'!AL95&lt;=6),'Model inputs'!AL95&lt;=6,IF('Model inputs'!AL95="","",'Model inputs'!AL95&lt;=6))="",FALSE,IF(ISERROR('Model inputs'!AL95&lt;=6),'Model inputs'!AL95&lt;=6,IF('Model inputs'!AL95="","",'Model inputs'!AL95&lt;=6))),'Model inputs'!AM20+('Model inputs'!AM26-'Model inputs'!AM20)*('Model inputs'!AL95-0)/6,IF(IF(IF(ISERROR('Model inputs'!AL95&lt;=12),'Model inputs'!AL95&lt;=12,IF('Model inputs'!AL95="","",'Model inputs'!AL95&lt;=12))="",FALSE,IF(ISERROR('Model inputs'!AL95&lt;=12),'Model inputs'!AL95&lt;=12,IF('Model inputs'!AL95="","",'Model inputs'!AL95&lt;=12))),'Model inputs'!AM26+('Model inputs'!AM21-'Model inputs'!AM26)*('Model inputs'!AL95-6)/6,IF(IF(IF(ISERROR('Model inputs'!AL95&lt;=18),'Model inputs'!AL95&lt;=18,IF('Model inputs'!AL95="","",'Model inputs'!AL95&lt;=18))="",FALSE,IF(ISERROR('Model inputs'!AL95&lt;=18),'Model inputs'!AL95&lt;=18,IF('Model inputs'!AL95="","",'Model inputs'!AL95&lt;=18))),'Model inputs'!AM21+('Model inputs'!AM22-'Model inputs'!AM21)*('Model inputs'!AL95-12)/6,IF(IF(IF(ISERROR('Model inputs'!AL95&lt;=24),'Model inputs'!AL95&lt;=24,IF('Model inputs'!AL95="","",'Model inputs'!AL95&lt;=24))="",FALSE,IF(ISERROR('Model inputs'!AL95&lt;=24),'Model inputs'!AL95&lt;=24,IF('Model inputs'!AL95="","",'Model inputs'!AL95&lt;=24))),'Model inputs'!AM22+('Model inputs'!AM23-'Model inputs'!AM22)*('Model inputs'!AL95-18)/6,IF(IF(IF(ISERROR('Model inputs'!AL95&lt;=30),'Model inputs'!AL95&lt;=30,IF('Model inputs'!AL95="","",'Model inputs'!AL95&lt;=30))="",FALSE,IF(ISERROR('Model inputs'!AL95&lt;=30),'Model inputs'!AL95&lt;=30,IF('Model inputs'!AL95="","",'Model inputs'!AL95&lt;=30))),'Model inputs'!AM23+('Model inputs'!AM24-'Model inputs'!AM23)*('Model inputs'!AL95-24)/6,IF(IF(IF(ISERROR('Model inputs'!AL95&lt;=36),'Model inputs'!AL95&lt;=36,IF('Model inputs'!AL95="","",'Model inputs'!AL95&lt;=36))="",FALSE,IF(ISERROR('Model inputs'!AL95&lt;=36),'Model inputs'!AL95&lt;=36,IF('Model inputs'!AL95="","",'Model inputs'!AL95&lt;=36))),'Model inputs'!AM24+('Model inputs'!AM25-'Model inputs'!AM24)*('Model inputs'!AL95-30)/6,IF('Model inputs'!AM25="","",'Model inputs'!AM25))))))))="",0,(IF(IF(IF(ISERROR('Model inputs'!AL95&lt;=6),'Model inputs'!AL95&lt;=6,IF('Model inputs'!AL95="","",'Model inputs'!AL95&lt;=6))="",FALSE,IF(ISERROR('Model inputs'!AL95&lt;=6),'Model inputs'!AL95&lt;=6,IF('Model inputs'!AL95="","",'Model inputs'!AL95&lt;=6))),'Model inputs'!AM20+('Model inputs'!AM26-'Model inputs'!AM20)*('Model inputs'!AL95-0)/6,IF(IF(IF(ISERROR('Model inputs'!AL95&lt;=12),'Model inputs'!AL95&lt;=12,IF('Model inputs'!AL95="","",'Model inputs'!AL95&lt;=12))="",FALSE,IF(ISERROR('Model inputs'!AL95&lt;=12),'Model inputs'!AL95&lt;=12,IF('Model inputs'!AL95="","",'Model inputs'!AL95&lt;=12))),'Model inputs'!AM26+('Model inputs'!AM21-'Model inputs'!AM26)*('Model inputs'!AL95-6)/6,IF(IF(IF(ISERROR('Model inputs'!AL95&lt;=18),'Model inputs'!AL95&lt;=18,IF('Model inputs'!AL95="","",'Model inputs'!AL95&lt;=18))="",FALSE,IF(ISERROR('Model inputs'!AL95&lt;=18),'Model inputs'!AL95&lt;=18,IF('Model inputs'!AL95="","",'Model inputs'!AL95&lt;=18))),'Model inputs'!AM21+('Model inputs'!AM22-'Model inputs'!AM21)*('Model inputs'!AL95-12)/6,IF(IF(IF(ISERROR('Model inputs'!AL95&lt;=24),'Model inputs'!AL95&lt;=24,IF('Model inputs'!AL95="","",'Model inputs'!AL95&lt;=24))="",FALSE,IF(ISERROR('Model inputs'!AL95&lt;=24),'Model inputs'!AL95&lt;=24,IF('Model inputs'!AL95="","",'Model inputs'!AL95&lt;=24))),'Model inputs'!AM22+('Model inputs'!AM23-'Model inputs'!AM22)*('Model inputs'!AL95-18)/6,IF(IF(IF(ISERROR('Model inputs'!AL95&lt;=30),'Model inputs'!AL95&lt;=30,IF('Model inputs'!AL95="","",'Model inputs'!AL95&lt;=30))="",FALSE,IF(ISERROR('Model inputs'!AL95&lt;=30),'Model inputs'!AL95&lt;=30,IF('Model inputs'!AL95="","",'Model inputs'!AL95&lt;=30))),'Model inputs'!AM23+('Model inputs'!AM24-'Model inputs'!AM23)*('Model inputs'!AL95-24)/6,IF(IF(IF(ISERROR('Model inputs'!AL95&lt;=36),'Model inputs'!AL95&lt;=36,IF('Model inputs'!AL95="","",'Model inputs'!AL95&lt;=36))="",FALSE,IF(ISERROR('Model inputs'!AL95&lt;=36),'Model inputs'!AL95&lt;=36,IF('Model inputs'!AL95="","",'Model inputs'!AL95&lt;=36))),'Model inputs'!AM24+('Model inputs'!AM25-'Model inputs'!AM24)*('Model inputs'!AL95-30)/6,IF('Model inputs'!AM25="","",'Model inputs'!AM25)))))))))/'Model inputs'!AM9</f>
      </c>
    </row>
  </sheetData>
  <mergeCells count="2">
    <mergeCell ref="A1:AM1"/>
    <mergeCell ref="A2:AM2"/>
  </mergeCells>
</worksheet>
</file>